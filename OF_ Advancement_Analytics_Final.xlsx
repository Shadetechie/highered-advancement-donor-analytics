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i/Desktop/"/>
    </mc:Choice>
  </mc:AlternateContent>
  <xr:revisionPtr revIDLastSave="0" documentId="8_{5951DAC3-FED5-9548-AC04-A5CF86BA12BE}" xr6:coauthVersionLast="47" xr6:coauthVersionMax="47" xr10:uidLastSave="{00000000-0000-0000-0000-000000000000}"/>
  <bookViews>
    <workbookView xWindow="0" yWindow="660" windowWidth="29400" windowHeight="18460" activeTab="1" xr2:uid="{5013AE38-9B0C-6D43-9371-3B4FCE5594BD}"/>
  </bookViews>
  <sheets>
    <sheet name="advancement_raw_gifts_3yr" sheetId="1" r:id="rId1"/>
    <sheet name="Executive_KPIs" sheetId="2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L1123" i="1" s="1"/>
  <c r="J26" i="1"/>
  <c r="J27" i="1"/>
  <c r="K695" i="1" s="1"/>
  <c r="J28" i="1"/>
  <c r="J29" i="1"/>
  <c r="J30" i="1"/>
  <c r="J31" i="1"/>
  <c r="J32" i="1"/>
  <c r="J33" i="1"/>
  <c r="J34" i="1"/>
  <c r="J35" i="1"/>
  <c r="K884" i="1" s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K959" i="1" s="1"/>
  <c r="J68" i="1"/>
  <c r="J69" i="1"/>
  <c r="J70" i="1"/>
  <c r="J71" i="1"/>
  <c r="J72" i="1"/>
  <c r="J73" i="1"/>
  <c r="K572" i="1" s="1"/>
  <c r="J74" i="1"/>
  <c r="J75" i="1"/>
  <c r="J76" i="1"/>
  <c r="J77" i="1"/>
  <c r="K604" i="1" s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K94" i="1" s="1"/>
  <c r="J95" i="1"/>
  <c r="J96" i="1"/>
  <c r="J97" i="1"/>
  <c r="K1069" i="1" s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K968" i="1" s="1"/>
  <c r="J116" i="1"/>
  <c r="J117" i="1"/>
  <c r="J118" i="1"/>
  <c r="J119" i="1"/>
  <c r="J120" i="1"/>
  <c r="J121" i="1"/>
  <c r="J122" i="1"/>
  <c r="J123" i="1"/>
  <c r="J124" i="1"/>
  <c r="K124" i="1" s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K398" i="1" s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K888" i="1" s="1"/>
  <c r="J206" i="1"/>
  <c r="K679" i="1" s="1"/>
  <c r="J207" i="1"/>
  <c r="J208" i="1"/>
  <c r="J209" i="1"/>
  <c r="J210" i="1"/>
  <c r="J211" i="1"/>
  <c r="J212" i="1"/>
  <c r="J213" i="1"/>
  <c r="J214" i="1"/>
  <c r="J215" i="1"/>
  <c r="K314" i="1" s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K462" i="1" s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K603" i="1" s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K748" i="1" s="1"/>
  <c r="J324" i="1"/>
  <c r="J325" i="1"/>
  <c r="K841" i="1" s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K761" i="1" s="1"/>
  <c r="J344" i="1"/>
  <c r="K344" i="1" s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K673" i="1" s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K1048" i="1" s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K538" i="1" s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K868" i="1" s="1"/>
  <c r="J565" i="1"/>
  <c r="J566" i="1"/>
  <c r="J567" i="1"/>
  <c r="J568" i="1"/>
  <c r="J569" i="1"/>
  <c r="J570" i="1"/>
  <c r="J571" i="1"/>
  <c r="J572" i="1"/>
  <c r="J573" i="1"/>
  <c r="J574" i="1"/>
  <c r="K574" i="1" s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K1004" i="1" s="1"/>
  <c r="J598" i="1"/>
  <c r="J599" i="1"/>
  <c r="J600" i="1"/>
  <c r="J601" i="1"/>
  <c r="J602" i="1"/>
  <c r="J603" i="1"/>
  <c r="J604" i="1"/>
  <c r="J605" i="1"/>
  <c r="J606" i="1"/>
  <c r="K1058" i="1" s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K1009" i="1" s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K849" i="1" s="1"/>
  <c r="J655" i="1"/>
  <c r="J656" i="1"/>
  <c r="K694" i="1" s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K1041" i="1" s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K713" i="1" s="1"/>
  <c r="J714" i="1"/>
  <c r="J715" i="1"/>
  <c r="J716" i="1"/>
  <c r="J717" i="1"/>
  <c r="J718" i="1"/>
  <c r="J719" i="1"/>
  <c r="J720" i="1"/>
  <c r="J721" i="1"/>
  <c r="J722" i="1"/>
  <c r="J723" i="1"/>
  <c r="K723" i="1" s="1"/>
  <c r="J724" i="1"/>
  <c r="J725" i="1"/>
  <c r="J726" i="1"/>
  <c r="J727" i="1"/>
  <c r="J728" i="1"/>
  <c r="J729" i="1"/>
  <c r="K729" i="1" s="1"/>
  <c r="J730" i="1"/>
  <c r="J731" i="1"/>
  <c r="J732" i="1"/>
  <c r="J733" i="1"/>
  <c r="J734" i="1"/>
  <c r="J735" i="1"/>
  <c r="J736" i="1"/>
  <c r="K736" i="1" s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K826" i="1" s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K911" i="1" s="1"/>
  <c r="J909" i="1"/>
  <c r="J910" i="1"/>
  <c r="J911" i="1"/>
  <c r="J912" i="1"/>
  <c r="J913" i="1"/>
  <c r="J914" i="1"/>
  <c r="J915" i="1"/>
  <c r="J916" i="1"/>
  <c r="J917" i="1"/>
  <c r="J918" i="1"/>
  <c r="J919" i="1"/>
  <c r="K988" i="1" s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K945" i="1" s="1"/>
  <c r="J946" i="1"/>
  <c r="J947" i="1"/>
  <c r="K947" i="1" s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K962" i="1" s="1"/>
  <c r="J963" i="1"/>
  <c r="J964" i="1"/>
  <c r="J965" i="1"/>
  <c r="J966" i="1"/>
  <c r="K966" i="1" s="1"/>
  <c r="J967" i="1"/>
  <c r="K967" i="1" s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K1006" i="1" s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K1105" i="1" s="1"/>
  <c r="J1106" i="1"/>
  <c r="J1107" i="1"/>
  <c r="J1108" i="1"/>
  <c r="J1109" i="1"/>
  <c r="J1110" i="1"/>
  <c r="J1111" i="1"/>
  <c r="J1112" i="1"/>
  <c r="K1112" i="1" s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K1177" i="1" s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K1200" i="1" s="1"/>
  <c r="J1201" i="1"/>
  <c r="K653" i="1" l="1"/>
  <c r="K214" i="1"/>
  <c r="K957" i="1"/>
  <c r="K1057" i="1"/>
  <c r="K1157" i="1"/>
  <c r="K1016" i="1"/>
  <c r="K876" i="1"/>
  <c r="K1168" i="1"/>
  <c r="K936" i="1"/>
  <c r="K807" i="1"/>
  <c r="K857" i="1"/>
  <c r="K847" i="1"/>
  <c r="K757" i="1"/>
  <c r="K827" i="1"/>
  <c r="K1117" i="1"/>
  <c r="K817" i="1"/>
  <c r="K969" i="1"/>
  <c r="K977" i="1"/>
  <c r="K887" i="1"/>
  <c r="K1066" i="1"/>
  <c r="K1126" i="1"/>
  <c r="K593" i="1"/>
  <c r="K885" i="1"/>
  <c r="K937" i="1"/>
  <c r="K961" i="1"/>
  <c r="K1187" i="1"/>
  <c r="L1046" i="1"/>
  <c r="K1162" i="1"/>
  <c r="K1052" i="1"/>
  <c r="K1032" i="1"/>
  <c r="K1002" i="1"/>
  <c r="K992" i="1"/>
  <c r="K972" i="1"/>
  <c r="K952" i="1"/>
  <c r="K942" i="1"/>
  <c r="K932" i="1"/>
  <c r="K922" i="1"/>
  <c r="K912" i="1"/>
  <c r="K892" i="1"/>
  <c r="K872" i="1"/>
  <c r="K1159" i="1"/>
  <c r="K1192" i="1"/>
  <c r="K522" i="1"/>
  <c r="K1022" i="1"/>
  <c r="K1036" i="1"/>
  <c r="K995" i="1"/>
  <c r="K702" i="1"/>
  <c r="K617" i="1"/>
  <c r="K921" i="1"/>
  <c r="K1007" i="1"/>
  <c r="K844" i="1"/>
  <c r="K1075" i="1"/>
  <c r="L1184" i="1"/>
  <c r="K836" i="1"/>
  <c r="K703" i="1"/>
  <c r="K1154" i="1"/>
  <c r="K976" i="1"/>
  <c r="K965" i="1"/>
  <c r="K787" i="1"/>
  <c r="K524" i="1"/>
  <c r="L993" i="1"/>
  <c r="K84" i="1"/>
  <c r="L1105" i="1"/>
  <c r="K1172" i="1"/>
  <c r="K1152" i="1"/>
  <c r="K1142" i="1"/>
  <c r="K1092" i="1"/>
  <c r="K1062" i="1"/>
  <c r="K1201" i="1"/>
  <c r="K1071" i="1"/>
  <c r="K1199" i="1"/>
  <c r="K544" i="1"/>
  <c r="K989" i="1"/>
  <c r="K1082" i="1"/>
  <c r="K324" i="1"/>
  <c r="K747" i="1"/>
  <c r="K865" i="1"/>
  <c r="K925" i="1"/>
  <c r="K394" i="1"/>
  <c r="K997" i="1"/>
  <c r="K533" i="1"/>
  <c r="K612" i="1"/>
  <c r="K745" i="1"/>
  <c r="K1180" i="1"/>
  <c r="K1170" i="1"/>
  <c r="K1160" i="1"/>
  <c r="K1140" i="1"/>
  <c r="K1120" i="1"/>
  <c r="K1090" i="1"/>
  <c r="K1080" i="1"/>
  <c r="K1060" i="1"/>
  <c r="K990" i="1"/>
  <c r="K940" i="1"/>
  <c r="K1129" i="1"/>
  <c r="K1012" i="1"/>
  <c r="K1072" i="1"/>
  <c r="K1042" i="1"/>
  <c r="K1121" i="1"/>
  <c r="K862" i="1"/>
  <c r="K1182" i="1"/>
  <c r="K1175" i="1"/>
  <c r="K998" i="1"/>
  <c r="K775" i="1"/>
  <c r="K839" i="1"/>
  <c r="K739" i="1"/>
  <c r="K1021" i="1"/>
  <c r="K104" i="1"/>
  <c r="K906" i="1"/>
  <c r="L1174" i="1"/>
  <c r="K678" i="1"/>
  <c r="K751" i="1"/>
  <c r="K1061" i="1"/>
  <c r="K1198" i="1"/>
  <c r="K1147" i="1"/>
  <c r="K1107" i="1"/>
  <c r="K1169" i="1"/>
  <c r="K708" i="1"/>
  <c r="K889" i="1"/>
  <c r="K518" i="1"/>
  <c r="K418" i="1"/>
  <c r="K859" i="1"/>
  <c r="K1079" i="1"/>
  <c r="K999" i="1"/>
  <c r="K657" i="1"/>
  <c r="K899" i="1"/>
  <c r="K1188" i="1"/>
  <c r="K624" i="1"/>
  <c r="K1145" i="1"/>
  <c r="K980" i="1"/>
  <c r="K950" i="1"/>
  <c r="M520" i="1"/>
  <c r="M914" i="1"/>
  <c r="L520" i="1"/>
  <c r="L914" i="1"/>
  <c r="K520" i="1"/>
  <c r="K914" i="1"/>
  <c r="M588" i="1"/>
  <c r="N588" i="1" s="1" a="1"/>
  <c r="N588" i="1" s="1"/>
  <c r="M510" i="1"/>
  <c r="M800" i="1"/>
  <c r="M1031" i="1"/>
  <c r="M1111" i="1"/>
  <c r="L588" i="1"/>
  <c r="L510" i="1"/>
  <c r="L800" i="1"/>
  <c r="L1031" i="1"/>
  <c r="L1111" i="1"/>
  <c r="K510" i="1"/>
  <c r="K588" i="1"/>
  <c r="K800" i="1"/>
  <c r="K1031" i="1"/>
  <c r="K1111" i="1"/>
  <c r="M500" i="1"/>
  <c r="M1118" i="1"/>
  <c r="N1118" i="1" s="1" a="1"/>
  <c r="N1118" i="1" s="1"/>
  <c r="M1137" i="1"/>
  <c r="L1137" i="1"/>
  <c r="L500" i="1"/>
  <c r="K500" i="1"/>
  <c r="L1118" i="1"/>
  <c r="K1137" i="1"/>
  <c r="K1118" i="1"/>
  <c r="M350" i="1"/>
  <c r="L350" i="1"/>
  <c r="M721" i="1"/>
  <c r="L721" i="1"/>
  <c r="K350" i="1"/>
  <c r="K721" i="1"/>
  <c r="M320" i="1"/>
  <c r="N320" i="1" s="1" a="1"/>
  <c r="N320" i="1" s="1"/>
  <c r="L320" i="1"/>
  <c r="M1122" i="1"/>
  <c r="L1122" i="1"/>
  <c r="K320" i="1"/>
  <c r="M444" i="1"/>
  <c r="M778" i="1"/>
  <c r="M310" i="1"/>
  <c r="L310" i="1"/>
  <c r="M1001" i="1"/>
  <c r="N1001" i="1" s="1" a="1"/>
  <c r="N1001" i="1" s="1"/>
  <c r="M750" i="1"/>
  <c r="N750" i="1" s="1" a="1"/>
  <c r="N750" i="1" s="1"/>
  <c r="M923" i="1"/>
  <c r="L778" i="1"/>
  <c r="L750" i="1"/>
  <c r="L1001" i="1"/>
  <c r="L923" i="1"/>
  <c r="L444" i="1"/>
  <c r="K310" i="1"/>
  <c r="K923" i="1"/>
  <c r="K778" i="1"/>
  <c r="K444" i="1"/>
  <c r="K750" i="1"/>
  <c r="K1001" i="1"/>
  <c r="M329" i="1"/>
  <c r="M270" i="1"/>
  <c r="L329" i="1"/>
  <c r="L270" i="1"/>
  <c r="M933" i="1"/>
  <c r="N933" i="1" s="1" a="1"/>
  <c r="N933" i="1" s="1"/>
  <c r="L933" i="1"/>
  <c r="K329" i="1"/>
  <c r="K270" i="1"/>
  <c r="K933" i="1"/>
  <c r="M448" i="1"/>
  <c r="M458" i="1"/>
  <c r="M250" i="1"/>
  <c r="M370" i="1"/>
  <c r="M970" i="1"/>
  <c r="N970" i="1" s="1" a="1"/>
  <c r="N970" i="1" s="1"/>
  <c r="L250" i="1"/>
  <c r="L370" i="1"/>
  <c r="M742" i="1"/>
  <c r="M1063" i="1"/>
  <c r="N1063" i="1" s="1" a="1"/>
  <c r="N1063" i="1" s="1"/>
  <c r="M811" i="1"/>
  <c r="L448" i="1"/>
  <c r="L458" i="1"/>
  <c r="L970" i="1"/>
  <c r="L811" i="1"/>
  <c r="L742" i="1"/>
  <c r="L1063" i="1"/>
  <c r="K250" i="1"/>
  <c r="K370" i="1"/>
  <c r="K742" i="1"/>
  <c r="K458" i="1"/>
  <c r="K1063" i="1"/>
  <c r="K970" i="1"/>
  <c r="K448" i="1"/>
  <c r="K811" i="1"/>
  <c r="M240" i="1"/>
  <c r="M918" i="1"/>
  <c r="M1000" i="1"/>
  <c r="L240" i="1"/>
  <c r="M1003" i="1"/>
  <c r="N1003" i="1" s="1" a="1"/>
  <c r="N1003" i="1" s="1"/>
  <c r="L918" i="1"/>
  <c r="L1000" i="1"/>
  <c r="L1003" i="1"/>
  <c r="K240" i="1"/>
  <c r="K1003" i="1"/>
  <c r="K1000" i="1"/>
  <c r="K918" i="1"/>
  <c r="M220" i="1"/>
  <c r="L220" i="1"/>
  <c r="M1115" i="1"/>
  <c r="N1115" i="1" s="1" a="1"/>
  <c r="N1115" i="1" s="1"/>
  <c r="L1115" i="1"/>
  <c r="K220" i="1"/>
  <c r="K1115" i="1"/>
  <c r="M633" i="1"/>
  <c r="M210" i="1"/>
  <c r="N210" i="1" s="1" a="1"/>
  <c r="N210" i="1" s="1"/>
  <c r="L210" i="1"/>
  <c r="M1045" i="1"/>
  <c r="L633" i="1"/>
  <c r="K210" i="1"/>
  <c r="L1045" i="1"/>
  <c r="K1045" i="1"/>
  <c r="K633" i="1"/>
  <c r="M517" i="1"/>
  <c r="M180" i="1"/>
  <c r="L180" i="1"/>
  <c r="L517" i="1"/>
  <c r="K517" i="1"/>
  <c r="K180" i="1"/>
  <c r="M764" i="1"/>
  <c r="M160" i="1"/>
  <c r="N160" i="1" s="1" a="1"/>
  <c r="N160" i="1" s="1"/>
  <c r="M898" i="1"/>
  <c r="L160" i="1"/>
  <c r="M1084" i="1"/>
  <c r="L898" i="1"/>
  <c r="L764" i="1"/>
  <c r="K160" i="1"/>
  <c r="L1084" i="1"/>
  <c r="K764" i="1"/>
  <c r="K1084" i="1"/>
  <c r="K898" i="1"/>
  <c r="M276" i="1"/>
  <c r="M140" i="1"/>
  <c r="L140" i="1"/>
  <c r="M690" i="1"/>
  <c r="L276" i="1"/>
  <c r="L690" i="1"/>
  <c r="K276" i="1"/>
  <c r="K140" i="1"/>
  <c r="K690" i="1"/>
  <c r="M130" i="1"/>
  <c r="N130" i="1" s="1" a="1"/>
  <c r="N130" i="1" s="1"/>
  <c r="L130" i="1"/>
  <c r="M1181" i="1"/>
  <c r="M913" i="1"/>
  <c r="L913" i="1"/>
  <c r="K130" i="1"/>
  <c r="L1181" i="1"/>
  <c r="K913" i="1"/>
  <c r="K1181" i="1"/>
  <c r="M392" i="1"/>
  <c r="M225" i="1"/>
  <c r="N225" i="1" s="1" a="1"/>
  <c r="N225" i="1" s="1"/>
  <c r="M120" i="1"/>
  <c r="M141" i="1"/>
  <c r="M960" i="1"/>
  <c r="L120" i="1"/>
  <c r="L141" i="1"/>
  <c r="L225" i="1"/>
  <c r="L960" i="1"/>
  <c r="L392" i="1"/>
  <c r="K225" i="1"/>
  <c r="K120" i="1"/>
  <c r="K141" i="1"/>
  <c r="K392" i="1"/>
  <c r="K960" i="1"/>
  <c r="M613" i="1"/>
  <c r="M146" i="1"/>
  <c r="M100" i="1"/>
  <c r="L100" i="1"/>
  <c r="M1034" i="1"/>
  <c r="L146" i="1"/>
  <c r="L613" i="1"/>
  <c r="K146" i="1"/>
  <c r="L1034" i="1"/>
  <c r="K100" i="1"/>
  <c r="K1034" i="1"/>
  <c r="K613" i="1"/>
  <c r="M90" i="1"/>
  <c r="L90" i="1"/>
  <c r="K90" i="1"/>
  <c r="M203" i="1"/>
  <c r="N203" i="1" s="1" a="1"/>
  <c r="N203" i="1" s="1"/>
  <c r="M457" i="1"/>
  <c r="M60" i="1"/>
  <c r="L60" i="1"/>
  <c r="M982" i="1"/>
  <c r="L203" i="1"/>
  <c r="M1195" i="1"/>
  <c r="M996" i="1"/>
  <c r="M1106" i="1"/>
  <c r="M1097" i="1"/>
  <c r="L457" i="1"/>
  <c r="L1097" i="1"/>
  <c r="L982" i="1"/>
  <c r="L1106" i="1"/>
  <c r="L1195" i="1"/>
  <c r="L996" i="1"/>
  <c r="K457" i="1"/>
  <c r="K60" i="1"/>
  <c r="K203" i="1"/>
  <c r="K1195" i="1"/>
  <c r="K996" i="1"/>
  <c r="K1106" i="1"/>
  <c r="K1097" i="1"/>
  <c r="M50" i="1"/>
  <c r="N50" i="1" s="1" a="1"/>
  <c r="N50" i="1" s="1"/>
  <c r="M815" i="1"/>
  <c r="L50" i="1"/>
  <c r="L815" i="1"/>
  <c r="K50" i="1"/>
  <c r="K815" i="1"/>
  <c r="K982" i="1"/>
  <c r="M664" i="1"/>
  <c r="N664" i="1" s="1" a="1"/>
  <c r="N664" i="1" s="1"/>
  <c r="M630" i="1"/>
  <c r="N630" i="1" s="1" a="1"/>
  <c r="N630" i="1" s="1"/>
  <c r="L630" i="1"/>
  <c r="L664" i="1"/>
  <c r="K630" i="1"/>
  <c r="K664" i="1"/>
  <c r="K1130" i="1"/>
  <c r="M450" i="1"/>
  <c r="M1193" i="1"/>
  <c r="M1125" i="1"/>
  <c r="L450" i="1"/>
  <c r="L1125" i="1"/>
  <c r="K450" i="1"/>
  <c r="L1193" i="1"/>
  <c r="K1193" i="1"/>
  <c r="K1125" i="1"/>
  <c r="M543" i="1"/>
  <c r="M400" i="1"/>
  <c r="M930" i="1"/>
  <c r="L400" i="1"/>
  <c r="L930" i="1"/>
  <c r="L543" i="1"/>
  <c r="K400" i="1"/>
  <c r="K930" i="1"/>
  <c r="K543" i="1"/>
  <c r="M340" i="1"/>
  <c r="M1189" i="1"/>
  <c r="L340" i="1"/>
  <c r="L1189" i="1"/>
  <c r="K340" i="1"/>
  <c r="K1189" i="1"/>
  <c r="K760" i="1"/>
  <c r="K334" i="1"/>
  <c r="K1010" i="1"/>
  <c r="M420" i="1"/>
  <c r="M1167" i="1"/>
  <c r="L420" i="1"/>
  <c r="L1167" i="1"/>
  <c r="K420" i="1"/>
  <c r="K1167" i="1"/>
  <c r="K706" i="1"/>
  <c r="K1141" i="1"/>
  <c r="K890" i="1"/>
  <c r="K1150" i="1"/>
  <c r="K1190" i="1"/>
  <c r="M909" i="1"/>
  <c r="M780" i="1"/>
  <c r="L909" i="1"/>
  <c r="L780" i="1"/>
  <c r="K909" i="1"/>
  <c r="K780" i="1"/>
  <c r="K482" i="1"/>
  <c r="K1085" i="1"/>
  <c r="K931" i="1"/>
  <c r="K474" i="1"/>
  <c r="K979" i="1"/>
  <c r="M1070" i="1"/>
  <c r="K1070" i="1"/>
  <c r="L1070" i="1"/>
  <c r="K850" i="1"/>
  <c r="K1029" i="1"/>
  <c r="K855" i="1"/>
  <c r="K749" i="1"/>
  <c r="K707" i="1"/>
  <c r="K896" i="1"/>
  <c r="K869" i="1"/>
  <c r="K573" i="1"/>
  <c r="L1088" i="1"/>
  <c r="K870" i="1"/>
  <c r="K939" i="1"/>
  <c r="K946" i="1"/>
  <c r="K910" i="1"/>
  <c r="K1132" i="1"/>
  <c r="M830" i="1"/>
  <c r="N830" i="1" s="1" a="1"/>
  <c r="N830" i="1" s="1"/>
  <c r="M943" i="1"/>
  <c r="L830" i="1"/>
  <c r="L943" i="1"/>
  <c r="K943" i="1"/>
  <c r="K830" i="1"/>
  <c r="M570" i="1"/>
  <c r="M1017" i="1"/>
  <c r="N1017" i="1" s="1" a="1"/>
  <c r="N1017" i="1" s="1"/>
  <c r="L1017" i="1"/>
  <c r="L570" i="1"/>
  <c r="K570" i="1"/>
  <c r="K1017" i="1"/>
  <c r="K715" i="1"/>
  <c r="K825" i="1"/>
  <c r="K194" i="1"/>
  <c r="K1078" i="1"/>
  <c r="K727" i="1"/>
  <c r="K24" i="1"/>
  <c r="K14" i="1"/>
  <c r="K4" i="1"/>
  <c r="K1122" i="1"/>
  <c r="K464" i="1"/>
  <c r="K594" i="1"/>
  <c r="K512" i="1"/>
  <c r="K954" i="1"/>
  <c r="L1194" i="1"/>
  <c r="M920" i="1"/>
  <c r="L920" i="1"/>
  <c r="K920" i="1"/>
  <c r="M590" i="1"/>
  <c r="L590" i="1"/>
  <c r="K590" i="1"/>
  <c r="M560" i="1"/>
  <c r="L560" i="1"/>
  <c r="K560" i="1"/>
  <c r="K598" i="1"/>
  <c r="K504" i="1"/>
  <c r="M1102" i="1"/>
  <c r="N1102" i="1" s="1" a="1"/>
  <c r="N1102" i="1" s="1"/>
  <c r="M1196" i="1"/>
  <c r="N1196" i="1" s="1" a="1"/>
  <c r="N1196" i="1" s="1"/>
  <c r="L1102" i="1"/>
  <c r="L1196" i="1"/>
  <c r="K1196" i="1"/>
  <c r="K1110" i="1"/>
  <c r="M962" i="1"/>
  <c r="L962" i="1"/>
  <c r="K882" i="1"/>
  <c r="K1149" i="1"/>
  <c r="K832" i="1"/>
  <c r="K1050" i="1"/>
  <c r="M812" i="1"/>
  <c r="L812" i="1"/>
  <c r="K812" i="1"/>
  <c r="M1128" i="1"/>
  <c r="M802" i="1"/>
  <c r="M902" i="1"/>
  <c r="L802" i="1"/>
  <c r="L902" i="1"/>
  <c r="L1128" i="1"/>
  <c r="K802" i="1"/>
  <c r="K1128" i="1"/>
  <c r="M1138" i="1"/>
  <c r="M1148" i="1"/>
  <c r="M772" i="1"/>
  <c r="L772" i="1"/>
  <c r="L1148" i="1"/>
  <c r="K772" i="1"/>
  <c r="K1138" i="1"/>
  <c r="K1148" i="1"/>
  <c r="L1138" i="1"/>
  <c r="M938" i="1"/>
  <c r="M762" i="1"/>
  <c r="M1005" i="1"/>
  <c r="M1025" i="1"/>
  <c r="L938" i="1"/>
  <c r="L762" i="1"/>
  <c r="L1025" i="1"/>
  <c r="L1005" i="1"/>
  <c r="K762" i="1"/>
  <c r="K1005" i="1"/>
  <c r="K1025" i="1"/>
  <c r="K938" i="1"/>
  <c r="M662" i="1"/>
  <c r="L662" i="1"/>
  <c r="K662" i="1"/>
  <c r="M602" i="1"/>
  <c r="M623" i="1"/>
  <c r="M719" i="1"/>
  <c r="N719" i="1" s="1" a="1"/>
  <c r="N719" i="1" s="1"/>
  <c r="M842" i="1"/>
  <c r="N842" i="1" s="1" a="1"/>
  <c r="N842" i="1" s="1"/>
  <c r="M1065" i="1"/>
  <c r="N1065" i="1" s="1" a="1"/>
  <c r="N1065" i="1" s="1"/>
  <c r="L719" i="1"/>
  <c r="L602" i="1"/>
  <c r="L842" i="1"/>
  <c r="L623" i="1"/>
  <c r="L1065" i="1"/>
  <c r="K719" i="1"/>
  <c r="K842" i="1"/>
  <c r="K1065" i="1"/>
  <c r="K602" i="1"/>
  <c r="K623" i="1"/>
  <c r="M582" i="1"/>
  <c r="M743" i="1"/>
  <c r="N743" i="1" s="1" a="1"/>
  <c r="N743" i="1" s="1"/>
  <c r="M1135" i="1"/>
  <c r="L582" i="1"/>
  <c r="L743" i="1"/>
  <c r="L1135" i="1"/>
  <c r="K743" i="1"/>
  <c r="K1135" i="1"/>
  <c r="K582" i="1"/>
  <c r="M562" i="1"/>
  <c r="N562" i="1" s="1" a="1"/>
  <c r="N562" i="1" s="1"/>
  <c r="M1151" i="1"/>
  <c r="L562" i="1"/>
  <c r="L1151" i="1"/>
  <c r="K562" i="1"/>
  <c r="K1151" i="1"/>
  <c r="M502" i="1"/>
  <c r="M777" i="1"/>
  <c r="L777" i="1"/>
  <c r="L502" i="1"/>
  <c r="K502" i="1"/>
  <c r="K777" i="1"/>
  <c r="M452" i="1"/>
  <c r="N452" i="1" s="1" a="1"/>
  <c r="N452" i="1" s="1"/>
  <c r="L452" i="1"/>
  <c r="K452" i="1"/>
  <c r="M432" i="1"/>
  <c r="M493" i="1"/>
  <c r="M770" i="1"/>
  <c r="L770" i="1"/>
  <c r="L432" i="1"/>
  <c r="L493" i="1"/>
  <c r="K493" i="1"/>
  <c r="K432" i="1"/>
  <c r="K770" i="1"/>
  <c r="M422" i="1"/>
  <c r="L422" i="1"/>
  <c r="K422" i="1"/>
  <c r="M352" i="1"/>
  <c r="N352" i="1" s="1" a="1"/>
  <c r="N352" i="1" s="1"/>
  <c r="M900" i="1"/>
  <c r="N900" i="1" s="1" a="1"/>
  <c r="N900" i="1" s="1"/>
  <c r="M1037" i="1"/>
  <c r="N1037" i="1" s="1" a="1"/>
  <c r="N1037" i="1" s="1"/>
  <c r="L1037" i="1"/>
  <c r="L352" i="1"/>
  <c r="L900" i="1"/>
  <c r="K352" i="1"/>
  <c r="K1037" i="1"/>
  <c r="K900" i="1"/>
  <c r="M342" i="1"/>
  <c r="M536" i="1"/>
  <c r="M347" i="1"/>
  <c r="N347" i="1" s="1" a="1"/>
  <c r="N347" i="1" s="1"/>
  <c r="M1059" i="1"/>
  <c r="N1059" i="1" s="1" a="1"/>
  <c r="N1059" i="1" s="1"/>
  <c r="M529" i="1"/>
  <c r="N529" i="1" s="1" a="1"/>
  <c r="N529" i="1" s="1"/>
  <c r="L347" i="1"/>
  <c r="L536" i="1"/>
  <c r="L529" i="1"/>
  <c r="L1059" i="1"/>
  <c r="L342" i="1"/>
  <c r="K536" i="1"/>
  <c r="K347" i="1"/>
  <c r="K529" i="1"/>
  <c r="K342" i="1"/>
  <c r="K1059" i="1"/>
  <c r="K1100" i="1"/>
  <c r="M312" i="1"/>
  <c r="M828" i="1"/>
  <c r="L312" i="1"/>
  <c r="L828" i="1"/>
  <c r="K312" i="1"/>
  <c r="K828" i="1"/>
  <c r="M302" i="1"/>
  <c r="M1156" i="1"/>
  <c r="N1156" i="1" s="1" a="1"/>
  <c r="N1156" i="1" s="1"/>
  <c r="L302" i="1"/>
  <c r="L1156" i="1"/>
  <c r="K302" i="1"/>
  <c r="K1156" i="1"/>
  <c r="M282" i="1"/>
  <c r="M514" i="1"/>
  <c r="N514" i="1" s="1" a="1"/>
  <c r="N514" i="1" s="1"/>
  <c r="M1028" i="1"/>
  <c r="L282" i="1"/>
  <c r="M864" i="1"/>
  <c r="M1096" i="1"/>
  <c r="N1096" i="1" s="1" a="1"/>
  <c r="N1096" i="1" s="1"/>
  <c r="L1028" i="1"/>
  <c r="L514" i="1"/>
  <c r="L864" i="1"/>
  <c r="L1096" i="1"/>
  <c r="K282" i="1"/>
  <c r="K864" i="1"/>
  <c r="K1096" i="1"/>
  <c r="K1028" i="1"/>
  <c r="K514" i="1"/>
  <c r="M272" i="1"/>
  <c r="N272" i="1" s="1" a="1"/>
  <c r="N272" i="1" s="1"/>
  <c r="M632" i="1"/>
  <c r="N632" i="1" s="1" a="1"/>
  <c r="N632" i="1" s="1"/>
  <c r="M789" i="1"/>
  <c r="M1161" i="1"/>
  <c r="L272" i="1"/>
  <c r="M776" i="1"/>
  <c r="M752" i="1"/>
  <c r="L776" i="1"/>
  <c r="L789" i="1"/>
  <c r="L632" i="1"/>
  <c r="L752" i="1"/>
  <c r="L1161" i="1"/>
  <c r="K272" i="1"/>
  <c r="K752" i="1"/>
  <c r="K632" i="1"/>
  <c r="K776" i="1"/>
  <c r="K789" i="1"/>
  <c r="K1161" i="1"/>
  <c r="M262" i="1"/>
  <c r="M655" i="1"/>
  <c r="M650" i="1"/>
  <c r="N650" i="1" s="1" a="1"/>
  <c r="N650" i="1" s="1"/>
  <c r="M501" i="1"/>
  <c r="M991" i="1"/>
  <c r="L262" i="1"/>
  <c r="L650" i="1"/>
  <c r="L501" i="1"/>
  <c r="L991" i="1"/>
  <c r="L655" i="1"/>
  <c r="K655" i="1"/>
  <c r="K650" i="1"/>
  <c r="K501" i="1"/>
  <c r="K262" i="1"/>
  <c r="K991" i="1"/>
  <c r="M252" i="1"/>
  <c r="M284" i="1"/>
  <c r="M881" i="1"/>
  <c r="L252" i="1"/>
  <c r="L284" i="1"/>
  <c r="L881" i="1"/>
  <c r="K252" i="1"/>
  <c r="K284" i="1"/>
  <c r="K881" i="1"/>
  <c r="M222" i="1"/>
  <c r="L222" i="1"/>
  <c r="M779" i="1"/>
  <c r="L779" i="1"/>
  <c r="K222" i="1"/>
  <c r="K779" i="1"/>
  <c r="M172" i="1"/>
  <c r="M242" i="1"/>
  <c r="N242" i="1" s="1" a="1"/>
  <c r="N242" i="1" s="1"/>
  <c r="M234" i="1"/>
  <c r="N234" i="1" s="1" a="1"/>
  <c r="N234" i="1" s="1"/>
  <c r="M526" i="1"/>
  <c r="N526" i="1" s="1" a="1"/>
  <c r="N526" i="1" s="1"/>
  <c r="L172" i="1"/>
  <c r="L242" i="1"/>
  <c r="L234" i="1"/>
  <c r="L526" i="1"/>
  <c r="K526" i="1"/>
  <c r="K172" i="1"/>
  <c r="K242" i="1"/>
  <c r="K234" i="1"/>
  <c r="M162" i="1"/>
  <c r="N162" i="1" s="1" a="1"/>
  <c r="N162" i="1" s="1"/>
  <c r="L162" i="1"/>
  <c r="K162" i="1"/>
  <c r="M152" i="1"/>
  <c r="M793" i="1"/>
  <c r="L152" i="1"/>
  <c r="L793" i="1"/>
  <c r="K152" i="1"/>
  <c r="K793" i="1"/>
  <c r="M142" i="1"/>
  <c r="M813" i="1"/>
  <c r="N813" i="1" s="1" a="1"/>
  <c r="N813" i="1" s="1"/>
  <c r="M535" i="1"/>
  <c r="N535" i="1" s="1" a="1"/>
  <c r="N535" i="1" s="1"/>
  <c r="L142" i="1"/>
  <c r="L813" i="1"/>
  <c r="L535" i="1"/>
  <c r="K535" i="1"/>
  <c r="K142" i="1"/>
  <c r="K813" i="1"/>
  <c r="M112" i="1"/>
  <c r="L112" i="1"/>
  <c r="M1027" i="1"/>
  <c r="N1027" i="1" s="1" a="1"/>
  <c r="N1027" i="1" s="1"/>
  <c r="L1027" i="1"/>
  <c r="K112" i="1"/>
  <c r="K1027" i="1"/>
  <c r="M102" i="1"/>
  <c r="M216" i="1"/>
  <c r="M111" i="1"/>
  <c r="N111" i="1" s="1" a="1"/>
  <c r="N111" i="1" s="1"/>
  <c r="L111" i="1"/>
  <c r="M806" i="1"/>
  <c r="L102" i="1"/>
  <c r="L216" i="1"/>
  <c r="L806" i="1"/>
  <c r="K216" i="1"/>
  <c r="K111" i="1"/>
  <c r="K102" i="1"/>
  <c r="K806" i="1"/>
  <c r="M92" i="1"/>
  <c r="M403" i="1"/>
  <c r="M207" i="1"/>
  <c r="M478" i="1"/>
  <c r="L92" i="1"/>
  <c r="L207" i="1"/>
  <c r="L478" i="1"/>
  <c r="L403" i="1"/>
  <c r="K207" i="1"/>
  <c r="K92" i="1"/>
  <c r="K403" i="1"/>
  <c r="K478" i="1"/>
  <c r="M82" i="1"/>
  <c r="M783" i="1"/>
  <c r="M575" i="1"/>
  <c r="N575" i="1" s="1" a="1"/>
  <c r="N575" i="1" s="1"/>
  <c r="L82" i="1"/>
  <c r="L783" i="1"/>
  <c r="L575" i="1"/>
  <c r="K575" i="1"/>
  <c r="K82" i="1"/>
  <c r="K783" i="1"/>
  <c r="M72" i="1"/>
  <c r="N72" i="1" s="1" a="1"/>
  <c r="N72" i="1" s="1"/>
  <c r="M374" i="1"/>
  <c r="L72" i="1"/>
  <c r="M1083" i="1"/>
  <c r="N1083" i="1" s="1" a="1"/>
  <c r="N1083" i="1" s="1"/>
  <c r="L374" i="1"/>
  <c r="L1083" i="1"/>
  <c r="K72" i="1"/>
  <c r="K1083" i="1"/>
  <c r="K374" i="1"/>
  <c r="M62" i="1"/>
  <c r="M105" i="1"/>
  <c r="N105" i="1" s="1" a="1"/>
  <c r="N105" i="1" s="1"/>
  <c r="M280" i="1"/>
  <c r="L280" i="1"/>
  <c r="M1182" i="1"/>
  <c r="N1182" i="1" s="1" a="1"/>
  <c r="N1182" i="1" s="1"/>
  <c r="L62" i="1"/>
  <c r="L105" i="1"/>
  <c r="K105" i="1"/>
  <c r="K280" i="1"/>
  <c r="L1182" i="1"/>
  <c r="K62" i="1"/>
  <c r="M52" i="1"/>
  <c r="M592" i="1"/>
  <c r="M717" i="1"/>
  <c r="N717" i="1" s="1" a="1"/>
  <c r="N717" i="1" s="1"/>
  <c r="L52" i="1"/>
  <c r="M1173" i="1"/>
  <c r="M1087" i="1"/>
  <c r="M1127" i="1"/>
  <c r="L717" i="1"/>
  <c r="L1087" i="1"/>
  <c r="L1127" i="1"/>
  <c r="L592" i="1"/>
  <c r="K52" i="1"/>
  <c r="L1173" i="1"/>
  <c r="K1173" i="1"/>
  <c r="K592" i="1"/>
  <c r="K1087" i="1"/>
  <c r="K1127" i="1"/>
  <c r="K717" i="1"/>
  <c r="M42" i="1"/>
  <c r="M486" i="1"/>
  <c r="M851" i="1"/>
  <c r="N851" i="1" s="1" a="1"/>
  <c r="N851" i="1" s="1"/>
  <c r="L42" i="1"/>
  <c r="M821" i="1"/>
  <c r="N821" i="1" s="1" a="1"/>
  <c r="N821" i="1" s="1"/>
  <c r="M1035" i="1"/>
  <c r="N1035" i="1" s="1" a="1"/>
  <c r="N1035" i="1" s="1"/>
  <c r="L486" i="1"/>
  <c r="L821" i="1"/>
  <c r="L851" i="1"/>
  <c r="K486" i="1"/>
  <c r="L1035" i="1"/>
  <c r="K42" i="1"/>
  <c r="K1035" i="1"/>
  <c r="K821" i="1"/>
  <c r="K851" i="1"/>
  <c r="M32" i="1"/>
  <c r="N32" i="1" s="1" a="1"/>
  <c r="N32" i="1" s="1"/>
  <c r="M404" i="1"/>
  <c r="N404" i="1" s="1" a="1"/>
  <c r="N404" i="1" s="1"/>
  <c r="M217" i="1"/>
  <c r="M1020" i="1"/>
  <c r="M1030" i="1"/>
  <c r="L32" i="1"/>
  <c r="L217" i="1"/>
  <c r="L1020" i="1"/>
  <c r="L1030" i="1"/>
  <c r="L404" i="1"/>
  <c r="K217" i="1"/>
  <c r="K32" i="1"/>
  <c r="K1020" i="1"/>
  <c r="K1030" i="1"/>
  <c r="K404" i="1"/>
  <c r="M22" i="1"/>
  <c r="M734" i="1"/>
  <c r="M578" i="1"/>
  <c r="M491" i="1"/>
  <c r="N491" i="1" s="1" a="1"/>
  <c r="N491" i="1" s="1"/>
  <c r="M1022" i="1"/>
  <c r="N1022" i="1" s="1" a="1"/>
  <c r="N1022" i="1" s="1"/>
  <c r="L22" i="1"/>
  <c r="L578" i="1"/>
  <c r="L491" i="1"/>
  <c r="L1022" i="1"/>
  <c r="L734" i="1"/>
  <c r="K491" i="1"/>
  <c r="K22" i="1"/>
  <c r="K734" i="1"/>
  <c r="K578" i="1"/>
  <c r="M12" i="1"/>
  <c r="N12" i="1" s="1" a="1"/>
  <c r="N12" i="1" s="1"/>
  <c r="M98" i="1"/>
  <c r="N98" i="1" s="1" a="1"/>
  <c r="N98" i="1" s="1"/>
  <c r="L98" i="1"/>
  <c r="L12" i="1"/>
  <c r="K98" i="1"/>
  <c r="K12" i="1"/>
  <c r="M2" i="1"/>
  <c r="M204" i="1"/>
  <c r="N204" i="1" s="1" a="1"/>
  <c r="N204" i="1" s="1"/>
  <c r="M871" i="1"/>
  <c r="L2" i="1"/>
  <c r="L204" i="1"/>
  <c r="L871" i="1"/>
  <c r="K2" i="1"/>
  <c r="K204" i="1"/>
  <c r="K871" i="1"/>
  <c r="K1102" i="1"/>
  <c r="K902" i="1"/>
  <c r="K634" i="1"/>
  <c r="K917" i="1"/>
  <c r="M1112" i="1"/>
  <c r="L1112" i="1"/>
  <c r="M1171" i="1"/>
  <c r="N1171" i="1" s="1" a="1"/>
  <c r="N1171" i="1" s="1"/>
  <c r="M1185" i="1"/>
  <c r="N1185" i="1" s="1" a="1"/>
  <c r="N1185" i="1" s="1"/>
  <c r="L1185" i="1"/>
  <c r="L1171" i="1"/>
  <c r="K1185" i="1"/>
  <c r="K1171" i="1"/>
  <c r="K1040" i="1"/>
  <c r="K852" i="1"/>
  <c r="K1194" i="1"/>
  <c r="M981" i="1"/>
  <c r="L981" i="1"/>
  <c r="M951" i="1"/>
  <c r="N951" i="1" s="1" a="1"/>
  <c r="N951" i="1" s="1"/>
  <c r="L951" i="1"/>
  <c r="M801" i="1"/>
  <c r="L801" i="1"/>
  <c r="M792" i="1"/>
  <c r="M781" i="1"/>
  <c r="L781" i="1"/>
  <c r="L792" i="1"/>
  <c r="M741" i="1"/>
  <c r="M831" i="1"/>
  <c r="M822" i="1"/>
  <c r="M985" i="1"/>
  <c r="L741" i="1"/>
  <c r="L831" i="1"/>
  <c r="L822" i="1"/>
  <c r="K741" i="1"/>
  <c r="L985" i="1"/>
  <c r="M681" i="1"/>
  <c r="L681" i="1"/>
  <c r="K681" i="1"/>
  <c r="M601" i="1"/>
  <c r="N601" i="1" s="1" a="1"/>
  <c r="N601" i="1" s="1"/>
  <c r="M1089" i="1"/>
  <c r="M1160" i="1"/>
  <c r="M835" i="1"/>
  <c r="L1089" i="1"/>
  <c r="L601" i="1"/>
  <c r="L1160" i="1"/>
  <c r="L835" i="1"/>
  <c r="K601" i="1"/>
  <c r="M714" i="1"/>
  <c r="N714" i="1" s="1" a="1"/>
  <c r="N714" i="1" s="1"/>
  <c r="M561" i="1"/>
  <c r="N561" i="1" s="1" a="1"/>
  <c r="N561" i="1" s="1"/>
  <c r="M935" i="1"/>
  <c r="L561" i="1"/>
  <c r="L714" i="1"/>
  <c r="L935" i="1"/>
  <c r="K561" i="1"/>
  <c r="M551" i="1"/>
  <c r="M1139" i="1"/>
  <c r="L1139" i="1"/>
  <c r="L551" i="1"/>
  <c r="K551" i="1"/>
  <c r="M672" i="1"/>
  <c r="M441" i="1"/>
  <c r="M790" i="1"/>
  <c r="M1192" i="1"/>
  <c r="M1033" i="1"/>
  <c r="L790" i="1"/>
  <c r="L441" i="1"/>
  <c r="L672" i="1"/>
  <c r="L1033" i="1"/>
  <c r="K441" i="1"/>
  <c r="L1192" i="1"/>
  <c r="M577" i="1"/>
  <c r="M421" i="1"/>
  <c r="M740" i="1"/>
  <c r="M818" i="1"/>
  <c r="M1146" i="1"/>
  <c r="L577" i="1"/>
  <c r="L818" i="1"/>
  <c r="L740" i="1"/>
  <c r="L421" i="1"/>
  <c r="K577" i="1"/>
  <c r="L1146" i="1"/>
  <c r="K421" i="1"/>
  <c r="M411" i="1"/>
  <c r="M1002" i="1"/>
  <c r="N1002" i="1" s="1" a="1"/>
  <c r="N1002" i="1" s="1"/>
  <c r="M1134" i="1"/>
  <c r="L411" i="1"/>
  <c r="L1002" i="1"/>
  <c r="L1134" i="1"/>
  <c r="K411" i="1"/>
  <c r="M423" i="1"/>
  <c r="M391" i="1"/>
  <c r="M1008" i="1"/>
  <c r="M1142" i="1"/>
  <c r="M1186" i="1"/>
  <c r="L1008" i="1"/>
  <c r="L391" i="1"/>
  <c r="L1142" i="1"/>
  <c r="L423" i="1"/>
  <c r="L1186" i="1"/>
  <c r="K391" i="1"/>
  <c r="K423" i="1"/>
  <c r="M696" i="1"/>
  <c r="M381" i="1"/>
  <c r="M791" i="1"/>
  <c r="N791" i="1" s="1" a="1"/>
  <c r="N791" i="1" s="1"/>
  <c r="L696" i="1"/>
  <c r="L791" i="1"/>
  <c r="L381" i="1"/>
  <c r="K381" i="1"/>
  <c r="M483" i="1"/>
  <c r="M485" i="1"/>
  <c r="M648" i="1"/>
  <c r="M371" i="1"/>
  <c r="M451" i="1"/>
  <c r="M481" i="1"/>
  <c r="N481" i="1" s="1" a="1"/>
  <c r="N481" i="1" s="1"/>
  <c r="M710" i="1"/>
  <c r="M986" i="1"/>
  <c r="L648" i="1"/>
  <c r="L710" i="1"/>
  <c r="L451" i="1"/>
  <c r="L481" i="1"/>
  <c r="L371" i="1"/>
  <c r="L483" i="1"/>
  <c r="L485" i="1"/>
  <c r="K485" i="1"/>
  <c r="K371" i="1"/>
  <c r="K451" i="1"/>
  <c r="K481" i="1"/>
  <c r="L986" i="1"/>
  <c r="K483" i="1"/>
  <c r="M331" i="1"/>
  <c r="L331" i="1"/>
  <c r="K331" i="1"/>
  <c r="M321" i="1"/>
  <c r="M816" i="1"/>
  <c r="M892" i="1"/>
  <c r="L816" i="1"/>
  <c r="L321" i="1"/>
  <c r="L892" i="1"/>
  <c r="K321" i="1"/>
  <c r="M311" i="1"/>
  <c r="M992" i="1"/>
  <c r="N992" i="1" s="1" a="1"/>
  <c r="N992" i="1" s="1"/>
  <c r="M1056" i="1"/>
  <c r="L992" i="1"/>
  <c r="L311" i="1"/>
  <c r="L1056" i="1"/>
  <c r="K311" i="1"/>
  <c r="M365" i="1"/>
  <c r="N365" i="1" s="1" a="1"/>
  <c r="N365" i="1" s="1"/>
  <c r="M301" i="1"/>
  <c r="N301" i="1" s="1" a="1"/>
  <c r="N301" i="1" s="1"/>
  <c r="L301" i="1"/>
  <c r="L365" i="1"/>
  <c r="K365" i="1"/>
  <c r="K301" i="1"/>
  <c r="M281" i="1"/>
  <c r="M879" i="1"/>
  <c r="M820" i="1"/>
  <c r="L281" i="1"/>
  <c r="L879" i="1"/>
  <c r="L820" i="1"/>
  <c r="K281" i="1"/>
  <c r="M412" i="1"/>
  <c r="M494" i="1"/>
  <c r="M688" i="1"/>
  <c r="M271" i="1"/>
  <c r="M971" i="1"/>
  <c r="M1054" i="1"/>
  <c r="L688" i="1"/>
  <c r="L971" i="1"/>
  <c r="L412" i="1"/>
  <c r="L271" i="1"/>
  <c r="L494" i="1"/>
  <c r="L1054" i="1"/>
  <c r="K271" i="1"/>
  <c r="K412" i="1"/>
  <c r="M261" i="1"/>
  <c r="M461" i="1"/>
  <c r="M886" i="1"/>
  <c r="L261" i="1"/>
  <c r="L461" i="1"/>
  <c r="L886" i="1"/>
  <c r="K261" i="1"/>
  <c r="K461" i="1"/>
  <c r="M251" i="1"/>
  <c r="M891" i="1"/>
  <c r="L251" i="1"/>
  <c r="L891" i="1"/>
  <c r="K251" i="1"/>
  <c r="M473" i="1"/>
  <c r="M547" i="1"/>
  <c r="N547" i="1" s="1" a="1"/>
  <c r="N547" i="1" s="1"/>
  <c r="M241" i="1"/>
  <c r="N241" i="1" s="1" a="1"/>
  <c r="N241" i="1" s="1"/>
  <c r="L241" i="1"/>
  <c r="L547" i="1"/>
  <c r="L473" i="1"/>
  <c r="K547" i="1"/>
  <c r="K241" i="1"/>
  <c r="K473" i="1"/>
  <c r="M712" i="1"/>
  <c r="N712" i="1" s="1" a="1"/>
  <c r="N712" i="1" s="1"/>
  <c r="M607" i="1"/>
  <c r="N607" i="1" s="1" a="1"/>
  <c r="N607" i="1" s="1"/>
  <c r="M231" i="1"/>
  <c r="N231" i="1" s="1" a="1"/>
  <c r="N231" i="1" s="1"/>
  <c r="L231" i="1"/>
  <c r="L607" i="1"/>
  <c r="L712" i="1"/>
  <c r="K607" i="1"/>
  <c r="K231" i="1"/>
  <c r="M605" i="1"/>
  <c r="M328" i="1"/>
  <c r="M201" i="1"/>
  <c r="N201" i="1" s="1" a="1"/>
  <c r="N201" i="1" s="1"/>
  <c r="M521" i="1"/>
  <c r="L328" i="1"/>
  <c r="L201" i="1"/>
  <c r="M499" i="1"/>
  <c r="M1015" i="1"/>
  <c r="M846" i="1"/>
  <c r="L846" i="1"/>
  <c r="L499" i="1"/>
  <c r="L521" i="1"/>
  <c r="L605" i="1"/>
  <c r="K605" i="1"/>
  <c r="K328" i="1"/>
  <c r="K499" i="1"/>
  <c r="L1015" i="1"/>
  <c r="K201" i="1"/>
  <c r="K521" i="1"/>
  <c r="M226" i="1"/>
  <c r="M306" i="1"/>
  <c r="M181" i="1"/>
  <c r="L181" i="1"/>
  <c r="L226" i="1"/>
  <c r="L306" i="1"/>
  <c r="K226" i="1"/>
  <c r="K306" i="1"/>
  <c r="K181" i="1"/>
  <c r="M294" i="1"/>
  <c r="M635" i="1"/>
  <c r="M239" i="1"/>
  <c r="M151" i="1"/>
  <c r="M471" i="1"/>
  <c r="N471" i="1" s="1" a="1"/>
  <c r="N471" i="1" s="1"/>
  <c r="L239" i="1"/>
  <c r="M1191" i="1"/>
  <c r="N1191" i="1" s="1" a="1"/>
  <c r="N1191" i="1" s="1"/>
  <c r="L151" i="1"/>
  <c r="L294" i="1"/>
  <c r="L471" i="1"/>
  <c r="L635" i="1"/>
  <c r="K635" i="1"/>
  <c r="K239" i="1"/>
  <c r="L1191" i="1"/>
  <c r="K151" i="1"/>
  <c r="K471" i="1"/>
  <c r="M131" i="1"/>
  <c r="N131" i="1" s="1" a="1"/>
  <c r="N131" i="1" s="1"/>
  <c r="L131" i="1"/>
  <c r="K131" i="1"/>
  <c r="M402" i="1"/>
  <c r="M542" i="1"/>
  <c r="M353" i="1"/>
  <c r="M286" i="1"/>
  <c r="N286" i="1" s="1" a="1"/>
  <c r="N286" i="1" s="1"/>
  <c r="M716" i="1"/>
  <c r="M121" i="1"/>
  <c r="N121" i="1" s="1" a="1"/>
  <c r="N121" i="1" s="1"/>
  <c r="L121" i="1"/>
  <c r="L716" i="1"/>
  <c r="L353" i="1"/>
  <c r="L286" i="1"/>
  <c r="L402" i="1"/>
  <c r="L542" i="1"/>
  <c r="K286" i="1"/>
  <c r="K121" i="1"/>
  <c r="K402" i="1"/>
  <c r="K353" i="1"/>
  <c r="M101" i="1"/>
  <c r="L101" i="1"/>
  <c r="K101" i="1"/>
  <c r="M534" i="1"/>
  <c r="M616" i="1"/>
  <c r="M81" i="1"/>
  <c r="M1150" i="1"/>
  <c r="M1190" i="1"/>
  <c r="L81" i="1"/>
  <c r="L616" i="1"/>
  <c r="L534" i="1"/>
  <c r="K616" i="1"/>
  <c r="L1190" i="1"/>
  <c r="L1150" i="1"/>
  <c r="K81" i="1"/>
  <c r="M532" i="1"/>
  <c r="M303" i="1"/>
  <c r="M184" i="1"/>
  <c r="M487" i="1"/>
  <c r="N487" i="1" s="1" a="1"/>
  <c r="N487" i="1" s="1"/>
  <c r="M80" i="1"/>
  <c r="M71" i="1"/>
  <c r="L80" i="1"/>
  <c r="L71" i="1"/>
  <c r="L184" i="1"/>
  <c r="L487" i="1"/>
  <c r="L303" i="1"/>
  <c r="L532" i="1"/>
  <c r="K487" i="1"/>
  <c r="K80" i="1"/>
  <c r="K71" i="1"/>
  <c r="K303" i="1"/>
  <c r="M774" i="1"/>
  <c r="N774" i="1" s="1" a="1"/>
  <c r="N774" i="1" s="1"/>
  <c r="M785" i="1"/>
  <c r="M277" i="1"/>
  <c r="M268" i="1"/>
  <c r="M89" i="1"/>
  <c r="M61" i="1"/>
  <c r="L268" i="1"/>
  <c r="L89" i="1"/>
  <c r="M1180" i="1"/>
  <c r="L61" i="1"/>
  <c r="M1124" i="1"/>
  <c r="N1124" i="1" s="1" a="1"/>
  <c r="N1124" i="1" s="1"/>
  <c r="L277" i="1"/>
  <c r="L774" i="1"/>
  <c r="L1124" i="1"/>
  <c r="L785" i="1"/>
  <c r="K277" i="1"/>
  <c r="K268" i="1"/>
  <c r="K89" i="1"/>
  <c r="L1180" i="1"/>
  <c r="K61" i="1"/>
  <c r="M332" i="1"/>
  <c r="N332" i="1" s="1" a="1"/>
  <c r="N332" i="1" s="1"/>
  <c r="M756" i="1"/>
  <c r="M527" i="1"/>
  <c r="M51" i="1"/>
  <c r="M929" i="1"/>
  <c r="L51" i="1"/>
  <c r="L756" i="1"/>
  <c r="L527" i="1"/>
  <c r="L332" i="1"/>
  <c r="L929" i="1"/>
  <c r="K527" i="1"/>
  <c r="K51" i="1"/>
  <c r="K332" i="1"/>
  <c r="M44" i="1"/>
  <c r="M554" i="1"/>
  <c r="M755" i="1"/>
  <c r="M228" i="1"/>
  <c r="M41" i="1"/>
  <c r="N41" i="1" s="1" a="1"/>
  <c r="N41" i="1" s="1"/>
  <c r="L228" i="1"/>
  <c r="L41" i="1"/>
  <c r="L44" i="1"/>
  <c r="L554" i="1"/>
  <c r="L755" i="1"/>
  <c r="K228" i="1"/>
  <c r="K41" i="1"/>
  <c r="M244" i="1"/>
  <c r="M86" i="1"/>
  <c r="N86" i="1" s="1" a="1"/>
  <c r="N86" i="1" s="1"/>
  <c r="M667" i="1"/>
  <c r="M31" i="1"/>
  <c r="M1090" i="1"/>
  <c r="N1090" i="1" s="1" a="1"/>
  <c r="N1090" i="1" s="1"/>
  <c r="L31" i="1"/>
  <c r="L244" i="1"/>
  <c r="L86" i="1"/>
  <c r="L667" i="1"/>
  <c r="L1090" i="1"/>
  <c r="K86" i="1"/>
  <c r="K31" i="1"/>
  <c r="M645" i="1"/>
  <c r="N645" i="1" s="1" a="1"/>
  <c r="N645" i="1" s="1"/>
  <c r="M766" i="1"/>
  <c r="N766" i="1" s="1" a="1"/>
  <c r="N766" i="1" s="1"/>
  <c r="M628" i="1"/>
  <c r="M21" i="1"/>
  <c r="N21" i="1" s="1" a="1"/>
  <c r="N21" i="1" s="1"/>
  <c r="L21" i="1"/>
  <c r="L766" i="1"/>
  <c r="L628" i="1"/>
  <c r="L645" i="1"/>
  <c r="K645" i="1"/>
  <c r="K21" i="1"/>
  <c r="M287" i="1"/>
  <c r="N287" i="1" s="1" a="1"/>
  <c r="N287" i="1" s="1"/>
  <c r="M11" i="1"/>
  <c r="M221" i="1"/>
  <c r="L11" i="1"/>
  <c r="L221" i="1"/>
  <c r="L287" i="1"/>
  <c r="K287" i="1"/>
  <c r="K11" i="1"/>
  <c r="K221" i="1"/>
  <c r="K1191" i="1"/>
  <c r="K1131" i="1"/>
  <c r="K1101" i="1"/>
  <c r="K1091" i="1"/>
  <c r="K1081" i="1"/>
  <c r="K1051" i="1"/>
  <c r="K1011" i="1"/>
  <c r="K981" i="1"/>
  <c r="K971" i="1"/>
  <c r="K951" i="1"/>
  <c r="K941" i="1"/>
  <c r="K901" i="1"/>
  <c r="K891" i="1"/>
  <c r="K861" i="1"/>
  <c r="K831" i="1"/>
  <c r="K801" i="1"/>
  <c r="K791" i="1"/>
  <c r="K781" i="1"/>
  <c r="K771" i="1"/>
  <c r="K740" i="1"/>
  <c r="K718" i="1"/>
  <c r="K696" i="1"/>
  <c r="K685" i="1"/>
  <c r="K639" i="1"/>
  <c r="K584" i="1"/>
  <c r="K564" i="1"/>
  <c r="K484" i="1"/>
  <c r="K244" i="1"/>
  <c r="K144" i="1"/>
  <c r="K44" i="1"/>
  <c r="K880" i="1"/>
  <c r="K860" i="1"/>
  <c r="K840" i="1"/>
  <c r="K820" i="1"/>
  <c r="K810" i="1"/>
  <c r="K790" i="1"/>
  <c r="K728" i="1"/>
  <c r="K684" i="1"/>
  <c r="K672" i="1"/>
  <c r="K654" i="1"/>
  <c r="K638" i="1"/>
  <c r="K622" i="1"/>
  <c r="K583" i="1"/>
  <c r="K563" i="1"/>
  <c r="K542" i="1"/>
  <c r="K414" i="1"/>
  <c r="K134" i="1"/>
  <c r="K34" i="1"/>
  <c r="M1019" i="1"/>
  <c r="L1019" i="1"/>
  <c r="M799" i="1"/>
  <c r="L799" i="1"/>
  <c r="M709" i="1"/>
  <c r="M1091" i="1"/>
  <c r="N1091" i="1" s="1" a="1"/>
  <c r="N1091" i="1" s="1"/>
  <c r="M760" i="1"/>
  <c r="N760" i="1" s="1" a="1"/>
  <c r="N760" i="1" s="1"/>
  <c r="L709" i="1"/>
  <c r="L760" i="1"/>
  <c r="L1091" i="1"/>
  <c r="M699" i="1"/>
  <c r="M1041" i="1"/>
  <c r="L699" i="1"/>
  <c r="L1041" i="1"/>
  <c r="M629" i="1"/>
  <c r="L629" i="1"/>
  <c r="M915" i="1"/>
  <c r="N915" i="1" s="1" a="1"/>
  <c r="N915" i="1" s="1"/>
  <c r="M955" i="1"/>
  <c r="M619" i="1"/>
  <c r="L619" i="1"/>
  <c r="L915" i="1"/>
  <c r="L955" i="1"/>
  <c r="M852" i="1"/>
  <c r="N852" i="1" s="1" a="1"/>
  <c r="N852" i="1" s="1"/>
  <c r="M1013" i="1"/>
  <c r="M751" i="1"/>
  <c r="N751" i="1" s="1" a="1"/>
  <c r="N751" i="1" s="1"/>
  <c r="M609" i="1"/>
  <c r="L609" i="1"/>
  <c r="L751" i="1"/>
  <c r="L852" i="1"/>
  <c r="L1013" i="1"/>
  <c r="M599" i="1"/>
  <c r="L599" i="1"/>
  <c r="M1200" i="1"/>
  <c r="M579" i="1"/>
  <c r="L579" i="1"/>
  <c r="L1200" i="1"/>
  <c r="M559" i="1"/>
  <c r="N559" i="1" s="1" a="1"/>
  <c r="N559" i="1" s="1"/>
  <c r="M1095" i="1"/>
  <c r="L559" i="1"/>
  <c r="L1095" i="1"/>
  <c r="M519" i="1"/>
  <c r="L519" i="1"/>
  <c r="K519" i="1"/>
  <c r="M541" i="1"/>
  <c r="M469" i="1"/>
  <c r="N469" i="1" s="1" a="1"/>
  <c r="N469" i="1" s="1"/>
  <c r="L469" i="1"/>
  <c r="L541" i="1"/>
  <c r="K469" i="1"/>
  <c r="K541" i="1"/>
  <c r="M674" i="1"/>
  <c r="M647" i="1"/>
  <c r="M459" i="1"/>
  <c r="M1086" i="1"/>
  <c r="L647" i="1"/>
  <c r="L459" i="1"/>
  <c r="L674" i="1"/>
  <c r="K459" i="1"/>
  <c r="L1086" i="1"/>
  <c r="M814" i="1"/>
  <c r="M550" i="1"/>
  <c r="M978" i="1"/>
  <c r="M429" i="1"/>
  <c r="L978" i="1"/>
  <c r="L429" i="1"/>
  <c r="L550" i="1"/>
  <c r="L814" i="1"/>
  <c r="K429" i="1"/>
  <c r="K550" i="1"/>
  <c r="M508" i="1"/>
  <c r="M511" i="1"/>
  <c r="M419" i="1"/>
  <c r="L508" i="1"/>
  <c r="L419" i="1"/>
  <c r="L511" i="1"/>
  <c r="K419" i="1"/>
  <c r="K511" i="1"/>
  <c r="M706" i="1"/>
  <c r="N706" i="1" s="1" a="1"/>
  <c r="N706" i="1" s="1"/>
  <c r="M1170" i="1"/>
  <c r="N1170" i="1" s="1" a="1"/>
  <c r="N1170" i="1" s="1"/>
  <c r="M409" i="1"/>
  <c r="N409" i="1" s="1" a="1"/>
  <c r="N409" i="1" s="1"/>
  <c r="L706" i="1"/>
  <c r="L409" i="1"/>
  <c r="K409" i="1"/>
  <c r="L1170" i="1"/>
  <c r="M399" i="1"/>
  <c r="L399" i="1"/>
  <c r="K399" i="1"/>
  <c r="M488" i="1"/>
  <c r="N488" i="1" s="1" a="1"/>
  <c r="N488" i="1" s="1"/>
  <c r="M319" i="1"/>
  <c r="N319" i="1" s="1" a="1"/>
  <c r="N319" i="1" s="1"/>
  <c r="L319" i="1"/>
  <c r="M589" i="1"/>
  <c r="M1113" i="1"/>
  <c r="M1116" i="1"/>
  <c r="L488" i="1"/>
  <c r="L589" i="1"/>
  <c r="L1113" i="1"/>
  <c r="K319" i="1"/>
  <c r="L1116" i="1"/>
  <c r="M393" i="1"/>
  <c r="M726" i="1"/>
  <c r="M299" i="1"/>
  <c r="M351" i="1"/>
  <c r="M848" i="1"/>
  <c r="L299" i="1"/>
  <c r="L726" i="1"/>
  <c r="L848" i="1"/>
  <c r="L351" i="1"/>
  <c r="L393" i="1"/>
  <c r="K299" i="1"/>
  <c r="K351" i="1"/>
  <c r="K393" i="1"/>
  <c r="M603" i="1"/>
  <c r="M269" i="1"/>
  <c r="L269" i="1"/>
  <c r="M974" i="1"/>
  <c r="M731" i="1"/>
  <c r="N731" i="1" s="1" a="1"/>
  <c r="N731" i="1" s="1"/>
  <c r="L731" i="1"/>
  <c r="L603" i="1"/>
  <c r="L974" i="1"/>
  <c r="K269" i="1"/>
  <c r="K731" i="1"/>
  <c r="M445" i="1"/>
  <c r="M626" i="1"/>
  <c r="M438" i="1"/>
  <c r="M209" i="1"/>
  <c r="L209" i="1"/>
  <c r="M912" i="1"/>
  <c r="N912" i="1" s="1" a="1"/>
  <c r="N912" i="1" s="1"/>
  <c r="M1073" i="1"/>
  <c r="L626" i="1"/>
  <c r="L438" i="1"/>
  <c r="L912" i="1"/>
  <c r="L445" i="1"/>
  <c r="L1073" i="1"/>
  <c r="K445" i="1"/>
  <c r="K626" i="1"/>
  <c r="K209" i="1"/>
  <c r="M537" i="1"/>
  <c r="N537" i="1" s="1" a="1"/>
  <c r="N537" i="1" s="1"/>
  <c r="M199" i="1"/>
  <c r="N199" i="1" s="1" a="1"/>
  <c r="N199" i="1" s="1"/>
  <c r="L199" i="1"/>
  <c r="L537" i="1"/>
  <c r="K537" i="1"/>
  <c r="K199" i="1"/>
  <c r="M553" i="1"/>
  <c r="M596" i="1"/>
  <c r="M298" i="1"/>
  <c r="M179" i="1"/>
  <c r="N179" i="1" s="1" a="1"/>
  <c r="N179" i="1" s="1"/>
  <c r="M211" i="1"/>
  <c r="N211" i="1" s="1" a="1"/>
  <c r="N211" i="1" s="1"/>
  <c r="M401" i="1"/>
  <c r="N401" i="1" s="1" a="1"/>
  <c r="N401" i="1" s="1"/>
  <c r="M739" i="1"/>
  <c r="N739" i="1" s="1" a="1"/>
  <c r="N739" i="1" s="1"/>
  <c r="L298" i="1"/>
  <c r="L179" i="1"/>
  <c r="L211" i="1"/>
  <c r="L596" i="1"/>
  <c r="L739" i="1"/>
  <c r="L401" i="1"/>
  <c r="L553" i="1"/>
  <c r="K596" i="1"/>
  <c r="K298" i="1"/>
  <c r="K179" i="1"/>
  <c r="K211" i="1"/>
  <c r="K401" i="1"/>
  <c r="M192" i="1"/>
  <c r="M682" i="1"/>
  <c r="M169" i="1"/>
  <c r="M190" i="1"/>
  <c r="N190" i="1" s="1" a="1"/>
  <c r="N190" i="1" s="1"/>
  <c r="M300" i="1"/>
  <c r="M540" i="1"/>
  <c r="M958" i="1"/>
  <c r="N958" i="1" s="1" a="1"/>
  <c r="N958" i="1" s="1"/>
  <c r="L169" i="1"/>
  <c r="L190" i="1"/>
  <c r="L300" i="1"/>
  <c r="L192" i="1"/>
  <c r="L958" i="1"/>
  <c r="L540" i="1"/>
  <c r="L682" i="1"/>
  <c r="K169" i="1"/>
  <c r="K190" i="1"/>
  <c r="K300" i="1"/>
  <c r="K540" i="1"/>
  <c r="K192" i="1"/>
  <c r="M546" i="1"/>
  <c r="M159" i="1"/>
  <c r="L159" i="1"/>
  <c r="M1021" i="1"/>
  <c r="L546" i="1"/>
  <c r="L1021" i="1"/>
  <c r="K546" i="1"/>
  <c r="K159" i="1"/>
  <c r="M576" i="1"/>
  <c r="M149" i="1"/>
  <c r="M837" i="1"/>
  <c r="L149" i="1"/>
  <c r="L576" i="1"/>
  <c r="L837" i="1"/>
  <c r="K576" i="1"/>
  <c r="K149" i="1"/>
  <c r="M725" i="1"/>
  <c r="M139" i="1"/>
  <c r="N139" i="1" s="1" a="1"/>
  <c r="N139" i="1" s="1"/>
  <c r="L139" i="1"/>
  <c r="M893" i="1"/>
  <c r="L893" i="1"/>
  <c r="L725" i="1"/>
  <c r="K139" i="1"/>
  <c r="M364" i="1"/>
  <c r="M109" i="1"/>
  <c r="N109" i="1" s="1" a="1"/>
  <c r="N109" i="1" s="1"/>
  <c r="M290" i="1"/>
  <c r="L109" i="1"/>
  <c r="L290" i="1"/>
  <c r="M895" i="1"/>
  <c r="L364" i="1"/>
  <c r="L895" i="1"/>
  <c r="K109" i="1"/>
  <c r="K290" i="1"/>
  <c r="M99" i="1"/>
  <c r="L99" i="1"/>
  <c r="M1155" i="1"/>
  <c r="L1155" i="1"/>
  <c r="K99" i="1"/>
  <c r="M465" i="1"/>
  <c r="M79" i="1"/>
  <c r="M580" i="1"/>
  <c r="L79" i="1"/>
  <c r="L359" i="1"/>
  <c r="M359" i="1"/>
  <c r="M1072" i="1"/>
  <c r="N1072" i="1" s="1" a="1"/>
  <c r="N1072" i="1" s="1"/>
  <c r="L580" i="1"/>
  <c r="L1072" i="1"/>
  <c r="L465" i="1"/>
  <c r="K465" i="1"/>
  <c r="K79" i="1"/>
  <c r="K359" i="1"/>
  <c r="K580" i="1"/>
  <c r="M69" i="1"/>
  <c r="L69" i="1"/>
  <c r="K69" i="1"/>
  <c r="M334" i="1"/>
  <c r="N334" i="1" s="1" a="1"/>
  <c r="N334" i="1" s="1"/>
  <c r="M238" i="1"/>
  <c r="N238" i="1" s="1" a="1"/>
  <c r="N238" i="1" s="1"/>
  <c r="M59" i="1"/>
  <c r="N59" i="1" s="1" a="1"/>
  <c r="N59" i="1" s="1"/>
  <c r="M460" i="1"/>
  <c r="L238" i="1"/>
  <c r="L59" i="1"/>
  <c r="L334" i="1"/>
  <c r="L460" i="1"/>
  <c r="K238" i="1"/>
  <c r="K59" i="1"/>
  <c r="K460" i="1"/>
  <c r="M49" i="1"/>
  <c r="L49" i="1"/>
  <c r="K49" i="1"/>
  <c r="M123" i="1"/>
  <c r="M797" i="1"/>
  <c r="M39" i="1"/>
  <c r="M1038" i="1"/>
  <c r="M1179" i="1"/>
  <c r="L39" i="1"/>
  <c r="L123" i="1"/>
  <c r="M905" i="1"/>
  <c r="M927" i="1"/>
  <c r="N927" i="1" s="1" a="1"/>
  <c r="N927" i="1" s="1"/>
  <c r="M1067" i="1"/>
  <c r="L797" i="1"/>
  <c r="L927" i="1"/>
  <c r="L1067" i="1"/>
  <c r="L1038" i="1"/>
  <c r="L1179" i="1"/>
  <c r="K39" i="1"/>
  <c r="L905" i="1"/>
  <c r="K123" i="1"/>
  <c r="M29" i="1"/>
  <c r="N29" i="1" s="1" a="1"/>
  <c r="N29" i="1" s="1"/>
  <c r="M189" i="1"/>
  <c r="N189" i="1" s="1" a="1"/>
  <c r="N189" i="1" s="1"/>
  <c r="L29" i="1"/>
  <c r="L189" i="1"/>
  <c r="M1023" i="1"/>
  <c r="N1023" i="1" s="1" a="1"/>
  <c r="N1023" i="1" s="1"/>
  <c r="K29" i="1"/>
  <c r="K189" i="1"/>
  <c r="L1023" i="1"/>
  <c r="M19" i="1"/>
  <c r="L19" i="1"/>
  <c r="M829" i="1"/>
  <c r="M1143" i="1"/>
  <c r="L829" i="1"/>
  <c r="L1143" i="1"/>
  <c r="K19" i="1"/>
  <c r="M375" i="1"/>
  <c r="M9" i="1"/>
  <c r="L9" i="1"/>
  <c r="L375" i="1"/>
  <c r="K375" i="1"/>
  <c r="K9" i="1"/>
  <c r="K1179" i="1"/>
  <c r="K1139" i="1"/>
  <c r="K1119" i="1"/>
  <c r="K1109" i="1"/>
  <c r="K1099" i="1"/>
  <c r="K1089" i="1"/>
  <c r="K1049" i="1"/>
  <c r="K1039" i="1"/>
  <c r="K1019" i="1"/>
  <c r="K949" i="1"/>
  <c r="K929" i="1"/>
  <c r="K919" i="1"/>
  <c r="K879" i="1"/>
  <c r="K829" i="1"/>
  <c r="K819" i="1"/>
  <c r="K809" i="1"/>
  <c r="K799" i="1"/>
  <c r="K769" i="1"/>
  <c r="K759" i="1"/>
  <c r="K738" i="1"/>
  <c r="K716" i="1"/>
  <c r="K705" i="1"/>
  <c r="K683" i="1"/>
  <c r="K669" i="1"/>
  <c r="K637" i="1"/>
  <c r="K619" i="1"/>
  <c r="K408" i="1"/>
  <c r="K224" i="1"/>
  <c r="M289" i="1"/>
  <c r="N289" i="1" s="1" a="1"/>
  <c r="N289" i="1" s="1"/>
  <c r="M631" i="1"/>
  <c r="M700" i="1"/>
  <c r="L289" i="1"/>
  <c r="L700" i="1"/>
  <c r="L631" i="1"/>
  <c r="K289" i="1"/>
  <c r="K631" i="1"/>
  <c r="M249" i="1"/>
  <c r="N249" i="1" s="1" a="1"/>
  <c r="N249" i="1" s="1"/>
  <c r="M1068" i="1"/>
  <c r="N1068" i="1" s="1" a="1"/>
  <c r="N1068" i="1" s="1"/>
  <c r="L249" i="1"/>
  <c r="M877" i="1"/>
  <c r="N877" i="1" s="1" a="1"/>
  <c r="N877" i="1" s="1"/>
  <c r="L877" i="1"/>
  <c r="L1068" i="1"/>
  <c r="K249" i="1"/>
  <c r="M1018" i="1"/>
  <c r="N1018" i="1" s="1" a="1"/>
  <c r="N1018" i="1" s="1"/>
  <c r="L1018" i="1"/>
  <c r="M908" i="1"/>
  <c r="M911" i="1"/>
  <c r="N911" i="1" s="1" a="1"/>
  <c r="N911" i="1" s="1"/>
  <c r="L908" i="1"/>
  <c r="L911" i="1"/>
  <c r="M878" i="1"/>
  <c r="N878" i="1" s="1" a="1"/>
  <c r="N878" i="1" s="1"/>
  <c r="L878" i="1"/>
  <c r="M668" i="1"/>
  <c r="M1074" i="1"/>
  <c r="L668" i="1"/>
  <c r="L1074" i="1"/>
  <c r="M618" i="1"/>
  <c r="M621" i="1"/>
  <c r="M1199" i="1"/>
  <c r="N1199" i="1" s="1" a="1"/>
  <c r="N1199" i="1" s="1"/>
  <c r="M1043" i="1"/>
  <c r="L618" i="1"/>
  <c r="L621" i="1"/>
  <c r="L1199" i="1"/>
  <c r="L1043" i="1"/>
  <c r="K621" i="1"/>
  <c r="M677" i="1"/>
  <c r="M568" i="1"/>
  <c r="M889" i="1"/>
  <c r="N889" i="1" s="1" a="1"/>
  <c r="N889" i="1" s="1"/>
  <c r="M1176" i="1"/>
  <c r="L677" i="1"/>
  <c r="L568" i="1"/>
  <c r="L889" i="1"/>
  <c r="L1176" i="1"/>
  <c r="M558" i="1"/>
  <c r="M718" i="1"/>
  <c r="N718" i="1" s="1" a="1"/>
  <c r="N718" i="1" s="1"/>
  <c r="M928" i="1"/>
  <c r="M890" i="1"/>
  <c r="M1081" i="1"/>
  <c r="M1131" i="1"/>
  <c r="N1131" i="1" s="1" a="1"/>
  <c r="N1131" i="1" s="1"/>
  <c r="M1141" i="1"/>
  <c r="L558" i="1"/>
  <c r="L718" i="1"/>
  <c r="L928" i="1"/>
  <c r="L890" i="1"/>
  <c r="L1081" i="1"/>
  <c r="L1131" i="1"/>
  <c r="L1141" i="1"/>
  <c r="M636" i="1"/>
  <c r="N636" i="1" s="1" a="1"/>
  <c r="N636" i="1" s="1"/>
  <c r="M548" i="1"/>
  <c r="L636" i="1"/>
  <c r="L548" i="1"/>
  <c r="K636" i="1"/>
  <c r="M538" i="1"/>
  <c r="L538" i="1"/>
  <c r="M686" i="1"/>
  <c r="N686" i="1" s="1" a="1"/>
  <c r="N686" i="1" s="1"/>
  <c r="M518" i="1"/>
  <c r="M1164" i="1"/>
  <c r="L686" i="1"/>
  <c r="L518" i="1"/>
  <c r="M436" i="1"/>
  <c r="M418" i="1"/>
  <c r="N418" i="1" s="1" a="1"/>
  <c r="N418" i="1" s="1"/>
  <c r="L436" i="1"/>
  <c r="L418" i="1"/>
  <c r="K436" i="1"/>
  <c r="M388" i="1"/>
  <c r="N388" i="1" s="1" a="1"/>
  <c r="N388" i="1" s="1"/>
  <c r="L388" i="1"/>
  <c r="K388" i="1"/>
  <c r="M378" i="1"/>
  <c r="M859" i="1"/>
  <c r="N859" i="1" s="1" a="1"/>
  <c r="N859" i="1" s="1"/>
  <c r="L859" i="1"/>
  <c r="L378" i="1"/>
  <c r="K378" i="1"/>
  <c r="M348" i="1"/>
  <c r="L348" i="1"/>
  <c r="K348" i="1"/>
  <c r="M308" i="1"/>
  <c r="M1158" i="1"/>
  <c r="L308" i="1"/>
  <c r="L1158" i="1"/>
  <c r="K308" i="1"/>
  <c r="M278" i="1"/>
  <c r="N278" i="1" s="1" a="1"/>
  <c r="N278" i="1" s="1"/>
  <c r="M339" i="1"/>
  <c r="L278" i="1"/>
  <c r="M1079" i="1"/>
  <c r="L339" i="1"/>
  <c r="M953" i="1"/>
  <c r="M984" i="1"/>
  <c r="M926" i="1"/>
  <c r="L1079" i="1"/>
  <c r="L984" i="1"/>
  <c r="L926" i="1"/>
  <c r="K278" i="1"/>
  <c r="K339" i="1"/>
  <c r="L953" i="1"/>
  <c r="M322" i="1"/>
  <c r="N322" i="1" s="1" a="1"/>
  <c r="N322" i="1" s="1"/>
  <c r="M765" i="1"/>
  <c r="M258" i="1"/>
  <c r="L258" i="1"/>
  <c r="M1100" i="1"/>
  <c r="N1100" i="1" s="1" a="1"/>
  <c r="N1100" i="1" s="1"/>
  <c r="L322" i="1"/>
  <c r="L765" i="1"/>
  <c r="K258" i="1"/>
  <c r="L1100" i="1"/>
  <c r="K322" i="1"/>
  <c r="M565" i="1"/>
  <c r="N565" i="1" s="1" a="1"/>
  <c r="N565" i="1" s="1"/>
  <c r="M248" i="1"/>
  <c r="L248" i="1"/>
  <c r="L565" i="1"/>
  <c r="K565" i="1"/>
  <c r="K248" i="1"/>
  <c r="M804" i="1"/>
  <c r="M586" i="1"/>
  <c r="M208" i="1"/>
  <c r="L208" i="1"/>
  <c r="M1024" i="1"/>
  <c r="N1024" i="1" s="1" a="1"/>
  <c r="N1024" i="1" s="1"/>
  <c r="M1136" i="1"/>
  <c r="L586" i="1"/>
  <c r="L804" i="1"/>
  <c r="K586" i="1"/>
  <c r="K208" i="1"/>
  <c r="L1136" i="1"/>
  <c r="M198" i="1"/>
  <c r="N198" i="1" s="1" a="1"/>
  <c r="N198" i="1" s="1"/>
  <c r="M610" i="1"/>
  <c r="L198" i="1"/>
  <c r="L610" i="1"/>
  <c r="K198" i="1"/>
  <c r="K610" i="1"/>
  <c r="M173" i="1"/>
  <c r="M366" i="1"/>
  <c r="M168" i="1"/>
  <c r="M468" i="1"/>
  <c r="L168" i="1"/>
  <c r="L173" i="1"/>
  <c r="L468" i="1"/>
  <c r="L366" i="1"/>
  <c r="K366" i="1"/>
  <c r="K168" i="1"/>
  <c r="K173" i="1"/>
  <c r="M335" i="1"/>
  <c r="M158" i="1"/>
  <c r="M200" i="1"/>
  <c r="N200" i="1" s="1" a="1"/>
  <c r="N200" i="1" s="1"/>
  <c r="L158" i="1"/>
  <c r="L200" i="1"/>
  <c r="L335" i="1"/>
  <c r="K335" i="1"/>
  <c r="K158" i="1"/>
  <c r="K200" i="1"/>
  <c r="M443" i="1"/>
  <c r="M148" i="1"/>
  <c r="N148" i="1" s="1" a="1"/>
  <c r="N148" i="1" s="1"/>
  <c r="M498" i="1"/>
  <c r="M259" i="1"/>
  <c r="M671" i="1"/>
  <c r="N671" i="1" s="1" a="1"/>
  <c r="N671" i="1" s="1"/>
  <c r="L148" i="1"/>
  <c r="M999" i="1"/>
  <c r="L259" i="1"/>
  <c r="M1047" i="1"/>
  <c r="L1047" i="1"/>
  <c r="L498" i="1"/>
  <c r="L999" i="1"/>
  <c r="L671" i="1"/>
  <c r="L443" i="1"/>
  <c r="K148" i="1"/>
  <c r="K259" i="1"/>
  <c r="K671" i="1"/>
  <c r="K443" i="1"/>
  <c r="M397" i="1"/>
  <c r="M138" i="1"/>
  <c r="M1098" i="1"/>
  <c r="L138" i="1"/>
  <c r="L397" i="1"/>
  <c r="K397" i="1"/>
  <c r="K138" i="1"/>
  <c r="L1098" i="1"/>
  <c r="M454" i="1"/>
  <c r="M267" i="1"/>
  <c r="N267" i="1" s="1" a="1"/>
  <c r="N267" i="1" s="1"/>
  <c r="M417" i="1"/>
  <c r="M128" i="1"/>
  <c r="L128" i="1"/>
  <c r="M994" i="1"/>
  <c r="M845" i="1"/>
  <c r="M1117" i="1"/>
  <c r="N1117" i="1" s="1" a="1"/>
  <c r="N1117" i="1" s="1"/>
  <c r="L267" i="1"/>
  <c r="L417" i="1"/>
  <c r="L1117" i="1"/>
  <c r="L454" i="1"/>
  <c r="L994" i="1"/>
  <c r="K267" i="1"/>
  <c r="K417" i="1"/>
  <c r="K128" i="1"/>
  <c r="L845" i="1"/>
  <c r="M118" i="1"/>
  <c r="N118" i="1" s="1" a="1"/>
  <c r="N118" i="1" s="1"/>
  <c r="M330" i="1"/>
  <c r="L118" i="1"/>
  <c r="L330" i="1"/>
  <c r="M862" i="1"/>
  <c r="N862" i="1" s="1" a="1"/>
  <c r="N862" i="1" s="1"/>
  <c r="L862" i="1"/>
  <c r="K118" i="1"/>
  <c r="K330" i="1"/>
  <c r="M614" i="1"/>
  <c r="M315" i="1"/>
  <c r="M108" i="1"/>
  <c r="N108" i="1" s="1" a="1"/>
  <c r="N108" i="1" s="1"/>
  <c r="L108" i="1"/>
  <c r="M798" i="1"/>
  <c r="M1107" i="1"/>
  <c r="N1107" i="1" s="1" a="1"/>
  <c r="N1107" i="1" s="1"/>
  <c r="M1187" i="1"/>
  <c r="N1187" i="1" s="1" a="1"/>
  <c r="N1187" i="1" s="1"/>
  <c r="L1107" i="1"/>
  <c r="L798" i="1"/>
  <c r="L315" i="1"/>
  <c r="L614" i="1"/>
  <c r="K315" i="1"/>
  <c r="L1187" i="1"/>
  <c r="K108" i="1"/>
  <c r="M256" i="1"/>
  <c r="N256" i="1" s="1" a="1"/>
  <c r="N256" i="1" s="1"/>
  <c r="M78" i="1"/>
  <c r="M608" i="1"/>
  <c r="N608" i="1" s="1" a="1"/>
  <c r="N608" i="1" s="1"/>
  <c r="M341" i="1"/>
  <c r="L78" i="1"/>
  <c r="M805" i="1"/>
  <c r="L608" i="1"/>
  <c r="L256" i="1"/>
  <c r="L341" i="1"/>
  <c r="K256" i="1"/>
  <c r="L805" i="1"/>
  <c r="K78" i="1"/>
  <c r="K341" i="1"/>
  <c r="M384" i="1"/>
  <c r="M266" i="1"/>
  <c r="M68" i="1"/>
  <c r="N68" i="1" s="1" a="1"/>
  <c r="N68" i="1" s="1"/>
  <c r="M219" i="1"/>
  <c r="L68" i="1"/>
  <c r="L219" i="1"/>
  <c r="M795" i="1"/>
  <c r="M916" i="1"/>
  <c r="M907" i="1"/>
  <c r="L907" i="1"/>
  <c r="L266" i="1"/>
  <c r="L384" i="1"/>
  <c r="K266" i="1"/>
  <c r="L795" i="1"/>
  <c r="K68" i="1"/>
  <c r="K219" i="1"/>
  <c r="M235" i="1"/>
  <c r="M58" i="1"/>
  <c r="N58" i="1" s="1" a="1"/>
  <c r="N58" i="1" s="1"/>
  <c r="L58" i="1"/>
  <c r="L235" i="1"/>
  <c r="K235" i="1"/>
  <c r="K58" i="1"/>
  <c r="M657" i="1"/>
  <c r="M48" i="1"/>
  <c r="N48" i="1" s="1" a="1"/>
  <c r="N48" i="1" s="1"/>
  <c r="L48" i="1"/>
  <c r="L657" i="1"/>
  <c r="K48" i="1"/>
  <c r="M595" i="1"/>
  <c r="M246" i="1"/>
  <c r="M38" i="1"/>
  <c r="N38" i="1" s="1" a="1"/>
  <c r="N38" i="1" s="1"/>
  <c r="L38" i="1"/>
  <c r="L246" i="1"/>
  <c r="L595" i="1"/>
  <c r="K595" i="1"/>
  <c r="K246" i="1"/>
  <c r="K38" i="1"/>
  <c r="M28" i="1"/>
  <c r="N28" i="1" s="1" a="1"/>
  <c r="N28" i="1" s="1"/>
  <c r="M368" i="1"/>
  <c r="L28" i="1"/>
  <c r="L368" i="1"/>
  <c r="K28" i="1"/>
  <c r="K368" i="1"/>
  <c r="M122" i="1"/>
  <c r="M18" i="1"/>
  <c r="N18" i="1" s="1" a="1"/>
  <c r="N18" i="1" s="1"/>
  <c r="L18" i="1"/>
  <c r="L122" i="1"/>
  <c r="K18" i="1"/>
  <c r="K122" i="1"/>
  <c r="M8" i="1"/>
  <c r="L8" i="1"/>
  <c r="M899" i="1"/>
  <c r="L899" i="1"/>
  <c r="K8" i="1"/>
  <c r="K1178" i="1"/>
  <c r="K1158" i="1"/>
  <c r="K1108" i="1"/>
  <c r="K1098" i="1"/>
  <c r="K1088" i="1"/>
  <c r="K1068" i="1"/>
  <c r="K1038" i="1"/>
  <c r="K1018" i="1"/>
  <c r="K1008" i="1"/>
  <c r="K978" i="1"/>
  <c r="K958" i="1"/>
  <c r="K948" i="1"/>
  <c r="K928" i="1"/>
  <c r="K908" i="1"/>
  <c r="K878" i="1"/>
  <c r="K858" i="1"/>
  <c r="K848" i="1"/>
  <c r="K838" i="1"/>
  <c r="K818" i="1"/>
  <c r="K808" i="1"/>
  <c r="K798" i="1"/>
  <c r="K788" i="1"/>
  <c r="K768" i="1"/>
  <c r="K758" i="1"/>
  <c r="K737" i="1"/>
  <c r="K726" i="1"/>
  <c r="K704" i="1"/>
  <c r="K693" i="1"/>
  <c r="K682" i="1"/>
  <c r="K668" i="1"/>
  <c r="K652" i="1"/>
  <c r="K618" i="1"/>
  <c r="K599" i="1"/>
  <c r="K579" i="1"/>
  <c r="K559" i="1"/>
  <c r="K534" i="1"/>
  <c r="K508" i="1"/>
  <c r="K442" i="1"/>
  <c r="K114" i="1"/>
  <c r="M689" i="1"/>
  <c r="L689" i="1"/>
  <c r="M867" i="1"/>
  <c r="L867" i="1"/>
  <c r="M583" i="1"/>
  <c r="M653" i="1"/>
  <c r="M557" i="1"/>
  <c r="M697" i="1"/>
  <c r="N697" i="1" s="1" a="1"/>
  <c r="N697" i="1" s="1"/>
  <c r="L557" i="1"/>
  <c r="L697" i="1"/>
  <c r="L583" i="1"/>
  <c r="L653" i="1"/>
  <c r="K557" i="1"/>
  <c r="M433" i="1"/>
  <c r="N433" i="1" s="1" a="1"/>
  <c r="N433" i="1" s="1"/>
  <c r="M327" i="1"/>
  <c r="L327" i="1"/>
  <c r="L433" i="1"/>
  <c r="K327" i="1"/>
  <c r="K433" i="1"/>
  <c r="M177" i="1"/>
  <c r="L177" i="1"/>
  <c r="K177" i="1"/>
  <c r="K1077" i="1"/>
  <c r="K1067" i="1"/>
  <c r="K1047" i="1"/>
  <c r="K987" i="1"/>
  <c r="K927" i="1"/>
  <c r="K907" i="1"/>
  <c r="K897" i="1"/>
  <c r="K877" i="1"/>
  <c r="K867" i="1"/>
  <c r="K837" i="1"/>
  <c r="K797" i="1"/>
  <c r="K767" i="1"/>
  <c r="K725" i="1"/>
  <c r="K714" i="1"/>
  <c r="K692" i="1"/>
  <c r="K667" i="1"/>
  <c r="K649" i="1"/>
  <c r="K558" i="1"/>
  <c r="K472" i="1"/>
  <c r="K438" i="1"/>
  <c r="K304" i="1"/>
  <c r="M903" i="1"/>
  <c r="M857" i="1"/>
  <c r="N857" i="1" s="1" a="1"/>
  <c r="N857" i="1" s="1"/>
  <c r="M1197" i="1"/>
  <c r="N1197" i="1" s="1" a="1"/>
  <c r="N1197" i="1" s="1"/>
  <c r="L857" i="1"/>
  <c r="L903" i="1"/>
  <c r="L1197" i="1"/>
  <c r="M467" i="1"/>
  <c r="M658" i="1"/>
  <c r="M1055" i="1"/>
  <c r="N1055" i="1" s="1" a="1"/>
  <c r="N1055" i="1" s="1"/>
  <c r="L467" i="1"/>
  <c r="L658" i="1"/>
  <c r="L1055" i="1"/>
  <c r="K467" i="1"/>
  <c r="M263" i="1"/>
  <c r="M214" i="1"/>
  <c r="N214" i="1" s="1" a="1"/>
  <c r="N214" i="1" s="1"/>
  <c r="M197" i="1"/>
  <c r="M377" i="1"/>
  <c r="M1039" i="1"/>
  <c r="L263" i="1"/>
  <c r="L214" i="1"/>
  <c r="L197" i="1"/>
  <c r="L377" i="1"/>
  <c r="L1039" i="1"/>
  <c r="K197" i="1"/>
  <c r="K377" i="1"/>
  <c r="K263" i="1"/>
  <c r="M505" i="1"/>
  <c r="M157" i="1"/>
  <c r="L157" i="1"/>
  <c r="L505" i="1"/>
  <c r="K505" i="1"/>
  <c r="K157" i="1"/>
  <c r="M117" i="1"/>
  <c r="N117" i="1" s="1" a="1"/>
  <c r="N117" i="1" s="1"/>
  <c r="M230" i="1"/>
  <c r="L230" i="1"/>
  <c r="L117" i="1"/>
  <c r="K117" i="1"/>
  <c r="K230" i="1"/>
  <c r="M474" i="1"/>
  <c r="M754" i="1"/>
  <c r="M107" i="1"/>
  <c r="N107" i="1" s="1" a="1"/>
  <c r="N107" i="1" s="1"/>
  <c r="M470" i="1"/>
  <c r="M769" i="1"/>
  <c r="N769" i="1" s="1" a="1"/>
  <c r="N769" i="1" s="1"/>
  <c r="M1011" i="1"/>
  <c r="M1042" i="1"/>
  <c r="N1042" i="1" s="1" a="1"/>
  <c r="N1042" i="1" s="1"/>
  <c r="L107" i="1"/>
  <c r="L769" i="1"/>
  <c r="L470" i="1"/>
  <c r="L1011" i="1"/>
  <c r="L1042" i="1"/>
  <c r="L474" i="1"/>
  <c r="L754" i="1"/>
  <c r="K107" i="1"/>
  <c r="K470" i="1"/>
  <c r="M523" i="1"/>
  <c r="N523" i="1" s="1" a="1"/>
  <c r="N523" i="1" s="1"/>
  <c r="M97" i="1"/>
  <c r="M119" i="1"/>
  <c r="M1069" i="1"/>
  <c r="N1069" i="1" s="1" a="1"/>
  <c r="N1069" i="1" s="1"/>
  <c r="L119" i="1"/>
  <c r="M863" i="1"/>
  <c r="L97" i="1"/>
  <c r="L1069" i="1"/>
  <c r="L523" i="1"/>
  <c r="L863" i="1"/>
  <c r="K97" i="1"/>
  <c r="K119" i="1"/>
  <c r="M446" i="1"/>
  <c r="M87" i="1"/>
  <c r="M979" i="1"/>
  <c r="M1140" i="1"/>
  <c r="N1140" i="1" s="1" a="1"/>
  <c r="N1140" i="1" s="1"/>
  <c r="L87" i="1"/>
  <c r="L446" i="1"/>
  <c r="L979" i="1"/>
  <c r="L1140" i="1"/>
  <c r="K446" i="1"/>
  <c r="K87" i="1"/>
  <c r="M604" i="1"/>
  <c r="M784" i="1"/>
  <c r="M77" i="1"/>
  <c r="M178" i="1"/>
  <c r="L178" i="1"/>
  <c r="L77" i="1"/>
  <c r="L604" i="1"/>
  <c r="L784" i="1"/>
  <c r="K77" i="1"/>
  <c r="K178" i="1"/>
  <c r="M182" i="1"/>
  <c r="N182" i="1" s="1" a="1"/>
  <c r="N182" i="1" s="1"/>
  <c r="M67" i="1"/>
  <c r="M959" i="1"/>
  <c r="N959" i="1" s="1" a="1"/>
  <c r="N959" i="1" s="1"/>
  <c r="L182" i="1"/>
  <c r="L67" i="1"/>
  <c r="L959" i="1"/>
  <c r="K67" i="1"/>
  <c r="K182" i="1"/>
  <c r="M476" i="1"/>
  <c r="N476" i="1" s="1" a="1"/>
  <c r="N476" i="1" s="1"/>
  <c r="M57" i="1"/>
  <c r="M957" i="1"/>
  <c r="N957" i="1" s="1" a="1"/>
  <c r="N957" i="1" s="1"/>
  <c r="L57" i="1"/>
  <c r="L476" i="1"/>
  <c r="L957" i="1"/>
  <c r="K476" i="1"/>
  <c r="K57" i="1"/>
  <c r="M644" i="1"/>
  <c r="M834" i="1"/>
  <c r="M47" i="1"/>
  <c r="N47" i="1" s="1" a="1"/>
  <c r="N47" i="1" s="1"/>
  <c r="M759" i="1"/>
  <c r="M1057" i="1"/>
  <c r="L47" i="1"/>
  <c r="L1057" i="1"/>
  <c r="L759" i="1"/>
  <c r="L644" i="1"/>
  <c r="L834" i="1"/>
  <c r="K47" i="1"/>
  <c r="M37" i="1"/>
  <c r="M257" i="1"/>
  <c r="N257" i="1" s="1" a="1"/>
  <c r="N257" i="1" s="1"/>
  <c r="M171" i="1"/>
  <c r="L171" i="1"/>
  <c r="L37" i="1"/>
  <c r="L257" i="1"/>
  <c r="K37" i="1"/>
  <c r="K257" i="1"/>
  <c r="K171" i="1"/>
  <c r="M663" i="1"/>
  <c r="M695" i="1"/>
  <c r="N695" i="1" s="1" a="1"/>
  <c r="N695" i="1" s="1"/>
  <c r="M27" i="1"/>
  <c r="N27" i="1" s="1" a="1"/>
  <c r="N27" i="1" s="1"/>
  <c r="M218" i="1"/>
  <c r="M358" i="1"/>
  <c r="L218" i="1"/>
  <c r="L358" i="1"/>
  <c r="M866" i="1"/>
  <c r="M1026" i="1"/>
  <c r="N1026" i="1" s="1" a="1"/>
  <c r="N1026" i="1" s="1"/>
  <c r="M1166" i="1"/>
  <c r="L27" i="1"/>
  <c r="L866" i="1"/>
  <c r="L663" i="1"/>
  <c r="L695" i="1"/>
  <c r="L1026" i="1"/>
  <c r="L1166" i="1"/>
  <c r="K27" i="1"/>
  <c r="K218" i="1"/>
  <c r="K358" i="1"/>
  <c r="M7" i="1"/>
  <c r="M1052" i="1"/>
  <c r="N1052" i="1" s="1" a="1"/>
  <c r="N1052" i="1" s="1"/>
  <c r="M1093" i="1"/>
  <c r="L7" i="1"/>
  <c r="L1052" i="1"/>
  <c r="L1093" i="1"/>
  <c r="K7" i="1"/>
  <c r="M136" i="1"/>
  <c r="M707" i="1"/>
  <c r="M170" i="1"/>
  <c r="N170" i="1" s="1" a="1"/>
  <c r="N170" i="1" s="1"/>
  <c r="L170" i="1"/>
  <c r="M1103" i="1"/>
  <c r="N1103" i="1" s="1" a="1"/>
  <c r="N1103" i="1" s="1"/>
  <c r="M796" i="1"/>
  <c r="L136" i="1"/>
  <c r="L796" i="1"/>
  <c r="L707" i="1"/>
  <c r="K136" i="1"/>
  <c r="K170" i="1"/>
  <c r="L1103" i="1"/>
  <c r="M96" i="1"/>
  <c r="L96" i="1"/>
  <c r="K96" i="1"/>
  <c r="K1186" i="1"/>
  <c r="K1176" i="1"/>
  <c r="K1166" i="1"/>
  <c r="K1146" i="1"/>
  <c r="K1136" i="1"/>
  <c r="K1116" i="1"/>
  <c r="K1086" i="1"/>
  <c r="K1076" i="1"/>
  <c r="K1056" i="1"/>
  <c r="K1046" i="1"/>
  <c r="K1026" i="1"/>
  <c r="K986" i="1"/>
  <c r="K956" i="1"/>
  <c r="K926" i="1"/>
  <c r="K916" i="1"/>
  <c r="K886" i="1"/>
  <c r="K866" i="1"/>
  <c r="K856" i="1"/>
  <c r="K846" i="1"/>
  <c r="K816" i="1"/>
  <c r="K796" i="1"/>
  <c r="K786" i="1"/>
  <c r="K766" i="1"/>
  <c r="K756" i="1"/>
  <c r="K746" i="1"/>
  <c r="K735" i="1"/>
  <c r="K724" i="1"/>
  <c r="K648" i="1"/>
  <c r="K614" i="1"/>
  <c r="K554" i="1"/>
  <c r="K532" i="1"/>
  <c r="K468" i="1"/>
  <c r="K434" i="1"/>
  <c r="K294" i="1"/>
  <c r="M516" i="1"/>
  <c r="M10" i="1"/>
  <c r="M349" i="1"/>
  <c r="L349" i="1"/>
  <c r="M839" i="1"/>
  <c r="N839" i="1" s="1" a="1"/>
  <c r="N839" i="1" s="1"/>
  <c r="L10" i="1"/>
  <c r="M1101" i="1"/>
  <c r="L516" i="1"/>
  <c r="L839" i="1"/>
  <c r="L1101" i="1"/>
  <c r="K516" i="1"/>
  <c r="K349" i="1"/>
  <c r="K10" i="1"/>
  <c r="M988" i="1"/>
  <c r="M919" i="1"/>
  <c r="N919" i="1" s="1" a="1"/>
  <c r="N919" i="1" s="1"/>
  <c r="L988" i="1"/>
  <c r="L919" i="1"/>
  <c r="M729" i="1"/>
  <c r="N729" i="1" s="1" a="1"/>
  <c r="N729" i="1" s="1"/>
  <c r="L729" i="1"/>
  <c r="M967" i="1"/>
  <c r="L967" i="1"/>
  <c r="M643" i="1"/>
  <c r="M477" i="1"/>
  <c r="M847" i="1"/>
  <c r="L477" i="1"/>
  <c r="L847" i="1"/>
  <c r="L643" i="1"/>
  <c r="K477" i="1"/>
  <c r="M456" i="1"/>
  <c r="M666" i="1"/>
  <c r="M337" i="1"/>
  <c r="N337" i="1" s="1" a="1"/>
  <c r="N337" i="1" s="1"/>
  <c r="M757" i="1"/>
  <c r="L337" i="1"/>
  <c r="L456" i="1"/>
  <c r="L666" i="1"/>
  <c r="L757" i="1"/>
  <c r="K456" i="1"/>
  <c r="K666" i="1"/>
  <c r="K337" i="1"/>
  <c r="M297" i="1"/>
  <c r="M827" i="1"/>
  <c r="M1165" i="1"/>
  <c r="N1165" i="1" s="1" a="1"/>
  <c r="N1165" i="1" s="1"/>
  <c r="L297" i="1"/>
  <c r="L827" i="1"/>
  <c r="L1165" i="1"/>
  <c r="K297" i="1"/>
  <c r="M482" i="1"/>
  <c r="M237" i="1"/>
  <c r="N237" i="1" s="1" a="1"/>
  <c r="N237" i="1" s="1"/>
  <c r="M670" i="1"/>
  <c r="L237" i="1"/>
  <c r="L670" i="1"/>
  <c r="L482" i="1"/>
  <c r="K237" i="1"/>
  <c r="K670" i="1"/>
  <c r="M265" i="1"/>
  <c r="M127" i="1"/>
  <c r="N127" i="1" s="1" a="1"/>
  <c r="N127" i="1" s="1"/>
  <c r="M480" i="1"/>
  <c r="M1130" i="1"/>
  <c r="N1130" i="1" s="1" a="1"/>
  <c r="N1130" i="1" s="1"/>
  <c r="M931" i="1"/>
  <c r="L127" i="1"/>
  <c r="L480" i="1"/>
  <c r="L931" i="1"/>
  <c r="L265" i="1"/>
  <c r="K265" i="1"/>
  <c r="K127" i="1"/>
  <c r="L1130" i="1"/>
  <c r="K480" i="1"/>
  <c r="M1094" i="1"/>
  <c r="N1094" i="1" s="1" a="1"/>
  <c r="N1094" i="1" s="1"/>
  <c r="M1016" i="1"/>
  <c r="M1076" i="1"/>
  <c r="L1094" i="1"/>
  <c r="L1076" i="1"/>
  <c r="L1016" i="1"/>
  <c r="M1133" i="1"/>
  <c r="N1133" i="1" s="1" a="1"/>
  <c r="N1133" i="1" s="1"/>
  <c r="M966" i="1"/>
  <c r="L966" i="1"/>
  <c r="L1133" i="1"/>
  <c r="M876" i="1"/>
  <c r="N876" i="1" s="1" a="1"/>
  <c r="N876" i="1" s="1"/>
  <c r="M1077" i="1"/>
  <c r="L1077" i="1"/>
  <c r="L876" i="1"/>
  <c r="M416" i="1"/>
  <c r="M437" i="1"/>
  <c r="M730" i="1"/>
  <c r="N730" i="1" s="1" a="1"/>
  <c r="N730" i="1" s="1"/>
  <c r="L416" i="1"/>
  <c r="L437" i="1"/>
  <c r="L730" i="1"/>
  <c r="K416" i="1"/>
  <c r="K437" i="1"/>
  <c r="M386" i="1"/>
  <c r="L386" i="1"/>
  <c r="K386" i="1"/>
  <c r="M336" i="1"/>
  <c r="M496" i="1"/>
  <c r="M1168" i="1"/>
  <c r="M1152" i="1"/>
  <c r="N1152" i="1" s="1" a="1"/>
  <c r="N1152" i="1" s="1"/>
  <c r="M894" i="1"/>
  <c r="L496" i="1"/>
  <c r="L336" i="1"/>
  <c r="L1152" i="1"/>
  <c r="L894" i="1"/>
  <c r="K336" i="1"/>
  <c r="K496" i="1"/>
  <c r="L1168" i="1"/>
  <c r="M186" i="1"/>
  <c r="M1060" i="1"/>
  <c r="N1060" i="1" s="1" a="1"/>
  <c r="N1060" i="1" s="1"/>
  <c r="M749" i="1"/>
  <c r="M944" i="1"/>
  <c r="N944" i="1" s="1" a="1"/>
  <c r="N944" i="1" s="1"/>
  <c r="L186" i="1"/>
  <c r="L749" i="1"/>
  <c r="L944" i="1"/>
  <c r="K186" i="1"/>
  <c r="L1060" i="1"/>
  <c r="M193" i="1"/>
  <c r="N193" i="1" s="1" a="1"/>
  <c r="N193" i="1" s="1"/>
  <c r="M176" i="1"/>
  <c r="M398" i="1"/>
  <c r="N398" i="1" s="1" a="1"/>
  <c r="N398" i="1" s="1"/>
  <c r="L193" i="1"/>
  <c r="L176" i="1"/>
  <c r="L398" i="1"/>
  <c r="K176" i="1"/>
  <c r="K193" i="1"/>
  <c r="M156" i="1"/>
  <c r="M426" i="1"/>
  <c r="M687" i="1"/>
  <c r="M969" i="1"/>
  <c r="N969" i="1" s="1" a="1"/>
  <c r="N969" i="1" s="1"/>
  <c r="L156" i="1"/>
  <c r="L426" i="1"/>
  <c r="L687" i="1"/>
  <c r="L969" i="1"/>
  <c r="K156" i="1"/>
  <c r="K426" i="1"/>
  <c r="M126" i="1"/>
  <c r="M509" i="1"/>
  <c r="L126" i="1"/>
  <c r="L509" i="1"/>
  <c r="K126" i="1"/>
  <c r="K509" i="1"/>
  <c r="M116" i="1"/>
  <c r="N116" i="1" s="1" a="1"/>
  <c r="N116" i="1" s="1"/>
  <c r="M646" i="1"/>
  <c r="M490" i="1"/>
  <c r="M620" i="1"/>
  <c r="N620" i="1" s="1" a="1"/>
  <c r="N620" i="1" s="1"/>
  <c r="M1010" i="1"/>
  <c r="M934" i="1"/>
  <c r="L116" i="1"/>
  <c r="L646" i="1"/>
  <c r="L490" i="1"/>
  <c r="L620" i="1"/>
  <c r="L1010" i="1"/>
  <c r="L934" i="1"/>
  <c r="K116" i="1"/>
  <c r="K646" i="1"/>
  <c r="K490" i="1"/>
  <c r="K620" i="1"/>
  <c r="M76" i="1"/>
  <c r="N76" i="1" s="1" a="1"/>
  <c r="N76" i="1" s="1"/>
  <c r="M430" i="1"/>
  <c r="M896" i="1"/>
  <c r="N896" i="1" s="1" a="1"/>
  <c r="N896" i="1" s="1"/>
  <c r="L76" i="1"/>
  <c r="L430" i="1"/>
  <c r="K76" i="1"/>
  <c r="L896" i="1"/>
  <c r="K430" i="1"/>
  <c r="M373" i="1"/>
  <c r="M66" i="1"/>
  <c r="M110" i="1"/>
  <c r="M869" i="1"/>
  <c r="L110" i="1"/>
  <c r="L66" i="1"/>
  <c r="L869" i="1"/>
  <c r="L373" i="1"/>
  <c r="K66" i="1"/>
  <c r="K110" i="1"/>
  <c r="K373" i="1"/>
  <c r="M202" i="1"/>
  <c r="M56" i="1"/>
  <c r="N56" i="1" s="1" a="1"/>
  <c r="N56" i="1" s="1"/>
  <c r="M227" i="1"/>
  <c r="L202" i="1"/>
  <c r="L56" i="1"/>
  <c r="M977" i="1"/>
  <c r="N977" i="1" s="1" a="1"/>
  <c r="N977" i="1" s="1"/>
  <c r="L227" i="1"/>
  <c r="L977" i="1"/>
  <c r="K56" i="1"/>
  <c r="K227" i="1"/>
  <c r="K202" i="1"/>
  <c r="M46" i="1"/>
  <c r="M279" i="1"/>
  <c r="L279" i="1"/>
  <c r="L46" i="1"/>
  <c r="K46" i="1"/>
  <c r="K279" i="1"/>
  <c r="M132" i="1"/>
  <c r="M36" i="1"/>
  <c r="M166" i="1"/>
  <c r="N166" i="1" s="1" a="1"/>
  <c r="N166" i="1" s="1"/>
  <c r="M247" i="1"/>
  <c r="M807" i="1"/>
  <c r="N807" i="1" s="1" a="1"/>
  <c r="N807" i="1" s="1"/>
  <c r="M88" i="1"/>
  <c r="N88" i="1" s="1" a="1"/>
  <c r="N88" i="1" s="1"/>
  <c r="M431" i="1"/>
  <c r="L88" i="1"/>
  <c r="L132" i="1"/>
  <c r="L36" i="1"/>
  <c r="L166" i="1"/>
  <c r="L247" i="1"/>
  <c r="L807" i="1"/>
  <c r="L431" i="1"/>
  <c r="K36" i="1"/>
  <c r="K166" i="1"/>
  <c r="K247" i="1"/>
  <c r="K88" i="1"/>
  <c r="K431" i="1"/>
  <c r="K132" i="1"/>
  <c r="M6" i="1"/>
  <c r="M507" i="1"/>
  <c r="M528" i="1"/>
  <c r="M1088" i="1"/>
  <c r="M922" i="1"/>
  <c r="L6" i="1"/>
  <c r="L507" i="1"/>
  <c r="L528" i="1"/>
  <c r="L922" i="1"/>
  <c r="K6" i="1"/>
  <c r="K507" i="1"/>
  <c r="M525" i="1"/>
  <c r="M659" i="1"/>
  <c r="L659" i="1"/>
  <c r="L525" i="1"/>
  <c r="K525" i="1"/>
  <c r="M455" i="1"/>
  <c r="M1104" i="1"/>
  <c r="L455" i="1"/>
  <c r="K455" i="1"/>
  <c r="L1104" i="1"/>
  <c r="M425" i="1"/>
  <c r="M539" i="1"/>
  <c r="M1048" i="1"/>
  <c r="L1048" i="1"/>
  <c r="L539" i="1"/>
  <c r="L425" i="1"/>
  <c r="K425" i="1"/>
  <c r="K539" i="1"/>
  <c r="M285" i="1"/>
  <c r="L285" i="1"/>
  <c r="K285" i="1"/>
  <c r="M744" i="1"/>
  <c r="N744" i="1" s="1" a="1"/>
  <c r="N744" i="1" s="1"/>
  <c r="M195" i="1"/>
  <c r="M973" i="1"/>
  <c r="L195" i="1"/>
  <c r="M1036" i="1"/>
  <c r="N1036" i="1" s="1" a="1"/>
  <c r="N1036" i="1" s="1"/>
  <c r="L744" i="1"/>
  <c r="K195" i="1"/>
  <c r="L973" i="1"/>
  <c r="L1036" i="1"/>
  <c r="K1165" i="1"/>
  <c r="K1095" i="1"/>
  <c r="K1055" i="1"/>
  <c r="K1015" i="1"/>
  <c r="K985" i="1"/>
  <c r="K975" i="1"/>
  <c r="K955" i="1"/>
  <c r="K935" i="1"/>
  <c r="K915" i="1"/>
  <c r="K905" i="1"/>
  <c r="K895" i="1"/>
  <c r="K875" i="1"/>
  <c r="K845" i="1"/>
  <c r="K835" i="1"/>
  <c r="K805" i="1"/>
  <c r="K795" i="1"/>
  <c r="K785" i="1"/>
  <c r="K765" i="1"/>
  <c r="K755" i="1"/>
  <c r="K712" i="1"/>
  <c r="K700" i="1"/>
  <c r="K689" i="1"/>
  <c r="K677" i="1"/>
  <c r="K663" i="1"/>
  <c r="K647" i="1"/>
  <c r="K629" i="1"/>
  <c r="K553" i="1"/>
  <c r="K528" i="1"/>
  <c r="K498" i="1"/>
  <c r="K384" i="1"/>
  <c r="K184" i="1"/>
  <c r="L1024" i="1"/>
  <c r="M803" i="1"/>
  <c r="M354" i="1"/>
  <c r="N354" i="1" s="1" a="1"/>
  <c r="N354" i="1" s="1"/>
  <c r="M775" i="1"/>
  <c r="M30" i="1"/>
  <c r="N30" i="1" s="1" a="1"/>
  <c r="N30" i="1" s="1"/>
  <c r="L30" i="1"/>
  <c r="M875" i="1"/>
  <c r="N875" i="1" s="1" a="1"/>
  <c r="N875" i="1" s="1"/>
  <c r="L354" i="1"/>
  <c r="L803" i="1"/>
  <c r="L775" i="1"/>
  <c r="L875" i="1"/>
  <c r="K30" i="1"/>
  <c r="M383" i="1"/>
  <c r="M673" i="1"/>
  <c r="N673" i="1" s="1" a="1"/>
  <c r="N673" i="1" s="1"/>
  <c r="M357" i="1"/>
  <c r="N357" i="1" s="1" a="1"/>
  <c r="N357" i="1" s="1"/>
  <c r="L673" i="1"/>
  <c r="L383" i="1"/>
  <c r="L357" i="1"/>
  <c r="K357" i="1"/>
  <c r="K383" i="1"/>
  <c r="M642" i="1"/>
  <c r="N642" i="1" s="1" a="1"/>
  <c r="N642" i="1" s="1"/>
  <c r="M187" i="1"/>
  <c r="M698" i="1"/>
  <c r="M530" i="1"/>
  <c r="N530" i="1" s="1" a="1"/>
  <c r="N530" i="1" s="1"/>
  <c r="M950" i="1"/>
  <c r="N950" i="1" s="1" a="1"/>
  <c r="N950" i="1" s="1"/>
  <c r="L187" i="1"/>
  <c r="L698" i="1"/>
  <c r="L530" i="1"/>
  <c r="L950" i="1"/>
  <c r="L642" i="1"/>
  <c r="K187" i="1"/>
  <c r="K530" i="1"/>
  <c r="M676" i="1"/>
  <c r="N676" i="1" s="1" a="1"/>
  <c r="N676" i="1" s="1"/>
  <c r="M147" i="1"/>
  <c r="M229" i="1"/>
  <c r="N229" i="1" s="1" a="1"/>
  <c r="N229" i="1" s="1"/>
  <c r="L229" i="1"/>
  <c r="L147" i="1"/>
  <c r="L676" i="1"/>
  <c r="K147" i="1"/>
  <c r="K229" i="1"/>
  <c r="M232" i="1"/>
  <c r="M566" i="1"/>
  <c r="M17" i="1"/>
  <c r="M1188" i="1"/>
  <c r="N1188" i="1" s="1" a="1"/>
  <c r="N1188" i="1" s="1"/>
  <c r="L232" i="1"/>
  <c r="M833" i="1"/>
  <c r="L17" i="1"/>
  <c r="L566" i="1"/>
  <c r="L833" i="1"/>
  <c r="K566" i="1"/>
  <c r="K17" i="1"/>
  <c r="L1188" i="1"/>
  <c r="K232" i="1"/>
  <c r="M1006" i="1"/>
  <c r="L1006" i="1"/>
  <c r="M826" i="1"/>
  <c r="M1119" i="1"/>
  <c r="N1119" i="1" s="1" a="1"/>
  <c r="N1119" i="1" s="1"/>
  <c r="M1051" i="1"/>
  <c r="L826" i="1"/>
  <c r="L1119" i="1"/>
  <c r="L1051" i="1"/>
  <c r="M736" i="1"/>
  <c r="L736" i="1"/>
  <c r="M722" i="1"/>
  <c r="M396" i="1"/>
  <c r="M850" i="1"/>
  <c r="N850" i="1" s="1" a="1"/>
  <c r="N850" i="1" s="1"/>
  <c r="L396" i="1"/>
  <c r="L850" i="1"/>
  <c r="L722" i="1"/>
  <c r="K396" i="1"/>
  <c r="M615" i="1"/>
  <c r="M296" i="1"/>
  <c r="M408" i="1"/>
  <c r="N408" i="1" s="1" a="1"/>
  <c r="N408" i="1" s="1"/>
  <c r="M440" i="1"/>
  <c r="M810" i="1"/>
  <c r="N810" i="1" s="1" a="1"/>
  <c r="N810" i="1" s="1"/>
  <c r="M855" i="1"/>
  <c r="L296" i="1"/>
  <c r="L408" i="1"/>
  <c r="L440" i="1"/>
  <c r="L810" i="1"/>
  <c r="L615" i="1"/>
  <c r="K615" i="1"/>
  <c r="K296" i="1"/>
  <c r="K440" i="1"/>
  <c r="L855" i="1"/>
  <c r="M236" i="1"/>
  <c r="N236" i="1" s="1" a="1"/>
  <c r="N236" i="1" s="1"/>
  <c r="M936" i="1"/>
  <c r="N936" i="1" s="1" a="1"/>
  <c r="N936" i="1" s="1"/>
  <c r="L236" i="1"/>
  <c r="K236" i="1"/>
  <c r="L936" i="1"/>
  <c r="M552" i="1"/>
  <c r="N552" i="1" s="1" a="1"/>
  <c r="N552" i="1" s="1"/>
  <c r="M414" i="1"/>
  <c r="M206" i="1"/>
  <c r="M1178" i="1"/>
  <c r="M1049" i="1"/>
  <c r="N1049" i="1" s="1" a="1"/>
  <c r="N1049" i="1" s="1"/>
  <c r="M679" i="1"/>
  <c r="N679" i="1" s="1" a="1"/>
  <c r="N679" i="1" s="1"/>
  <c r="L206" i="1"/>
  <c r="L679" i="1"/>
  <c r="L1049" i="1"/>
  <c r="L552" i="1"/>
  <c r="L414" i="1"/>
  <c r="K206" i="1"/>
  <c r="L1178" i="1"/>
  <c r="M705" i="1"/>
  <c r="M16" i="1"/>
  <c r="N16" i="1" s="1" a="1"/>
  <c r="N16" i="1" s="1"/>
  <c r="M106" i="1"/>
  <c r="M91" i="1"/>
  <c r="N91" i="1" s="1" a="1"/>
  <c r="N91" i="1" s="1"/>
  <c r="L91" i="1"/>
  <c r="L16" i="1"/>
  <c r="L106" i="1"/>
  <c r="M887" i="1"/>
  <c r="N887" i="1" s="1" a="1"/>
  <c r="N887" i="1" s="1"/>
  <c r="L887" i="1"/>
  <c r="L705" i="1"/>
  <c r="K16" i="1"/>
  <c r="K106" i="1"/>
  <c r="K91" i="1"/>
  <c r="M555" i="1"/>
  <c r="N555" i="1" s="1" a="1"/>
  <c r="N555" i="1" s="1"/>
  <c r="M1126" i="1"/>
  <c r="L555" i="1"/>
  <c r="K555" i="1"/>
  <c r="L1126" i="1"/>
  <c r="M475" i="1"/>
  <c r="M1201" i="1"/>
  <c r="N1201" i="1" s="1" a="1"/>
  <c r="N1201" i="1" s="1"/>
  <c r="L475" i="1"/>
  <c r="K475" i="1"/>
  <c r="L1201" i="1"/>
  <c r="M415" i="1"/>
  <c r="N415" i="1" s="1" a="1"/>
  <c r="N415" i="1" s="1"/>
  <c r="L415" i="1"/>
  <c r="K415" i="1"/>
  <c r="M385" i="1"/>
  <c r="M387" i="1"/>
  <c r="M885" i="1"/>
  <c r="N885" i="1" s="1" a="1"/>
  <c r="N885" i="1" s="1"/>
  <c r="L385" i="1"/>
  <c r="L387" i="1"/>
  <c r="K385" i="1"/>
  <c r="L885" i="1"/>
  <c r="K387" i="1"/>
  <c r="M382" i="1"/>
  <c r="M355" i="1"/>
  <c r="M380" i="1"/>
  <c r="L380" i="1"/>
  <c r="L355" i="1"/>
  <c r="L382" i="1"/>
  <c r="K355" i="1"/>
  <c r="K380" i="1"/>
  <c r="K382" i="1"/>
  <c r="M325" i="1"/>
  <c r="N325" i="1" s="1" a="1"/>
  <c r="N325" i="1" s="1"/>
  <c r="M841" i="1"/>
  <c r="L841" i="1"/>
  <c r="L325" i="1"/>
  <c r="K325" i="1"/>
  <c r="M362" i="1"/>
  <c r="M484" i="1"/>
  <c r="N484" i="1" s="1" a="1"/>
  <c r="N484" i="1" s="1"/>
  <c r="M305" i="1"/>
  <c r="M407" i="1"/>
  <c r="M1099" i="1"/>
  <c r="M937" i="1"/>
  <c r="N937" i="1" s="1" a="1"/>
  <c r="N937" i="1" s="1"/>
  <c r="L362" i="1"/>
  <c r="L407" i="1"/>
  <c r="L937" i="1"/>
  <c r="L1099" i="1"/>
  <c r="L305" i="1"/>
  <c r="L484" i="1"/>
  <c r="K305" i="1"/>
  <c r="K407" i="1"/>
  <c r="K362" i="1"/>
  <c r="M275" i="1"/>
  <c r="N275" i="1" s="1" a="1"/>
  <c r="N275" i="1" s="1"/>
  <c r="M497" i="1"/>
  <c r="M1066" i="1"/>
  <c r="L275" i="1"/>
  <c r="L497" i="1"/>
  <c r="K275" i="1"/>
  <c r="K497" i="1"/>
  <c r="L1066" i="1"/>
  <c r="M563" i="1"/>
  <c r="N563" i="1" s="1" a="1"/>
  <c r="N563" i="1" s="1"/>
  <c r="M314" i="1"/>
  <c r="M215" i="1"/>
  <c r="N215" i="1" s="1" a="1"/>
  <c r="N215" i="1" s="1"/>
  <c r="M288" i="1"/>
  <c r="L288" i="1"/>
  <c r="M1172" i="1"/>
  <c r="N1172" i="1" s="1" a="1"/>
  <c r="N1172" i="1" s="1"/>
  <c r="L215" i="1"/>
  <c r="L314" i="1"/>
  <c r="L563" i="1"/>
  <c r="K215" i="1"/>
  <c r="K288" i="1"/>
  <c r="L1172" i="1"/>
  <c r="M185" i="1"/>
  <c r="N185" i="1" s="1" a="1"/>
  <c r="N185" i="1" s="1"/>
  <c r="M255" i="1"/>
  <c r="M447" i="1"/>
  <c r="M990" i="1"/>
  <c r="N990" i="1" s="1" a="1"/>
  <c r="N990" i="1" s="1"/>
  <c r="L185" i="1"/>
  <c r="L447" i="1"/>
  <c r="L255" i="1"/>
  <c r="L990" i="1"/>
  <c r="K185" i="1"/>
  <c r="K255" i="1"/>
  <c r="K447" i="1"/>
  <c r="M702" i="1"/>
  <c r="M165" i="1"/>
  <c r="M405" i="1"/>
  <c r="M735" i="1"/>
  <c r="L165" i="1"/>
  <c r="L702" i="1"/>
  <c r="L405" i="1"/>
  <c r="L735" i="1"/>
  <c r="K165" i="1"/>
  <c r="K405" i="1"/>
  <c r="M145" i="1"/>
  <c r="M291" i="1"/>
  <c r="M611" i="1"/>
  <c r="M939" i="1"/>
  <c r="N939" i="1" s="1" a="1"/>
  <c r="N939" i="1" s="1"/>
  <c r="M860" i="1"/>
  <c r="L145" i="1"/>
  <c r="L939" i="1"/>
  <c r="L860" i="1"/>
  <c r="L611" i="1"/>
  <c r="L291" i="1"/>
  <c r="K145" i="1"/>
  <c r="K291" i="1"/>
  <c r="K611" i="1"/>
  <c r="M125" i="1"/>
  <c r="M356" i="1"/>
  <c r="M367" i="1"/>
  <c r="N367" i="1" s="1" a="1"/>
  <c r="N367" i="1" s="1"/>
  <c r="M569" i="1"/>
  <c r="M921" i="1"/>
  <c r="N921" i="1" s="1" a="1"/>
  <c r="N921" i="1" s="1"/>
  <c r="L125" i="1"/>
  <c r="L569" i="1"/>
  <c r="L921" i="1"/>
  <c r="L367" i="1"/>
  <c r="L356" i="1"/>
  <c r="K125" i="1"/>
  <c r="K356" i="1"/>
  <c r="K367" i="1"/>
  <c r="M274" i="1"/>
  <c r="M85" i="1"/>
  <c r="M788" i="1"/>
  <c r="M150" i="1"/>
  <c r="N150" i="1" s="1" a="1"/>
  <c r="N150" i="1" s="1"/>
  <c r="L150" i="1"/>
  <c r="L85" i="1"/>
  <c r="M946" i="1"/>
  <c r="M897" i="1"/>
  <c r="N897" i="1" s="1" a="1"/>
  <c r="N897" i="1" s="1"/>
  <c r="L897" i="1"/>
  <c r="L788" i="1"/>
  <c r="L274" i="1"/>
  <c r="K85" i="1"/>
  <c r="K150" i="1"/>
  <c r="L946" i="1"/>
  <c r="M45" i="1"/>
  <c r="M685" i="1"/>
  <c r="M910" i="1"/>
  <c r="N910" i="1" s="1" a="1"/>
  <c r="N910" i="1" s="1"/>
  <c r="L45" i="1"/>
  <c r="L910" i="1"/>
  <c r="L685" i="1"/>
  <c r="K45" i="1"/>
  <c r="M264" i="1"/>
  <c r="M25" i="1"/>
  <c r="M1123" i="1"/>
  <c r="N1123" i="1" s="1" a="1"/>
  <c r="N1123" i="1" s="1"/>
  <c r="L264" i="1"/>
  <c r="L25" i="1"/>
  <c r="K25" i="1"/>
  <c r="M5" i="1"/>
  <c r="L5" i="1"/>
  <c r="K5" i="1"/>
  <c r="M1114" i="1"/>
  <c r="L1114" i="1"/>
  <c r="M1064" i="1"/>
  <c r="L1064" i="1"/>
  <c r="M1162" i="1"/>
  <c r="M983" i="1"/>
  <c r="M964" i="1"/>
  <c r="L964" i="1"/>
  <c r="L983" i="1"/>
  <c r="L1162" i="1"/>
  <c r="M904" i="1"/>
  <c r="M1046" i="1"/>
  <c r="N1046" i="1" s="1" a="1"/>
  <c r="N1046" i="1" s="1"/>
  <c r="M1157" i="1"/>
  <c r="N1157" i="1" s="1" a="1"/>
  <c r="N1157" i="1" s="1"/>
  <c r="L904" i="1"/>
  <c r="L1157" i="1"/>
  <c r="M854" i="1"/>
  <c r="L854" i="1"/>
  <c r="M824" i="1"/>
  <c r="M1080" i="1"/>
  <c r="M1014" i="1"/>
  <c r="L824" i="1"/>
  <c r="L1014" i="1"/>
  <c r="L1080" i="1"/>
  <c r="M724" i="1"/>
  <c r="N724" i="1" s="1" a="1"/>
  <c r="N724" i="1" s="1"/>
  <c r="M941" i="1"/>
  <c r="M1184" i="1"/>
  <c r="L941" i="1"/>
  <c r="L724" i="1"/>
  <c r="M654" i="1"/>
  <c r="M849" i="1"/>
  <c r="N849" i="1" s="1" a="1"/>
  <c r="N849" i="1" s="1"/>
  <c r="L849" i="1"/>
  <c r="L654" i="1"/>
  <c r="M634" i="1"/>
  <c r="M940" i="1"/>
  <c r="N940" i="1" s="1" a="1"/>
  <c r="N940" i="1" s="1"/>
  <c r="M1132" i="1"/>
  <c r="M1153" i="1"/>
  <c r="L940" i="1"/>
  <c r="L1132" i="1"/>
  <c r="L634" i="1"/>
  <c r="L1153" i="1"/>
  <c r="M624" i="1"/>
  <c r="N624" i="1" s="1" a="1"/>
  <c r="N624" i="1" s="1"/>
  <c r="M980" i="1"/>
  <c r="M1145" i="1"/>
  <c r="N1145" i="1" s="1" a="1"/>
  <c r="N1145" i="1" s="1"/>
  <c r="L980" i="1"/>
  <c r="L624" i="1"/>
  <c r="L1145" i="1"/>
  <c r="M683" i="1"/>
  <c r="M574" i="1"/>
  <c r="N574" i="1" s="1" a="1"/>
  <c r="N574" i="1" s="1"/>
  <c r="M963" i="1"/>
  <c r="L683" i="1"/>
  <c r="L574" i="1"/>
  <c r="L963" i="1"/>
  <c r="M773" i="1"/>
  <c r="M564" i="1"/>
  <c r="N564" i="1" s="1" a="1"/>
  <c r="N564" i="1" s="1"/>
  <c r="M868" i="1"/>
  <c r="M1092" i="1"/>
  <c r="L868" i="1"/>
  <c r="L1092" i="1"/>
  <c r="L773" i="1"/>
  <c r="L564" i="1"/>
  <c r="M504" i="1"/>
  <c r="N504" i="1" s="1" a="1"/>
  <c r="N504" i="1" s="1"/>
  <c r="M641" i="1"/>
  <c r="N641" i="1" s="1" a="1"/>
  <c r="N641" i="1" s="1"/>
  <c r="M1040" i="1"/>
  <c r="N1040" i="1" s="1" a="1"/>
  <c r="N1040" i="1" s="1"/>
  <c r="M771" i="1"/>
  <c r="N771" i="1" s="1" a="1"/>
  <c r="N771" i="1" s="1"/>
  <c r="M1144" i="1"/>
  <c r="L1040" i="1"/>
  <c r="L641" i="1"/>
  <c r="L771" i="1"/>
  <c r="L504" i="1"/>
  <c r="L1144" i="1"/>
  <c r="K641" i="1"/>
  <c r="M344" i="1"/>
  <c r="N344" i="1" s="1" a="1"/>
  <c r="N344" i="1" s="1"/>
  <c r="L344" i="1"/>
  <c r="M324" i="1"/>
  <c r="N324" i="1" s="1" a="1"/>
  <c r="N324" i="1" s="1"/>
  <c r="M506" i="1"/>
  <c r="M872" i="1"/>
  <c r="L506" i="1"/>
  <c r="L872" i="1"/>
  <c r="L324" i="1"/>
  <c r="K506" i="1"/>
  <c r="M304" i="1"/>
  <c r="M627" i="1"/>
  <c r="M1050" i="1"/>
  <c r="M808" i="1"/>
  <c r="N808" i="1" s="1" a="1"/>
  <c r="N808" i="1" s="1"/>
  <c r="M832" i="1"/>
  <c r="M856" i="1"/>
  <c r="M825" i="1"/>
  <c r="L856" i="1"/>
  <c r="L627" i="1"/>
  <c r="L808" i="1"/>
  <c r="L1050" i="1"/>
  <c r="L304" i="1"/>
  <c r="L832" i="1"/>
  <c r="L825" i="1"/>
  <c r="M254" i="1"/>
  <c r="M567" i="1"/>
  <c r="M660" i="1"/>
  <c r="L254" i="1"/>
  <c r="L567" i="1"/>
  <c r="L660" i="1"/>
  <c r="K567" i="1"/>
  <c r="K660" i="1"/>
  <c r="M224" i="1"/>
  <c r="M428" i="1"/>
  <c r="N428" i="1" s="1" a="1"/>
  <c r="N428" i="1" s="1"/>
  <c r="M379" i="1"/>
  <c r="L224" i="1"/>
  <c r="M836" i="1"/>
  <c r="L836" i="1"/>
  <c r="L428" i="1"/>
  <c r="L379" i="1"/>
  <c r="K379" i="1"/>
  <c r="M253" i="1"/>
  <c r="N253" i="1" s="1" a="1"/>
  <c r="N253" i="1" s="1"/>
  <c r="M194" i="1"/>
  <c r="M434" i="1"/>
  <c r="N434" i="1" s="1" a="1"/>
  <c r="N434" i="1" s="1"/>
  <c r="M326" i="1"/>
  <c r="M701" i="1"/>
  <c r="M1029" i="1"/>
  <c r="M880" i="1"/>
  <c r="N880" i="1" s="1" a="1"/>
  <c r="N880" i="1" s="1"/>
  <c r="M669" i="1"/>
  <c r="L253" i="1"/>
  <c r="L194" i="1"/>
  <c r="L326" i="1"/>
  <c r="L669" i="1"/>
  <c r="L1029" i="1"/>
  <c r="L880" i="1"/>
  <c r="L701" i="1"/>
  <c r="L434" i="1"/>
  <c r="K326" i="1"/>
  <c r="K701" i="1"/>
  <c r="K253" i="1"/>
  <c r="M174" i="1"/>
  <c r="M188" i="1"/>
  <c r="N188" i="1" s="1" a="1"/>
  <c r="N188" i="1" s="1"/>
  <c r="L188" i="1"/>
  <c r="L174" i="1"/>
  <c r="K188" i="1"/>
  <c r="M292" i="1"/>
  <c r="M463" i="1"/>
  <c r="M164" i="1"/>
  <c r="M747" i="1"/>
  <c r="M901" i="1"/>
  <c r="N901" i="1" s="1" a="1"/>
  <c r="N901" i="1" s="1"/>
  <c r="L164" i="1"/>
  <c r="L747" i="1"/>
  <c r="L901" i="1"/>
  <c r="L463" i="1"/>
  <c r="L292" i="1"/>
  <c r="K292" i="1"/>
  <c r="K463" i="1"/>
  <c r="M154" i="1"/>
  <c r="M410" i="1"/>
  <c r="M1078" i="1"/>
  <c r="L154" i="1"/>
  <c r="L1078" i="1"/>
  <c r="L410" i="1"/>
  <c r="K410" i="1"/>
  <c r="M144" i="1"/>
  <c r="M727" i="1"/>
  <c r="M1110" i="1"/>
  <c r="M972" i="1"/>
  <c r="M924" i="1"/>
  <c r="L144" i="1"/>
  <c r="L727" i="1"/>
  <c r="L972" i="1"/>
  <c r="L924" i="1"/>
  <c r="L1110" i="1"/>
  <c r="M134" i="1"/>
  <c r="M449" i="1"/>
  <c r="M1061" i="1"/>
  <c r="N1061" i="1" s="1" a="1"/>
  <c r="N1061" i="1" s="1"/>
  <c r="L134" i="1"/>
  <c r="M865" i="1"/>
  <c r="N865" i="1" s="1" a="1"/>
  <c r="N865" i="1" s="1"/>
  <c r="L449" i="1"/>
  <c r="L1061" i="1"/>
  <c r="K449" i="1"/>
  <c r="L865" i="1"/>
  <c r="M124" i="1"/>
  <c r="N124" i="1" s="1" a="1"/>
  <c r="N124" i="1" s="1"/>
  <c r="L124" i="1"/>
  <c r="M114" i="1"/>
  <c r="M479" i="1"/>
  <c r="L114" i="1"/>
  <c r="M925" i="1"/>
  <c r="L479" i="1"/>
  <c r="L925" i="1"/>
  <c r="K479" i="1"/>
  <c r="M104" i="1"/>
  <c r="M587" i="1"/>
  <c r="N587" i="1" s="1" a="1"/>
  <c r="N587" i="1" s="1"/>
  <c r="M361" i="1"/>
  <c r="M691" i="1"/>
  <c r="M989" i="1"/>
  <c r="N989" i="1" s="1" a="1"/>
  <c r="N989" i="1" s="1"/>
  <c r="L104" i="1"/>
  <c r="L361" i="1"/>
  <c r="L587" i="1"/>
  <c r="L989" i="1"/>
  <c r="L691" i="1"/>
  <c r="K587" i="1"/>
  <c r="K361" i="1"/>
  <c r="K691" i="1"/>
  <c r="M94" i="1"/>
  <c r="M581" i="1"/>
  <c r="L94" i="1"/>
  <c r="L581" i="1"/>
  <c r="K581" i="1"/>
  <c r="M74" i="1"/>
  <c r="L74" i="1"/>
  <c r="M503" i="1"/>
  <c r="M54" i="1"/>
  <c r="M394" i="1"/>
  <c r="M737" i="1"/>
  <c r="M767" i="1"/>
  <c r="M161" i="1"/>
  <c r="M861" i="1"/>
  <c r="L161" i="1"/>
  <c r="L54" i="1"/>
  <c r="L737" i="1"/>
  <c r="L767" i="1"/>
  <c r="L861" i="1"/>
  <c r="L503" i="1"/>
  <c r="L394" i="1"/>
  <c r="K161" i="1"/>
  <c r="K503" i="1"/>
  <c r="M703" i="1"/>
  <c r="M733" i="1"/>
  <c r="M34" i="1"/>
  <c r="M858" i="1"/>
  <c r="N858" i="1" s="1" a="1"/>
  <c r="N858" i="1" s="1"/>
  <c r="M1109" i="1"/>
  <c r="L34" i="1"/>
  <c r="M1147" i="1"/>
  <c r="L1147" i="1"/>
  <c r="L858" i="1"/>
  <c r="L1109" i="1"/>
  <c r="L703" i="1"/>
  <c r="L733" i="1"/>
  <c r="M24" i="1"/>
  <c r="M840" i="1"/>
  <c r="L24" i="1"/>
  <c r="L840" i="1"/>
  <c r="M14" i="1"/>
  <c r="M360" i="1"/>
  <c r="L360" i="1"/>
  <c r="M1121" i="1"/>
  <c r="L14" i="1"/>
  <c r="L1121" i="1"/>
  <c r="K360" i="1"/>
  <c r="M732" i="1"/>
  <c r="N732" i="1" s="1" a="1"/>
  <c r="N732" i="1" s="1"/>
  <c r="M4" i="1"/>
  <c r="M794" i="1"/>
  <c r="N794" i="1" s="1" a="1"/>
  <c r="N794" i="1" s="1"/>
  <c r="M427" i="1"/>
  <c r="M809" i="1"/>
  <c r="L4" i="1"/>
  <c r="L427" i="1"/>
  <c r="L809" i="1"/>
  <c r="L732" i="1"/>
  <c r="L794" i="1"/>
  <c r="K427" i="1"/>
  <c r="K1184" i="1"/>
  <c r="K1174" i="1"/>
  <c r="K1164" i="1"/>
  <c r="K1144" i="1"/>
  <c r="K1134" i="1"/>
  <c r="K1124" i="1"/>
  <c r="K1114" i="1"/>
  <c r="K1104" i="1"/>
  <c r="K1094" i="1"/>
  <c r="K1074" i="1"/>
  <c r="K1064" i="1"/>
  <c r="K1054" i="1"/>
  <c r="K1044" i="1"/>
  <c r="K1024" i="1"/>
  <c r="K1014" i="1"/>
  <c r="K994" i="1"/>
  <c r="K984" i="1"/>
  <c r="K974" i="1"/>
  <c r="K964" i="1"/>
  <c r="K944" i="1"/>
  <c r="K934" i="1"/>
  <c r="K924" i="1"/>
  <c r="K904" i="1"/>
  <c r="K894" i="1"/>
  <c r="K874" i="1"/>
  <c r="K854" i="1"/>
  <c r="K834" i="1"/>
  <c r="K824" i="1"/>
  <c r="K814" i="1"/>
  <c r="K804" i="1"/>
  <c r="K794" i="1"/>
  <c r="K784" i="1"/>
  <c r="K774" i="1"/>
  <c r="K754" i="1"/>
  <c r="K744" i="1"/>
  <c r="K733" i="1"/>
  <c r="K722" i="1"/>
  <c r="K710" i="1"/>
  <c r="K699" i="1"/>
  <c r="K688" i="1"/>
  <c r="K676" i="1"/>
  <c r="K644" i="1"/>
  <c r="K628" i="1"/>
  <c r="K552" i="1"/>
  <c r="K494" i="1"/>
  <c r="K428" i="1"/>
  <c r="K274" i="1"/>
  <c r="K174" i="1"/>
  <c r="K74" i="1"/>
  <c r="M424" i="1"/>
  <c r="N424" i="1" s="1" a="1"/>
  <c r="N424" i="1" s="1"/>
  <c r="M40" i="1"/>
  <c r="M782" i="1"/>
  <c r="N782" i="1" s="1" a="1"/>
  <c r="N782" i="1" s="1"/>
  <c r="M998" i="1"/>
  <c r="L40" i="1"/>
  <c r="L998" i="1"/>
  <c r="L782" i="1"/>
  <c r="L424" i="1"/>
  <c r="K40" i="1"/>
  <c r="M20" i="1"/>
  <c r="L20" i="1"/>
  <c r="K20" i="1"/>
  <c r="M652" i="1"/>
  <c r="N652" i="1" s="1" a="1"/>
  <c r="N652" i="1" s="1"/>
  <c r="M675" i="1"/>
  <c r="M678" i="1"/>
  <c r="M649" i="1"/>
  <c r="N649" i="1" s="1" a="1"/>
  <c r="N649" i="1" s="1"/>
  <c r="L678" i="1"/>
  <c r="L649" i="1"/>
  <c r="L652" i="1"/>
  <c r="L675" i="1"/>
  <c r="M947" i="1"/>
  <c r="N947" i="1" s="1" a="1"/>
  <c r="N947" i="1" s="1"/>
  <c r="L947" i="1"/>
  <c r="M622" i="1"/>
  <c r="N622" i="1" s="1" a="1"/>
  <c r="N622" i="1" s="1"/>
  <c r="M597" i="1"/>
  <c r="M728" i="1"/>
  <c r="M1004" i="1"/>
  <c r="M975" i="1"/>
  <c r="L597" i="1"/>
  <c r="L728" i="1"/>
  <c r="L622" i="1"/>
  <c r="L1004" i="1"/>
  <c r="K597" i="1"/>
  <c r="L975" i="1"/>
  <c r="K1197" i="1"/>
  <c r="M694" i="1"/>
  <c r="M656" i="1"/>
  <c r="L656" i="1"/>
  <c r="L694" i="1"/>
  <c r="K656" i="1"/>
  <c r="M606" i="1"/>
  <c r="N606" i="1" s="1" a="1"/>
  <c r="N606" i="1" s="1"/>
  <c r="M1058" i="1"/>
  <c r="L606" i="1"/>
  <c r="L1058" i="1"/>
  <c r="K606" i="1"/>
  <c r="M466" i="1"/>
  <c r="M651" i="1"/>
  <c r="N651" i="1" s="1" a="1"/>
  <c r="N651" i="1" s="1"/>
  <c r="L466" i="1"/>
  <c r="L651" i="1"/>
  <c r="K466" i="1"/>
  <c r="K651" i="1"/>
  <c r="M346" i="1"/>
  <c r="N346" i="1" s="1" a="1"/>
  <c r="N346" i="1" s="1"/>
  <c r="M817" i="1"/>
  <c r="L817" i="1"/>
  <c r="L346" i="1"/>
  <c r="K346" i="1"/>
  <c r="M316" i="1"/>
  <c r="M338" i="1"/>
  <c r="L338" i="1"/>
  <c r="L316" i="1"/>
  <c r="K316" i="1"/>
  <c r="K338" i="1"/>
  <c r="M196" i="1"/>
  <c r="N196" i="1" s="1" a="1"/>
  <c r="N196" i="1" s="1"/>
  <c r="M1032" i="1"/>
  <c r="N1032" i="1" s="1" a="1"/>
  <c r="N1032" i="1" s="1"/>
  <c r="L196" i="1"/>
  <c r="L1032" i="1"/>
  <c r="K196" i="1"/>
  <c r="M573" i="1"/>
  <c r="N573" i="1" s="1" a="1"/>
  <c r="N573" i="1" s="1"/>
  <c r="M26" i="1"/>
  <c r="M137" i="1"/>
  <c r="M952" i="1"/>
  <c r="L26" i="1"/>
  <c r="L137" i="1"/>
  <c r="L952" i="1"/>
  <c r="L573" i="1"/>
  <c r="K26" i="1"/>
  <c r="K137" i="1"/>
  <c r="M945" i="1"/>
  <c r="N945" i="1" s="1" a="1"/>
  <c r="N945" i="1" s="1"/>
  <c r="L945" i="1"/>
  <c r="M625" i="1"/>
  <c r="M638" i="1"/>
  <c r="N638" i="1" s="1" a="1"/>
  <c r="N638" i="1" s="1"/>
  <c r="M708" i="1"/>
  <c r="N708" i="1" s="1" a="1"/>
  <c r="N708" i="1" s="1"/>
  <c r="M711" i="1"/>
  <c r="M639" i="1"/>
  <c r="N639" i="1" s="1" a="1"/>
  <c r="N639" i="1" s="1"/>
  <c r="M1009" i="1"/>
  <c r="L638" i="1"/>
  <c r="L708" i="1"/>
  <c r="L639" i="1"/>
  <c r="L1009" i="1"/>
  <c r="L711" i="1"/>
  <c r="L625" i="1"/>
  <c r="K625" i="1"/>
  <c r="K711" i="1"/>
  <c r="M545" i="1"/>
  <c r="N545" i="1" s="1" a="1"/>
  <c r="N545" i="1" s="1"/>
  <c r="M715" i="1"/>
  <c r="M1129" i="1"/>
  <c r="M680" i="1"/>
  <c r="L1129" i="1"/>
  <c r="L680" i="1"/>
  <c r="L545" i="1"/>
  <c r="L715" i="1"/>
  <c r="K545" i="1"/>
  <c r="K680" i="1"/>
  <c r="M593" i="1"/>
  <c r="N593" i="1" s="1" a="1"/>
  <c r="N593" i="1" s="1"/>
  <c r="M515" i="1"/>
  <c r="M746" i="1"/>
  <c r="M1062" i="1"/>
  <c r="N1062" i="1" s="1" a="1"/>
  <c r="N1062" i="1" s="1"/>
  <c r="L746" i="1"/>
  <c r="L1062" i="1"/>
  <c r="L593" i="1"/>
  <c r="L515" i="1"/>
  <c r="K515" i="1"/>
  <c r="M495" i="1"/>
  <c r="N495" i="1" s="1" a="1"/>
  <c r="N495" i="1" s="1"/>
  <c r="M556" i="1"/>
  <c r="N556" i="1" s="1" a="1"/>
  <c r="N556" i="1" s="1"/>
  <c r="M598" i="1"/>
  <c r="M600" i="1"/>
  <c r="L556" i="1"/>
  <c r="L598" i="1"/>
  <c r="L600" i="1"/>
  <c r="L495" i="1"/>
  <c r="K495" i="1"/>
  <c r="K556" i="1"/>
  <c r="K600" i="1"/>
  <c r="M435" i="1"/>
  <c r="N435" i="1" s="1" a="1"/>
  <c r="N435" i="1" s="1"/>
  <c r="M720" i="1"/>
  <c r="L720" i="1"/>
  <c r="L435" i="1"/>
  <c r="K435" i="1"/>
  <c r="M295" i="1"/>
  <c r="M870" i="1"/>
  <c r="L295" i="1"/>
  <c r="L870" i="1"/>
  <c r="K295" i="1"/>
  <c r="M245" i="1"/>
  <c r="N245" i="1" s="1" a="1"/>
  <c r="N245" i="1" s="1"/>
  <c r="M406" i="1"/>
  <c r="M961" i="1"/>
  <c r="L245" i="1"/>
  <c r="L406" i="1"/>
  <c r="L961" i="1"/>
  <c r="K245" i="1"/>
  <c r="K406" i="1"/>
  <c r="M205" i="1"/>
  <c r="N205" i="1" s="1" a="1"/>
  <c r="N205" i="1" s="1"/>
  <c r="M888" i="1"/>
  <c r="N888" i="1" s="1" a="1"/>
  <c r="N888" i="1" s="1"/>
  <c r="M549" i="1"/>
  <c r="N549" i="1" s="1" a="1"/>
  <c r="N549" i="1" s="1"/>
  <c r="M1183" i="1"/>
  <c r="L205" i="1"/>
  <c r="L888" i="1"/>
  <c r="L549" i="1"/>
  <c r="K205" i="1"/>
  <c r="K549" i="1"/>
  <c r="L1183" i="1"/>
  <c r="M692" i="1"/>
  <c r="N692" i="1" s="1" a="1"/>
  <c r="N692" i="1" s="1"/>
  <c r="M175" i="1"/>
  <c r="N175" i="1" s="1" a="1"/>
  <c r="N175" i="1" s="1"/>
  <c r="M786" i="1"/>
  <c r="N786" i="1" s="1" a="1"/>
  <c r="N786" i="1" s="1"/>
  <c r="M1159" i="1"/>
  <c r="M995" i="1"/>
  <c r="L175" i="1"/>
  <c r="L786" i="1"/>
  <c r="L692" i="1"/>
  <c r="L995" i="1"/>
  <c r="K175" i="1"/>
  <c r="L1159" i="1"/>
  <c r="M155" i="1"/>
  <c r="N155" i="1" s="1" a="1"/>
  <c r="N155" i="1" s="1"/>
  <c r="M617" i="1"/>
  <c r="N617" i="1" s="1" a="1"/>
  <c r="N617" i="1" s="1"/>
  <c r="M819" i="1"/>
  <c r="L155" i="1"/>
  <c r="L617" i="1"/>
  <c r="L819" i="1"/>
  <c r="K155" i="1"/>
  <c r="M135" i="1"/>
  <c r="L135" i="1"/>
  <c r="K135" i="1"/>
  <c r="M115" i="1"/>
  <c r="N115" i="1" s="1" a="1"/>
  <c r="N115" i="1" s="1"/>
  <c r="M968" i="1"/>
  <c r="N968" i="1" s="1" a="1"/>
  <c r="N968" i="1" s="1"/>
  <c r="L115" i="1"/>
  <c r="L968" i="1"/>
  <c r="K115" i="1"/>
  <c r="M95" i="1"/>
  <c r="L95" i="1"/>
  <c r="K95" i="1"/>
  <c r="M372" i="1"/>
  <c r="M413" i="1"/>
  <c r="M844" i="1"/>
  <c r="N844" i="1" s="1" a="1"/>
  <c r="N844" i="1" s="1"/>
  <c r="M55" i="1"/>
  <c r="N55" i="1" s="1" a="1"/>
  <c r="N55" i="1" s="1"/>
  <c r="M345" i="1"/>
  <c r="L55" i="1"/>
  <c r="L345" i="1"/>
  <c r="L413" i="1"/>
  <c r="L372" i="1"/>
  <c r="L844" i="1"/>
  <c r="K55" i="1"/>
  <c r="K345" i="1"/>
  <c r="K372" i="1"/>
  <c r="K413" i="1"/>
  <c r="M442" i="1"/>
  <c r="M35" i="1"/>
  <c r="M758" i="1"/>
  <c r="N758" i="1" s="1" a="1"/>
  <c r="N758" i="1" s="1"/>
  <c r="M571" i="1"/>
  <c r="M884" i="1"/>
  <c r="L35" i="1"/>
  <c r="L758" i="1"/>
  <c r="L571" i="1"/>
  <c r="L442" i="1"/>
  <c r="L884" i="1"/>
  <c r="K35" i="1"/>
  <c r="K571" i="1"/>
  <c r="M513" i="1"/>
  <c r="N513" i="1" s="1" a="1"/>
  <c r="N513" i="1" s="1"/>
  <c r="M15" i="1"/>
  <c r="M65" i="1"/>
  <c r="M768" i="1"/>
  <c r="N768" i="1" s="1" a="1"/>
  <c r="N768" i="1" s="1"/>
  <c r="M1075" i="1"/>
  <c r="L15" i="1"/>
  <c r="L65" i="1"/>
  <c r="M987" i="1"/>
  <c r="N987" i="1" s="1" a="1"/>
  <c r="N987" i="1" s="1"/>
  <c r="L987" i="1"/>
  <c r="L768" i="1"/>
  <c r="L513" i="1"/>
  <c r="K15" i="1"/>
  <c r="K65" i="1"/>
  <c r="L1075" i="1"/>
  <c r="K513" i="1"/>
  <c r="K1155" i="1"/>
  <c r="M1053" i="1"/>
  <c r="M1154" i="1"/>
  <c r="N1154" i="1" s="1" a="1"/>
  <c r="N1154" i="1" s="1"/>
  <c r="L1053" i="1"/>
  <c r="M883" i="1"/>
  <c r="L883" i="1"/>
  <c r="M1198" i="1"/>
  <c r="N1198" i="1" s="1" a="1"/>
  <c r="N1198" i="1" s="1"/>
  <c r="M873" i="1"/>
  <c r="L873" i="1"/>
  <c r="L1198" i="1"/>
  <c r="M1120" i="1"/>
  <c r="N1120" i="1" s="1" a="1"/>
  <c r="N1120" i="1" s="1"/>
  <c r="M823" i="1"/>
  <c r="N823" i="1" s="1" a="1"/>
  <c r="N823" i="1" s="1"/>
  <c r="M917" i="1"/>
  <c r="N917" i="1" s="1" a="1"/>
  <c r="N917" i="1" s="1"/>
  <c r="L917" i="1"/>
  <c r="L823" i="1"/>
  <c r="L1120" i="1"/>
  <c r="M763" i="1"/>
  <c r="M932" i="1"/>
  <c r="N932" i="1" s="1" a="1"/>
  <c r="N932" i="1" s="1"/>
  <c r="M906" i="1"/>
  <c r="L932" i="1"/>
  <c r="L763" i="1"/>
  <c r="L906" i="1"/>
  <c r="M753" i="1"/>
  <c r="N753" i="1" s="1" a="1"/>
  <c r="N753" i="1" s="1"/>
  <c r="M997" i="1"/>
  <c r="L997" i="1"/>
  <c r="L753" i="1"/>
  <c r="M723" i="1"/>
  <c r="N723" i="1" s="1" a="1"/>
  <c r="N723" i="1" s="1"/>
  <c r="M949" i="1"/>
  <c r="L949" i="1"/>
  <c r="L723" i="1"/>
  <c r="M713" i="1"/>
  <c r="N713" i="1" s="1" a="1"/>
  <c r="N713" i="1" s="1"/>
  <c r="M1082" i="1"/>
  <c r="L1082" i="1"/>
  <c r="L713" i="1"/>
  <c r="M693" i="1"/>
  <c r="M1149" i="1"/>
  <c r="M882" i="1"/>
  <c r="N882" i="1" s="1" a="1"/>
  <c r="N882" i="1" s="1"/>
  <c r="M976" i="1"/>
  <c r="L1149" i="1"/>
  <c r="L882" i="1"/>
  <c r="L693" i="1"/>
  <c r="L976" i="1"/>
  <c r="M533" i="1"/>
  <c r="N533" i="1" s="1" a="1"/>
  <c r="N533" i="1" s="1"/>
  <c r="M584" i="1"/>
  <c r="L533" i="1"/>
  <c r="L584" i="1"/>
  <c r="M453" i="1"/>
  <c r="M704" i="1"/>
  <c r="M965" i="1"/>
  <c r="L453" i="1"/>
  <c r="L704" i="1"/>
  <c r="L965" i="1"/>
  <c r="K453" i="1"/>
  <c r="M363" i="1"/>
  <c r="M1174" i="1"/>
  <c r="L363" i="1"/>
  <c r="K363" i="1"/>
  <c r="M343" i="1"/>
  <c r="M761" i="1"/>
  <c r="N761" i="1" s="1" a="1"/>
  <c r="N761" i="1" s="1"/>
  <c r="L761" i="1"/>
  <c r="L343" i="1"/>
  <c r="K343" i="1"/>
  <c r="M333" i="1"/>
  <c r="N333" i="1" s="1" a="1"/>
  <c r="N333" i="1" s="1"/>
  <c r="M1071" i="1"/>
  <c r="L333" i="1"/>
  <c r="L1071" i="1"/>
  <c r="K333" i="1"/>
  <c r="M323" i="1"/>
  <c r="M738" i="1"/>
  <c r="N738" i="1" s="1" a="1"/>
  <c r="N738" i="1" s="1"/>
  <c r="M748" i="1"/>
  <c r="N748" i="1" s="1" a="1"/>
  <c r="N748" i="1" s="1"/>
  <c r="M948" i="1"/>
  <c r="N948" i="1" s="1" a="1"/>
  <c r="N948" i="1" s="1"/>
  <c r="M838" i="1"/>
  <c r="N838" i="1" s="1" a="1"/>
  <c r="N838" i="1" s="1"/>
  <c r="M1169" i="1"/>
  <c r="N1169" i="1" s="1" a="1"/>
  <c r="N1169" i="1" s="1"/>
  <c r="L738" i="1"/>
  <c r="L748" i="1"/>
  <c r="L838" i="1"/>
  <c r="L948" i="1"/>
  <c r="L323" i="1"/>
  <c r="L1169" i="1"/>
  <c r="K323" i="1"/>
  <c r="M313" i="1"/>
  <c r="M544" i="1"/>
  <c r="N544" i="1" s="1" a="1"/>
  <c r="N544" i="1" s="1"/>
  <c r="M665" i="1"/>
  <c r="N665" i="1" s="1" a="1"/>
  <c r="N665" i="1" s="1"/>
  <c r="M787" i="1"/>
  <c r="M531" i="1"/>
  <c r="L313" i="1"/>
  <c r="L787" i="1"/>
  <c r="L531" i="1"/>
  <c r="L544" i="1"/>
  <c r="L665" i="1"/>
  <c r="K665" i="1"/>
  <c r="K531" i="1"/>
  <c r="K313" i="1"/>
  <c r="M293" i="1"/>
  <c r="M489" i="1"/>
  <c r="L489" i="1"/>
  <c r="L293" i="1"/>
  <c r="K489" i="1"/>
  <c r="K293" i="1"/>
  <c r="M492" i="1"/>
  <c r="M283" i="1"/>
  <c r="M524" i="1"/>
  <c r="N524" i="1" s="1" a="1"/>
  <c r="N524" i="1" s="1"/>
  <c r="L283" i="1"/>
  <c r="L492" i="1"/>
  <c r="L524" i="1"/>
  <c r="K283" i="1"/>
  <c r="M243" i="1"/>
  <c r="L369" i="1"/>
  <c r="M369" i="1"/>
  <c r="L243" i="1"/>
  <c r="K369" i="1"/>
  <c r="K243" i="1"/>
  <c r="M462" i="1"/>
  <c r="N462" i="1" s="1" a="1"/>
  <c r="N462" i="1" s="1"/>
  <c r="M233" i="1"/>
  <c r="M439" i="1"/>
  <c r="L233" i="1"/>
  <c r="L439" i="1"/>
  <c r="L462" i="1"/>
  <c r="K439" i="1"/>
  <c r="K233" i="1"/>
  <c r="M213" i="1"/>
  <c r="N213" i="1" s="1" a="1"/>
  <c r="N213" i="1" s="1"/>
  <c r="M318" i="1"/>
  <c r="L318" i="1"/>
  <c r="L213" i="1"/>
  <c r="M843" i="1"/>
  <c r="M1177" i="1"/>
  <c r="N1177" i="1" s="1" a="1"/>
  <c r="N1177" i="1" s="1"/>
  <c r="L843" i="1"/>
  <c r="L1177" i="1"/>
  <c r="K318" i="1"/>
  <c r="K213" i="1"/>
  <c r="M183" i="1"/>
  <c r="L183" i="1"/>
  <c r="K183" i="1"/>
  <c r="M163" i="1"/>
  <c r="L163" i="1"/>
  <c r="K163" i="1"/>
  <c r="M612" i="1"/>
  <c r="N612" i="1" s="1" a="1"/>
  <c r="N612" i="1" s="1"/>
  <c r="M143" i="1"/>
  <c r="M395" i="1"/>
  <c r="M260" i="1"/>
  <c r="M661" i="1"/>
  <c r="N661" i="1" s="1" a="1"/>
  <c r="N661" i="1" s="1"/>
  <c r="L260" i="1"/>
  <c r="L143" i="1"/>
  <c r="M1175" i="1"/>
  <c r="L661" i="1"/>
  <c r="L612" i="1"/>
  <c r="L395" i="1"/>
  <c r="L1175" i="1"/>
  <c r="K395" i="1"/>
  <c r="K260" i="1"/>
  <c r="K661" i="1"/>
  <c r="K143" i="1"/>
  <c r="M133" i="1"/>
  <c r="N133" i="1" s="1" a="1"/>
  <c r="N133" i="1" s="1"/>
  <c r="L133" i="1"/>
  <c r="K133" i="1"/>
  <c r="M113" i="1"/>
  <c r="N113" i="1" s="1" a="1"/>
  <c r="N113" i="1" s="1"/>
  <c r="M464" i="1"/>
  <c r="M167" i="1"/>
  <c r="M309" i="1"/>
  <c r="M640" i="1"/>
  <c r="M1108" i="1"/>
  <c r="N1108" i="1" s="1" a="1"/>
  <c r="N1108" i="1" s="1"/>
  <c r="L309" i="1"/>
  <c r="M1012" i="1"/>
  <c r="N1012" i="1" s="1" a="1"/>
  <c r="N1012" i="1" s="1"/>
  <c r="L113" i="1"/>
  <c r="M1085" i="1"/>
  <c r="N1085" i="1" s="1" a="1"/>
  <c r="N1085" i="1" s="1"/>
  <c r="L167" i="1"/>
  <c r="L640" i="1"/>
  <c r="L1012" i="1"/>
  <c r="L464" i="1"/>
  <c r="L1108" i="1"/>
  <c r="K167" i="1"/>
  <c r="K309" i="1"/>
  <c r="K640" i="1"/>
  <c r="L1085" i="1"/>
  <c r="K113" i="1"/>
  <c r="M212" i="1"/>
  <c r="M103" i="1"/>
  <c r="M223" i="1"/>
  <c r="M591" i="1"/>
  <c r="N591" i="1" s="1" a="1"/>
  <c r="N591" i="1" s="1"/>
  <c r="L212" i="1"/>
  <c r="M1163" i="1"/>
  <c r="L103" i="1"/>
  <c r="L223" i="1"/>
  <c r="L591" i="1"/>
  <c r="K591" i="1"/>
  <c r="K212" i="1"/>
  <c r="L1163" i="1"/>
  <c r="K103" i="1"/>
  <c r="K223" i="1"/>
  <c r="M93" i="1"/>
  <c r="M594" i="1"/>
  <c r="N594" i="1" s="1" a="1"/>
  <c r="N594" i="1" s="1"/>
  <c r="M129" i="1"/>
  <c r="L129" i="1"/>
  <c r="M942" i="1"/>
  <c r="L93" i="1"/>
  <c r="L942" i="1"/>
  <c r="L594" i="1"/>
  <c r="K129" i="1"/>
  <c r="K93" i="1"/>
  <c r="M83" i="1"/>
  <c r="M745" i="1"/>
  <c r="N745" i="1" s="1" a="1"/>
  <c r="N745" i="1" s="1"/>
  <c r="M637" i="1"/>
  <c r="N637" i="1" s="1" a="1"/>
  <c r="N637" i="1" s="1"/>
  <c r="L83" i="1"/>
  <c r="M956" i="1"/>
  <c r="L637" i="1"/>
  <c r="L745" i="1"/>
  <c r="K83" i="1"/>
  <c r="M472" i="1"/>
  <c r="M572" i="1"/>
  <c r="M73" i="1"/>
  <c r="L73" i="1"/>
  <c r="L472" i="1"/>
  <c r="L572" i="1"/>
  <c r="K73" i="1"/>
  <c r="M522" i="1"/>
  <c r="M63" i="1"/>
  <c r="M993" i="1"/>
  <c r="L63" i="1"/>
  <c r="M874" i="1"/>
  <c r="L522" i="1"/>
  <c r="L874" i="1"/>
  <c r="K63" i="1"/>
  <c r="M53" i="1"/>
  <c r="N53" i="1" s="1" a="1"/>
  <c r="N53" i="1" s="1"/>
  <c r="M153" i="1"/>
  <c r="M273" i="1"/>
  <c r="M84" i="1"/>
  <c r="M75" i="1"/>
  <c r="L53" i="1"/>
  <c r="L153" i="1"/>
  <c r="L273" i="1"/>
  <c r="L84" i="1"/>
  <c r="L75" i="1"/>
  <c r="M1007" i="1"/>
  <c r="N1007" i="1" s="1" a="1"/>
  <c r="N1007" i="1" s="1"/>
  <c r="L1007" i="1"/>
  <c r="K75" i="1"/>
  <c r="K53" i="1"/>
  <c r="K153" i="1"/>
  <c r="K273" i="1"/>
  <c r="M43" i="1"/>
  <c r="M389" i="1"/>
  <c r="L43" i="1"/>
  <c r="L389" i="1"/>
  <c r="K389" i="1"/>
  <c r="K43" i="1"/>
  <c r="M512" i="1"/>
  <c r="N512" i="1" s="1" a="1"/>
  <c r="N512" i="1" s="1"/>
  <c r="M33" i="1"/>
  <c r="M684" i="1"/>
  <c r="N684" i="1" s="1" a="1"/>
  <c r="N684" i="1" s="1"/>
  <c r="M585" i="1"/>
  <c r="M376" i="1"/>
  <c r="M307" i="1"/>
  <c r="L33" i="1"/>
  <c r="L307" i="1"/>
  <c r="L376" i="1"/>
  <c r="L512" i="1"/>
  <c r="L684" i="1"/>
  <c r="L585" i="1"/>
  <c r="K585" i="1"/>
  <c r="K376" i="1"/>
  <c r="K307" i="1"/>
  <c r="K33" i="1"/>
  <c r="M23" i="1"/>
  <c r="M317" i="1"/>
  <c r="N317" i="1" s="1" a="1"/>
  <c r="N317" i="1" s="1"/>
  <c r="M70" i="1"/>
  <c r="N70" i="1" s="1" a="1"/>
  <c r="N70" i="1" s="1"/>
  <c r="L70" i="1"/>
  <c r="L23" i="1"/>
  <c r="M954" i="1"/>
  <c r="M1044" i="1"/>
  <c r="L317" i="1"/>
  <c r="L954" i="1"/>
  <c r="K317" i="1"/>
  <c r="K70" i="1"/>
  <c r="L1044" i="1"/>
  <c r="K23" i="1"/>
  <c r="M13" i="1"/>
  <c r="M390" i="1"/>
  <c r="M191" i="1"/>
  <c r="L390" i="1"/>
  <c r="L191" i="1"/>
  <c r="L13" i="1"/>
  <c r="M1194" i="1"/>
  <c r="N1194" i="1" s="1" a="1"/>
  <c r="N1194" i="1" s="1"/>
  <c r="K390" i="1"/>
  <c r="K191" i="1"/>
  <c r="K13" i="1"/>
  <c r="M3" i="1"/>
  <c r="M64" i="1"/>
  <c r="M853" i="1"/>
  <c r="L3" i="1"/>
  <c r="L64" i="1"/>
  <c r="M1105" i="1"/>
  <c r="N1105" i="1" s="1" a="1"/>
  <c r="N1105" i="1" s="1"/>
  <c r="L853" i="1"/>
  <c r="K3" i="1"/>
  <c r="K1183" i="1"/>
  <c r="K1163" i="1"/>
  <c r="K1153" i="1"/>
  <c r="K1143" i="1"/>
  <c r="K1133" i="1"/>
  <c r="K1123" i="1"/>
  <c r="K1113" i="1"/>
  <c r="K1103" i="1"/>
  <c r="K1093" i="1"/>
  <c r="K1073" i="1"/>
  <c r="K1053" i="1"/>
  <c r="K1043" i="1"/>
  <c r="K1033" i="1"/>
  <c r="K1023" i="1"/>
  <c r="K1013" i="1"/>
  <c r="K993" i="1"/>
  <c r="K983" i="1"/>
  <c r="K973" i="1"/>
  <c r="K963" i="1"/>
  <c r="K953" i="1"/>
  <c r="K903" i="1"/>
  <c r="K893" i="1"/>
  <c r="K883" i="1"/>
  <c r="K873" i="1"/>
  <c r="K863" i="1"/>
  <c r="K853" i="1"/>
  <c r="K843" i="1"/>
  <c r="K833" i="1"/>
  <c r="K823" i="1"/>
  <c r="K803" i="1"/>
  <c r="K773" i="1"/>
  <c r="K763" i="1"/>
  <c r="K753" i="1"/>
  <c r="K732" i="1"/>
  <c r="K720" i="1"/>
  <c r="K709" i="1"/>
  <c r="K698" i="1"/>
  <c r="K687" i="1"/>
  <c r="K675" i="1"/>
  <c r="K659" i="1"/>
  <c r="K643" i="1"/>
  <c r="K627" i="1"/>
  <c r="K609" i="1"/>
  <c r="K589" i="1"/>
  <c r="K569" i="1"/>
  <c r="K548" i="1"/>
  <c r="K523" i="1"/>
  <c r="K492" i="1"/>
  <c r="K424" i="1"/>
  <c r="K364" i="1"/>
  <c r="K264" i="1"/>
  <c r="K164" i="1"/>
  <c r="K64" i="1"/>
  <c r="L1164" i="1"/>
  <c r="L956" i="1"/>
  <c r="K822" i="1"/>
  <c r="K792" i="1"/>
  <c r="K782" i="1"/>
  <c r="K730" i="1"/>
  <c r="K697" i="1"/>
  <c r="K686" i="1"/>
  <c r="K674" i="1"/>
  <c r="K658" i="1"/>
  <c r="K642" i="1"/>
  <c r="K608" i="1"/>
  <c r="K568" i="1"/>
  <c r="K488" i="1"/>
  <c r="K454" i="1"/>
  <c r="K354" i="1"/>
  <c r="K254" i="1"/>
  <c r="K154" i="1"/>
  <c r="K54" i="1"/>
  <c r="L1154" i="1"/>
  <c r="L916" i="1"/>
  <c r="N711" i="1" l="1" a="1"/>
  <c r="N711" i="1" s="1"/>
  <c r="N627" i="1" a="1"/>
  <c r="N627" i="1" s="1"/>
  <c r="N980" i="1" a="1"/>
  <c r="N980" i="1" s="1"/>
  <c r="N318" i="1" a="1"/>
  <c r="N318" i="1" s="1"/>
  <c r="N1053" i="1" a="1"/>
  <c r="N1053" i="1" s="1"/>
  <c r="N183" i="1" a="1"/>
  <c r="N183" i="1" s="1"/>
  <c r="N413" i="1" a="1"/>
  <c r="N413" i="1" s="1"/>
  <c r="N407" i="1" a="1"/>
  <c r="N407" i="1" s="1"/>
  <c r="N431" i="1" a="1"/>
  <c r="N431" i="1" s="1"/>
  <c r="N43" i="1" a="1"/>
  <c r="N43" i="1" s="1"/>
  <c r="N572" i="1" a="1"/>
  <c r="N572" i="1" s="1"/>
  <c r="N965" i="1" a="1"/>
  <c r="N965" i="1" s="1"/>
  <c r="N625" i="1" a="1"/>
  <c r="N625" i="1" s="1"/>
  <c r="N110" i="1" a="1"/>
  <c r="N110" i="1" s="1"/>
  <c r="N496" i="1" a="1"/>
  <c r="N496" i="1" s="1"/>
  <c r="N468" i="1" a="1"/>
  <c r="N468" i="1" s="1"/>
  <c r="N631" i="1" a="1"/>
  <c r="N631" i="1" s="1"/>
  <c r="N829" i="1" a="1"/>
  <c r="N829" i="1" s="1"/>
  <c r="N585" i="1" a="1"/>
  <c r="N585" i="1" s="1"/>
  <c r="N472" i="1" a="1"/>
  <c r="N472" i="1" s="1"/>
  <c r="N223" i="1" a="1"/>
  <c r="N223" i="1" s="1"/>
  <c r="N264" i="1" a="1"/>
  <c r="N264" i="1" s="1"/>
  <c r="N85" i="1" a="1"/>
  <c r="N85" i="1" s="1"/>
  <c r="N396" i="1" a="1"/>
  <c r="N396" i="1" s="1"/>
  <c r="N663" i="1" a="1"/>
  <c r="N663" i="1" s="1"/>
  <c r="N644" i="1" a="1"/>
  <c r="N644" i="1" s="1"/>
  <c r="N395" i="1" a="1"/>
  <c r="N395" i="1" s="1"/>
  <c r="N369" i="1" a="1"/>
  <c r="N369" i="1" s="1"/>
  <c r="N733" i="1" a="1"/>
  <c r="N733" i="1" s="1"/>
  <c r="N206" i="1" a="1"/>
  <c r="N206" i="1" s="1"/>
  <c r="N922" i="1" a="1"/>
  <c r="N922" i="1" s="1"/>
  <c r="N46" i="1" a="1"/>
  <c r="N46" i="1" s="1"/>
  <c r="N988" i="1" a="1"/>
  <c r="N988" i="1" s="1"/>
  <c r="N975" i="1" a="1"/>
  <c r="N975" i="1" s="1"/>
  <c r="N972" i="1" a="1"/>
  <c r="N972" i="1" s="1"/>
  <c r="N757" i="1" a="1"/>
  <c r="N757" i="1" s="1"/>
  <c r="N643" i="1" a="1"/>
  <c r="N643" i="1" s="1"/>
  <c r="N10" i="1" a="1"/>
  <c r="N10" i="1" s="1"/>
  <c r="N136" i="1" a="1"/>
  <c r="N136" i="1" s="1"/>
  <c r="N77" i="1" a="1"/>
  <c r="N77" i="1" s="1"/>
  <c r="N979" i="1" a="1"/>
  <c r="N979" i="1" s="1"/>
  <c r="N474" i="1" a="1"/>
  <c r="N474" i="1" s="1"/>
  <c r="N219" i="1" a="1"/>
  <c r="N219" i="1" s="1"/>
  <c r="N54" i="1" a="1"/>
  <c r="N54" i="1" s="1"/>
  <c r="N129" i="1" a="1"/>
  <c r="N129" i="1" s="1"/>
  <c r="N23" i="1" a="1"/>
  <c r="N23" i="1" s="1"/>
  <c r="N283" i="1" a="1"/>
  <c r="N283" i="1" s="1"/>
  <c r="N313" i="1" a="1"/>
  <c r="N313" i="1" s="1"/>
  <c r="N1058" i="1" a="1"/>
  <c r="N1058" i="1" s="1"/>
  <c r="N840" i="1" a="1"/>
  <c r="N840" i="1" s="1"/>
  <c r="N455" i="1" a="1"/>
  <c r="N455" i="1" s="1"/>
  <c r="N376" i="1" a="1"/>
  <c r="N376" i="1" s="1"/>
  <c r="N874" i="1" a="1"/>
  <c r="N874" i="1" s="1"/>
  <c r="N309" i="1" a="1"/>
  <c r="N309" i="1" s="1"/>
  <c r="N906" i="1" a="1"/>
  <c r="N906" i="1" s="1"/>
  <c r="N870" i="1" a="1"/>
  <c r="N870" i="1" s="1"/>
  <c r="N137" i="1" a="1"/>
  <c r="N137" i="1" s="1"/>
  <c r="N17" i="1" a="1"/>
  <c r="N17" i="1" s="1"/>
  <c r="N383" i="1" a="1"/>
  <c r="N383" i="1" s="1"/>
  <c r="N973" i="1" a="1"/>
  <c r="N973" i="1" s="1"/>
  <c r="N687" i="1" a="1"/>
  <c r="N687" i="1" s="1"/>
  <c r="N847" i="1" a="1"/>
  <c r="N847" i="1" s="1"/>
  <c r="N96" i="1" a="1"/>
  <c r="N96" i="1" s="1"/>
  <c r="N903" i="1" a="1"/>
  <c r="N903" i="1" s="1"/>
  <c r="N1073" i="1" a="1"/>
  <c r="N1073" i="1" s="1"/>
  <c r="N993" i="1" a="1"/>
  <c r="N993" i="1" s="1"/>
  <c r="N103" i="1" a="1"/>
  <c r="N103" i="1" s="1"/>
  <c r="N954" i="1" a="1"/>
  <c r="N954" i="1" s="1"/>
  <c r="N84" i="1" a="1"/>
  <c r="N84" i="1" s="1"/>
  <c r="N680" i="1" a="1"/>
  <c r="N680" i="1" s="1"/>
  <c r="N316" i="1" a="1"/>
  <c r="N316" i="1" s="1"/>
  <c r="N656" i="1" a="1"/>
  <c r="N656" i="1" s="1"/>
  <c r="N1004" i="1" a="1"/>
  <c r="N1004" i="1" s="1"/>
  <c r="N581" i="1" a="1"/>
  <c r="N581" i="1" s="1"/>
  <c r="N479" i="1" a="1"/>
  <c r="N479" i="1" s="1"/>
  <c r="N1110" i="1" a="1"/>
  <c r="N1110" i="1" s="1"/>
  <c r="N463" i="1" a="1"/>
  <c r="N463" i="1" s="1"/>
  <c r="N1029" i="1" a="1"/>
  <c r="N1029" i="1" s="1"/>
  <c r="N660" i="1" a="1"/>
  <c r="N660" i="1" s="1"/>
  <c r="N380" i="1" a="1"/>
  <c r="N380" i="1" s="1"/>
  <c r="N464" i="1" a="1"/>
  <c r="N464" i="1" s="1"/>
  <c r="N571" i="1" a="1"/>
  <c r="N571" i="1" s="1"/>
  <c r="N95" i="1" a="1"/>
  <c r="N95" i="1" s="1"/>
  <c r="N338" i="1" a="1"/>
  <c r="N338" i="1" s="1"/>
  <c r="N1121" i="1" a="1"/>
  <c r="N1121" i="1" s="1"/>
  <c r="N161" i="1" a="1"/>
  <c r="N161" i="1" s="1"/>
  <c r="N154" i="1" a="1"/>
  <c r="N154" i="1" s="1"/>
  <c r="N824" i="1" a="1"/>
  <c r="N824" i="1" s="1"/>
  <c r="N5" i="1" a="1"/>
  <c r="N5" i="1" s="1"/>
  <c r="N735" i="1" a="1"/>
  <c r="N735" i="1" s="1"/>
  <c r="N387" i="1" a="1"/>
  <c r="N387" i="1" s="1"/>
  <c r="N615" i="1" a="1"/>
  <c r="N615" i="1" s="1"/>
  <c r="N528" i="1" a="1"/>
  <c r="N528" i="1" s="1"/>
  <c r="N767" i="1" a="1"/>
  <c r="N767" i="1" s="1"/>
  <c r="N836" i="1" a="1"/>
  <c r="N836" i="1" s="1"/>
  <c r="N825" i="1" a="1"/>
  <c r="N825" i="1" s="1"/>
  <c r="N683" i="1" a="1"/>
  <c r="N683" i="1" s="1"/>
  <c r="N964" i="1" a="1"/>
  <c r="N964" i="1" s="1"/>
  <c r="N385" i="1" a="1"/>
  <c r="N385" i="1" s="1"/>
  <c r="N1082" i="1" a="1"/>
  <c r="N1082" i="1" s="1"/>
  <c r="N1163" i="1" a="1"/>
  <c r="N1163" i="1" s="1"/>
  <c r="N135" i="1" a="1"/>
  <c r="N135" i="1" s="1"/>
  <c r="N1078" i="1" a="1"/>
  <c r="N1078" i="1" s="1"/>
  <c r="N1014" i="1" a="1"/>
  <c r="N1014" i="1" s="1"/>
  <c r="N698" i="1" a="1"/>
  <c r="N698" i="1" s="1"/>
  <c r="N259" i="1" a="1"/>
  <c r="N259" i="1" s="1"/>
  <c r="N804" i="1" a="1"/>
  <c r="N804" i="1" s="1"/>
  <c r="N831" i="1" a="1"/>
  <c r="N831" i="1" s="1"/>
  <c r="N1044" i="1" a="1"/>
  <c r="N1044" i="1" s="1"/>
  <c r="N75" i="1" a="1"/>
  <c r="N75" i="1" s="1"/>
  <c r="N243" i="1" a="1"/>
  <c r="N243" i="1" s="1"/>
  <c r="N453" i="1" a="1"/>
  <c r="N453" i="1" s="1"/>
  <c r="N763" i="1" a="1"/>
  <c r="N763" i="1" s="1"/>
  <c r="N15" i="1" a="1"/>
  <c r="N15" i="1" s="1"/>
  <c r="N164" i="1" a="1"/>
  <c r="N164" i="1" s="1"/>
  <c r="N125" i="1" a="1"/>
  <c r="N125" i="1" s="1"/>
  <c r="N232" i="1" a="1"/>
  <c r="N232" i="1" s="1"/>
  <c r="N539" i="1" a="1"/>
  <c r="N539" i="1" s="1"/>
  <c r="N659" i="1" a="1"/>
  <c r="N659" i="1" s="1"/>
  <c r="N373" i="1" a="1"/>
  <c r="N373" i="1" s="1"/>
  <c r="N1010" i="1" a="1"/>
  <c r="N1010" i="1" s="1"/>
  <c r="N126" i="1" a="1"/>
  <c r="N126" i="1" s="1"/>
  <c r="N156" i="1" a="1"/>
  <c r="N156" i="1" s="1"/>
  <c r="N416" i="1" a="1"/>
  <c r="N416" i="1" s="1"/>
  <c r="N853" i="1" a="1"/>
  <c r="N853" i="1" s="1"/>
  <c r="N191" i="1" a="1"/>
  <c r="N191" i="1" s="1"/>
  <c r="N33" i="1" a="1"/>
  <c r="N33" i="1" s="1"/>
  <c r="N63" i="1" a="1"/>
  <c r="N63" i="1" s="1"/>
  <c r="N212" i="1" a="1"/>
  <c r="N212" i="1" s="1"/>
  <c r="N1149" i="1" a="1"/>
  <c r="N1149" i="1" s="1"/>
  <c r="N946" i="1" a="1"/>
  <c r="N946" i="1" s="1"/>
  <c r="N611" i="1" a="1"/>
  <c r="N611" i="1" s="1"/>
  <c r="N405" i="1" a="1"/>
  <c r="N405" i="1" s="1"/>
  <c r="N817" i="1" a="1"/>
  <c r="N817" i="1" s="1"/>
  <c r="N40" i="1" a="1"/>
  <c r="N40" i="1" s="1"/>
  <c r="N4" i="1" a="1"/>
  <c r="N4" i="1" s="1"/>
  <c r="N1109" i="1" a="1"/>
  <c r="N1109" i="1" s="1"/>
  <c r="N503" i="1" a="1"/>
  <c r="N503" i="1" s="1"/>
  <c r="N104" i="1" a="1"/>
  <c r="N104" i="1" s="1"/>
  <c r="N194" i="1" a="1"/>
  <c r="N194" i="1" s="1"/>
  <c r="N224" i="1" a="1"/>
  <c r="N224" i="1" s="1"/>
  <c r="N1050" i="1" a="1"/>
  <c r="N1050" i="1" s="1"/>
  <c r="N773" i="1" a="1"/>
  <c r="N773" i="1" s="1"/>
  <c r="N634" i="1" a="1"/>
  <c r="N634" i="1" s="1"/>
  <c r="N1064" i="1" a="1"/>
  <c r="N1064" i="1" s="1"/>
  <c r="N25" i="1" a="1"/>
  <c r="N25" i="1" s="1"/>
  <c r="N788" i="1" a="1"/>
  <c r="N788" i="1" s="1"/>
  <c r="N314" i="1" a="1"/>
  <c r="N314" i="1" s="1"/>
  <c r="N1099" i="1" a="1"/>
  <c r="N1099" i="1" s="1"/>
  <c r="N106" i="1" a="1"/>
  <c r="N106" i="1" s="1"/>
  <c r="N855" i="1" a="1"/>
  <c r="N855" i="1" s="1"/>
  <c r="N826" i="1" a="1"/>
  <c r="N826" i="1" s="1"/>
  <c r="N833" i="1" a="1"/>
  <c r="N833" i="1" s="1"/>
  <c r="N1104" i="1" a="1"/>
  <c r="N1104" i="1" s="1"/>
  <c r="N749" i="1" a="1"/>
  <c r="N749" i="1" s="1"/>
  <c r="N894" i="1" a="1"/>
  <c r="N894" i="1" s="1"/>
  <c r="N480" i="1" a="1"/>
  <c r="N480" i="1" s="1"/>
  <c r="N482" i="1" a="1"/>
  <c r="N482" i="1" s="1"/>
  <c r="N1101" i="1" a="1"/>
  <c r="N1101" i="1" s="1"/>
  <c r="N796" i="1" a="1"/>
  <c r="N796" i="1" s="1"/>
  <c r="N1093" i="1" a="1"/>
  <c r="N1093" i="1" s="1"/>
  <c r="N37" i="1" a="1"/>
  <c r="N37" i="1" s="1"/>
  <c r="N834" i="1" a="1"/>
  <c r="N834" i="1" s="1"/>
  <c r="N1011" i="1" a="1"/>
  <c r="N1011" i="1" s="1"/>
  <c r="N230" i="1" a="1"/>
  <c r="N230" i="1" s="1"/>
  <c r="N263" i="1" a="1"/>
  <c r="N263" i="1" s="1"/>
  <c r="N557" i="1" a="1"/>
  <c r="N557" i="1" s="1"/>
  <c r="N8" i="1" a="1"/>
  <c r="N8" i="1" s="1"/>
  <c r="N246" i="1" a="1"/>
  <c r="N246" i="1" s="1"/>
  <c r="N907" i="1" a="1"/>
  <c r="N907" i="1" s="1"/>
  <c r="N78" i="1" a="1"/>
  <c r="N78" i="1" s="1"/>
  <c r="N454" i="1" a="1"/>
  <c r="N454" i="1" s="1"/>
  <c r="N999" i="1" a="1"/>
  <c r="N999" i="1" s="1"/>
  <c r="N1079" i="1" a="1"/>
  <c r="N1079" i="1" s="1"/>
  <c r="N558" i="1" a="1"/>
  <c r="N558" i="1" s="1"/>
  <c r="N1074" i="1" a="1"/>
  <c r="N1074" i="1" s="1"/>
  <c r="N797" i="1" a="1"/>
  <c r="N797" i="1" s="1"/>
  <c r="N580" i="1" a="1"/>
  <c r="N580" i="1" s="1"/>
  <c r="N837" i="1" a="1"/>
  <c r="N837" i="1" s="1"/>
  <c r="N546" i="1" a="1"/>
  <c r="N546" i="1" s="1"/>
  <c r="N299" i="1" a="1"/>
  <c r="N299" i="1" s="1"/>
  <c r="N589" i="1" a="1"/>
  <c r="N589" i="1" s="1"/>
  <c r="N511" i="1" a="1"/>
  <c r="N511" i="1" s="1"/>
  <c r="N550" i="1" a="1"/>
  <c r="N550" i="1" s="1"/>
  <c r="N674" i="1" a="1"/>
  <c r="N674" i="1" s="1"/>
  <c r="N44" i="1" a="1"/>
  <c r="N44" i="1" s="1"/>
  <c r="N51" i="1" a="1"/>
  <c r="N51" i="1" s="1"/>
  <c r="N268" i="1" a="1"/>
  <c r="N268" i="1" s="1"/>
  <c r="N616" i="1" a="1"/>
  <c r="N616" i="1" s="1"/>
  <c r="N402" i="1" a="1"/>
  <c r="N402" i="1" s="1"/>
  <c r="N1015" i="1" a="1"/>
  <c r="N1015" i="1" s="1"/>
  <c r="N494" i="1" a="1"/>
  <c r="N494" i="1" s="1"/>
  <c r="N648" i="1" a="1"/>
  <c r="N648" i="1" s="1"/>
  <c r="N391" i="1" a="1"/>
  <c r="N391" i="1" s="1"/>
  <c r="N577" i="1" a="1"/>
  <c r="N577" i="1" s="1"/>
  <c r="N441" i="1" a="1"/>
  <c r="N441" i="1" s="1"/>
  <c r="N1160" i="1" a="1"/>
  <c r="N1160" i="1" s="1"/>
  <c r="N801" i="1" a="1"/>
  <c r="N801" i="1" s="1"/>
  <c r="N1020" i="1" a="1"/>
  <c r="N1020" i="1" s="1"/>
  <c r="N1127" i="1" a="1"/>
  <c r="N1127" i="1" s="1"/>
  <c r="N152" i="1" a="1"/>
  <c r="N152" i="1" s="1"/>
  <c r="N252" i="1" a="1"/>
  <c r="N252" i="1" s="1"/>
  <c r="N1161" i="1" a="1"/>
  <c r="N1161" i="1" s="1"/>
  <c r="N312" i="1" a="1"/>
  <c r="N312" i="1" s="1"/>
  <c r="N762" i="1" a="1"/>
  <c r="N762" i="1" s="1"/>
  <c r="N1138" i="1" a="1"/>
  <c r="N1138" i="1" s="1"/>
  <c r="N141" i="1" a="1"/>
  <c r="N141" i="1" s="1"/>
  <c r="N1181" i="1" a="1"/>
  <c r="N1181" i="1" s="1"/>
  <c r="N140" i="1" a="1"/>
  <c r="N140" i="1" s="1"/>
  <c r="N448" i="1" a="1"/>
  <c r="N448" i="1" s="1"/>
  <c r="N1122" i="1" a="1"/>
  <c r="N1122" i="1" s="1"/>
  <c r="N800" i="1" a="1"/>
  <c r="N800" i="1" s="1"/>
  <c r="N610" i="1" a="1"/>
  <c r="N610" i="1" s="1"/>
  <c r="N208" i="1" a="1"/>
  <c r="N208" i="1" s="1"/>
  <c r="N348" i="1" a="1"/>
  <c r="N348" i="1" s="1"/>
  <c r="N538" i="1" a="1"/>
  <c r="N538" i="1" s="1"/>
  <c r="N668" i="1" a="1"/>
  <c r="N668" i="1" s="1"/>
  <c r="N123" i="1" a="1"/>
  <c r="N123" i="1" s="1"/>
  <c r="N79" i="1" a="1"/>
  <c r="N79" i="1" s="1"/>
  <c r="N893" i="1" a="1"/>
  <c r="N893" i="1" s="1"/>
  <c r="N149" i="1" a="1"/>
  <c r="N149" i="1" s="1"/>
  <c r="N726" i="1" a="1"/>
  <c r="N726" i="1" s="1"/>
  <c r="N508" i="1" a="1"/>
  <c r="N508" i="1" s="1"/>
  <c r="N814" i="1" a="1"/>
  <c r="N814" i="1" s="1"/>
  <c r="N619" i="1" a="1"/>
  <c r="N619" i="1" s="1"/>
  <c r="N527" i="1" a="1"/>
  <c r="N527" i="1" s="1"/>
  <c r="N277" i="1" a="1"/>
  <c r="N277" i="1" s="1"/>
  <c r="N534" i="1" a="1"/>
  <c r="N534" i="1" s="1"/>
  <c r="N499" i="1" a="1"/>
  <c r="N499" i="1" s="1"/>
  <c r="N412" i="1" a="1"/>
  <c r="N412" i="1" s="1"/>
  <c r="N311" i="1" a="1"/>
  <c r="N311" i="1" s="1"/>
  <c r="N331" i="1" a="1"/>
  <c r="N331" i="1" s="1"/>
  <c r="N485" i="1" a="1"/>
  <c r="N485" i="1" s="1"/>
  <c r="N423" i="1" a="1"/>
  <c r="N423" i="1" s="1"/>
  <c r="N672" i="1" a="1"/>
  <c r="N672" i="1" s="1"/>
  <c r="N935" i="1" a="1"/>
  <c r="N935" i="1" s="1"/>
  <c r="N1089" i="1" a="1"/>
  <c r="N1089" i="1" s="1"/>
  <c r="N985" i="1" a="1"/>
  <c r="N985" i="1" s="1"/>
  <c r="N217" i="1" a="1"/>
  <c r="N217" i="1" s="1"/>
  <c r="N1087" i="1" a="1"/>
  <c r="N1087" i="1" s="1"/>
  <c r="N222" i="1" a="1"/>
  <c r="N222" i="1" s="1"/>
  <c r="N991" i="1" a="1"/>
  <c r="N991" i="1" s="1"/>
  <c r="N789" i="1" a="1"/>
  <c r="N789" i="1" s="1"/>
  <c r="N1151" i="1" a="1"/>
  <c r="N1151" i="1" s="1"/>
  <c r="N582" i="1" a="1"/>
  <c r="N582" i="1" s="1"/>
  <c r="N938" i="1" a="1"/>
  <c r="N938" i="1" s="1"/>
  <c r="N812" i="1" a="1"/>
  <c r="N812" i="1" s="1"/>
  <c r="N590" i="1" a="1"/>
  <c r="N590" i="1" s="1"/>
  <c r="N60" i="1" a="1"/>
  <c r="N60" i="1" s="1"/>
  <c r="N120" i="1" a="1"/>
  <c r="N120" i="1" s="1"/>
  <c r="N276" i="1" a="1"/>
  <c r="N276" i="1" s="1"/>
  <c r="N898" i="1" a="1"/>
  <c r="N898" i="1" s="1"/>
  <c r="N811" i="1" a="1"/>
  <c r="N811" i="1" s="1"/>
  <c r="N923" i="1" a="1"/>
  <c r="N923" i="1" s="1"/>
  <c r="N510" i="1" a="1"/>
  <c r="N510" i="1" s="1"/>
  <c r="N653" i="1" a="1"/>
  <c r="N653" i="1" s="1"/>
  <c r="N368" i="1" a="1"/>
  <c r="N368" i="1" s="1"/>
  <c r="N595" i="1" a="1"/>
  <c r="N595" i="1" s="1"/>
  <c r="N916" i="1" a="1"/>
  <c r="N916" i="1" s="1"/>
  <c r="N798" i="1" a="1"/>
  <c r="N798" i="1" s="1"/>
  <c r="N307" i="1" a="1"/>
  <c r="N307" i="1" s="1"/>
  <c r="N389" i="1" a="1"/>
  <c r="N389" i="1" s="1"/>
  <c r="N73" i="1" a="1"/>
  <c r="N73" i="1" s="1"/>
  <c r="N83" i="1" a="1"/>
  <c r="N83" i="1" s="1"/>
  <c r="N93" i="1" a="1"/>
  <c r="N93" i="1" s="1"/>
  <c r="N640" i="1" a="1"/>
  <c r="N640" i="1" s="1"/>
  <c r="N260" i="1" a="1"/>
  <c r="N260" i="1" s="1"/>
  <c r="N492" i="1" a="1"/>
  <c r="N492" i="1" s="1"/>
  <c r="N1075" i="1" a="1"/>
  <c r="N1075" i="1" s="1"/>
  <c r="N372" i="1" a="1"/>
  <c r="N372" i="1" s="1"/>
  <c r="N952" i="1" a="1"/>
  <c r="N952" i="1" s="1"/>
  <c r="N20" i="1" a="1"/>
  <c r="N20" i="1" s="1"/>
  <c r="N24" i="1" a="1"/>
  <c r="N24" i="1" s="1"/>
  <c r="N34" i="1" a="1"/>
  <c r="N34" i="1" s="1"/>
  <c r="N74" i="1" a="1"/>
  <c r="N74" i="1" s="1"/>
  <c r="N174" i="1" a="1"/>
  <c r="N174" i="1" s="1"/>
  <c r="N304" i="1" a="1"/>
  <c r="N304" i="1" s="1"/>
  <c r="N904" i="1" a="1"/>
  <c r="N904" i="1" s="1"/>
  <c r="N1114" i="1" a="1"/>
  <c r="N1114" i="1" s="1"/>
  <c r="N274" i="1" a="1"/>
  <c r="N274" i="1" s="1"/>
  <c r="N569" i="1" a="1"/>
  <c r="N569" i="1" s="1"/>
  <c r="N305" i="1" a="1"/>
  <c r="N305" i="1" s="1"/>
  <c r="N705" i="1" a="1"/>
  <c r="N705" i="1" s="1"/>
  <c r="N1178" i="1" a="1"/>
  <c r="N1178" i="1" s="1"/>
  <c r="N440" i="1" a="1"/>
  <c r="N440" i="1" s="1"/>
  <c r="N722" i="1" a="1"/>
  <c r="N722" i="1" s="1"/>
  <c r="N1006" i="1" a="1"/>
  <c r="N1006" i="1" s="1"/>
  <c r="N147" i="1" a="1"/>
  <c r="N147" i="1" s="1"/>
  <c r="N775" i="1" a="1"/>
  <c r="N775" i="1" s="1"/>
  <c r="N279" i="1" a="1"/>
  <c r="N279" i="1" s="1"/>
  <c r="N227" i="1" a="1"/>
  <c r="N227" i="1" s="1"/>
  <c r="N869" i="1" a="1"/>
  <c r="N869" i="1" s="1"/>
  <c r="N430" i="1" a="1"/>
  <c r="N430" i="1" s="1"/>
  <c r="N176" i="1" a="1"/>
  <c r="N176" i="1" s="1"/>
  <c r="N186" i="1" a="1"/>
  <c r="N186" i="1" s="1"/>
  <c r="N1168" i="1" a="1"/>
  <c r="N1168" i="1" s="1"/>
  <c r="N966" i="1" a="1"/>
  <c r="N966" i="1" s="1"/>
  <c r="N265" i="1" a="1"/>
  <c r="N265" i="1" s="1"/>
  <c r="N7" i="1" a="1"/>
  <c r="N7" i="1" s="1"/>
  <c r="N1166" i="1" a="1"/>
  <c r="N1166" i="1" s="1"/>
  <c r="N470" i="1" a="1"/>
  <c r="N470" i="1" s="1"/>
  <c r="N327" i="1" a="1"/>
  <c r="N327" i="1" s="1"/>
  <c r="N583" i="1" a="1"/>
  <c r="N583" i="1" s="1"/>
  <c r="N235" i="1" a="1"/>
  <c r="N235" i="1" s="1"/>
  <c r="N795" i="1" a="1"/>
  <c r="N795" i="1" s="1"/>
  <c r="N330" i="1" a="1"/>
  <c r="N330" i="1" s="1"/>
  <c r="N586" i="1" a="1"/>
  <c r="N586" i="1" s="1"/>
  <c r="N339" i="1" a="1"/>
  <c r="N339" i="1" s="1"/>
  <c r="N700" i="1" a="1"/>
  <c r="N700" i="1" s="1"/>
  <c r="N1143" i="1" a="1"/>
  <c r="N1143" i="1" s="1"/>
  <c r="N1067" i="1" a="1"/>
  <c r="N1067" i="1" s="1"/>
  <c r="N460" i="1" a="1"/>
  <c r="N460" i="1" s="1"/>
  <c r="N465" i="1" a="1"/>
  <c r="N465" i="1" s="1"/>
  <c r="N895" i="1" a="1"/>
  <c r="N895" i="1" s="1"/>
  <c r="N576" i="1" a="1"/>
  <c r="N576" i="1" s="1"/>
  <c r="N393" i="1" a="1"/>
  <c r="N393" i="1" s="1"/>
  <c r="N1095" i="1" a="1"/>
  <c r="N1095" i="1" s="1"/>
  <c r="N955" i="1" a="1"/>
  <c r="N955" i="1" s="1"/>
  <c r="N756" i="1" a="1"/>
  <c r="N756" i="1" s="1"/>
  <c r="N785" i="1" a="1"/>
  <c r="N785" i="1" s="1"/>
  <c r="N483" i="1" a="1"/>
  <c r="N483" i="1" s="1"/>
  <c r="N822" i="1" a="1"/>
  <c r="N822" i="1" s="1"/>
  <c r="N1173" i="1" a="1"/>
  <c r="N1173" i="1" s="1"/>
  <c r="N501" i="1" a="1"/>
  <c r="N501" i="1" s="1"/>
  <c r="N457" i="1" a="1"/>
  <c r="N457" i="1" s="1"/>
  <c r="N392" i="1" a="1"/>
  <c r="N392" i="1" s="1"/>
  <c r="N764" i="1" a="1"/>
  <c r="N764" i="1" s="1"/>
  <c r="N742" i="1" a="1"/>
  <c r="N742" i="1" s="1"/>
  <c r="N167" i="1" a="1"/>
  <c r="N167" i="1" s="1"/>
  <c r="N143" i="1" a="1"/>
  <c r="N143" i="1" s="1"/>
  <c r="N323" i="1" a="1"/>
  <c r="N323" i="1" s="1"/>
  <c r="N343" i="1" a="1"/>
  <c r="N343" i="1" s="1"/>
  <c r="N704" i="1" a="1"/>
  <c r="N704" i="1" s="1"/>
  <c r="N976" i="1" a="1"/>
  <c r="N976" i="1" s="1"/>
  <c r="N949" i="1" a="1"/>
  <c r="N949" i="1" s="1"/>
  <c r="N873" i="1" a="1"/>
  <c r="N873" i="1" s="1"/>
  <c r="N65" i="1" a="1"/>
  <c r="N65" i="1" s="1"/>
  <c r="N884" i="1" a="1"/>
  <c r="N884" i="1" s="1"/>
  <c r="N295" i="1" a="1"/>
  <c r="N295" i="1" s="1"/>
  <c r="N26" i="1" a="1"/>
  <c r="N26" i="1" s="1"/>
  <c r="N703" i="1" a="1"/>
  <c r="N703" i="1" s="1"/>
  <c r="N861" i="1" a="1"/>
  <c r="N861" i="1" s="1"/>
  <c r="N925" i="1" a="1"/>
  <c r="N925" i="1" s="1"/>
  <c r="N924" i="1" a="1"/>
  <c r="N924" i="1" s="1"/>
  <c r="N410" i="1" a="1"/>
  <c r="N410" i="1" s="1"/>
  <c r="N747" i="1" a="1"/>
  <c r="N747" i="1" s="1"/>
  <c r="N669" i="1" a="1"/>
  <c r="N669" i="1" s="1"/>
  <c r="N963" i="1" a="1"/>
  <c r="N963" i="1" s="1"/>
  <c r="N654" i="1" a="1"/>
  <c r="N654" i="1" s="1"/>
  <c r="N1080" i="1" a="1"/>
  <c r="N1080" i="1" s="1"/>
  <c r="N356" i="1" a="1"/>
  <c r="N356" i="1" s="1"/>
  <c r="N860" i="1" a="1"/>
  <c r="N860" i="1" s="1"/>
  <c r="N362" i="1" a="1"/>
  <c r="N362" i="1" s="1"/>
  <c r="N475" i="1" a="1"/>
  <c r="N475" i="1" s="1"/>
  <c r="N414" i="1" a="1"/>
  <c r="N414" i="1" s="1"/>
  <c r="N296" i="1" a="1"/>
  <c r="N296" i="1" s="1"/>
  <c r="N736" i="1" a="1"/>
  <c r="N736" i="1" s="1"/>
  <c r="N566" i="1" a="1"/>
  <c r="N566" i="1" s="1"/>
  <c r="N187" i="1" a="1"/>
  <c r="N187" i="1" s="1"/>
  <c r="N803" i="1" a="1"/>
  <c r="N803" i="1" s="1"/>
  <c r="N195" i="1" a="1"/>
  <c r="N195" i="1" s="1"/>
  <c r="N1048" i="1" a="1"/>
  <c r="N1048" i="1" s="1"/>
  <c r="N1088" i="1" a="1"/>
  <c r="N1088" i="1" s="1"/>
  <c r="N247" i="1" a="1"/>
  <c r="N247" i="1" s="1"/>
  <c r="N202" i="1" a="1"/>
  <c r="N202" i="1" s="1"/>
  <c r="N66" i="1" a="1"/>
  <c r="N66" i="1" s="1"/>
  <c r="N934" i="1" a="1"/>
  <c r="N934" i="1" s="1"/>
  <c r="N509" i="1" a="1"/>
  <c r="N509" i="1" s="1"/>
  <c r="N426" i="1" a="1"/>
  <c r="N426" i="1" s="1"/>
  <c r="N336" i="1" a="1"/>
  <c r="N336" i="1" s="1"/>
  <c r="N437" i="1" a="1"/>
  <c r="N437" i="1" s="1"/>
  <c r="N477" i="1" a="1"/>
  <c r="N477" i="1" s="1"/>
  <c r="N349" i="1" a="1"/>
  <c r="N349" i="1" s="1"/>
  <c r="N707" i="1" a="1"/>
  <c r="N707" i="1" s="1"/>
  <c r="N866" i="1" a="1"/>
  <c r="N866" i="1" s="1"/>
  <c r="N178" i="1" a="1"/>
  <c r="N178" i="1" s="1"/>
  <c r="N863" i="1" a="1"/>
  <c r="N863" i="1" s="1"/>
  <c r="N754" i="1" a="1"/>
  <c r="N754" i="1" s="1"/>
  <c r="N867" i="1" a="1"/>
  <c r="N867" i="1" s="1"/>
  <c r="N315" i="1" a="1"/>
  <c r="N315" i="1" s="1"/>
  <c r="N845" i="1" a="1"/>
  <c r="N845" i="1" s="1"/>
  <c r="N498" i="1" a="1"/>
  <c r="N498" i="1" s="1"/>
  <c r="N158" i="1" a="1"/>
  <c r="N158" i="1" s="1"/>
  <c r="N168" i="1" a="1"/>
  <c r="N168" i="1" s="1"/>
  <c r="N436" i="1" a="1"/>
  <c r="N436" i="1" s="1"/>
  <c r="N1141" i="1" a="1"/>
  <c r="N1141" i="1" s="1"/>
  <c r="N1043" i="1" a="1"/>
  <c r="N1043" i="1" s="1"/>
  <c r="N905" i="1" a="1"/>
  <c r="N905" i="1" s="1"/>
  <c r="N49" i="1" a="1"/>
  <c r="N49" i="1" s="1"/>
  <c r="N725" i="1" a="1"/>
  <c r="N725" i="1" s="1"/>
  <c r="N540" i="1" a="1"/>
  <c r="N540" i="1" s="1"/>
  <c r="N609" i="1" a="1"/>
  <c r="N609" i="1" s="1"/>
  <c r="N221" i="1" a="1"/>
  <c r="N221" i="1" s="1"/>
  <c r="N628" i="1" a="1"/>
  <c r="N628" i="1" s="1"/>
  <c r="N71" i="1" a="1"/>
  <c r="N71" i="1" s="1"/>
  <c r="N101" i="1" a="1"/>
  <c r="N101" i="1" s="1"/>
  <c r="N521" i="1" a="1"/>
  <c r="N521" i="1" s="1"/>
  <c r="N473" i="1" a="1"/>
  <c r="N473" i="1" s="1"/>
  <c r="N741" i="1" a="1"/>
  <c r="N741" i="1" s="1"/>
  <c r="N981" i="1" a="1"/>
  <c r="N981" i="1" s="1"/>
  <c r="N783" i="1" a="1"/>
  <c r="N783" i="1" s="1"/>
  <c r="N478" i="1" a="1"/>
  <c r="N478" i="1" s="1"/>
  <c r="N142" i="1" a="1"/>
  <c r="N142" i="1" s="1"/>
  <c r="N655" i="1" a="1"/>
  <c r="N655" i="1" s="1"/>
  <c r="N864" i="1" a="1"/>
  <c r="N864" i="1" s="1"/>
  <c r="N302" i="1" a="1"/>
  <c r="N302" i="1" s="1"/>
  <c r="N920" i="1" a="1"/>
  <c r="N920" i="1" s="1"/>
  <c r="N570" i="1" a="1"/>
  <c r="N570" i="1" s="1"/>
  <c r="N1125" i="1" a="1"/>
  <c r="N1125" i="1" s="1"/>
  <c r="N1097" i="1" a="1"/>
  <c r="N1097" i="1" s="1"/>
  <c r="N1034" i="1" a="1"/>
  <c r="N1034" i="1" s="1"/>
  <c r="N220" i="1" a="1"/>
  <c r="N220" i="1" s="1"/>
  <c r="N1000" i="1" a="1"/>
  <c r="N1000" i="1" s="1"/>
  <c r="N614" i="1" a="1"/>
  <c r="N614" i="1" s="1"/>
  <c r="N994" i="1" a="1"/>
  <c r="N994" i="1" s="1"/>
  <c r="N335" i="1" a="1"/>
  <c r="N335" i="1" s="1"/>
  <c r="N366" i="1" a="1"/>
  <c r="N366" i="1" s="1"/>
  <c r="N548" i="1" a="1"/>
  <c r="N548" i="1" s="1"/>
  <c r="N1176" i="1" a="1"/>
  <c r="N1176" i="1" s="1"/>
  <c r="N19" i="1" a="1"/>
  <c r="N19" i="1" s="1"/>
  <c r="N1155" i="1" a="1"/>
  <c r="N1155" i="1" s="1"/>
  <c r="N290" i="1" a="1"/>
  <c r="N290" i="1" s="1"/>
  <c r="N300" i="1" a="1"/>
  <c r="N300" i="1" s="1"/>
  <c r="N629" i="1" a="1"/>
  <c r="N629" i="1" s="1"/>
  <c r="N709" i="1" a="1"/>
  <c r="N709" i="1" s="1"/>
  <c r="N11" i="1" a="1"/>
  <c r="N11" i="1" s="1"/>
  <c r="N31" i="1" a="1"/>
  <c r="N31" i="1" s="1"/>
  <c r="N1180" i="1" a="1"/>
  <c r="N1180" i="1" s="1"/>
  <c r="N80" i="1" a="1"/>
  <c r="N80" i="1" s="1"/>
  <c r="N886" i="1" a="1"/>
  <c r="N886" i="1" s="1"/>
  <c r="N986" i="1" a="1"/>
  <c r="N986" i="1" s="1"/>
  <c r="N1139" i="1" a="1"/>
  <c r="N1139" i="1" s="1"/>
  <c r="N681" i="1" a="1"/>
  <c r="N681" i="1" s="1"/>
  <c r="N1112" i="1" a="1"/>
  <c r="N1112" i="1" s="1"/>
  <c r="B6" i="2" a="1"/>
  <c r="B6" i="2" s="1"/>
  <c r="B5" i="2" a="1"/>
  <c r="B5" i="2" s="1"/>
  <c r="N592" i="1" a="1"/>
  <c r="N592" i="1" s="1"/>
  <c r="N280" i="1" a="1"/>
  <c r="N280" i="1" s="1"/>
  <c r="N374" i="1" a="1"/>
  <c r="N374" i="1" s="1"/>
  <c r="N82" i="1" a="1"/>
  <c r="N82" i="1" s="1"/>
  <c r="N207" i="1" a="1"/>
  <c r="N207" i="1" s="1"/>
  <c r="N806" i="1" a="1"/>
  <c r="N806" i="1" s="1"/>
  <c r="N112" i="1" a="1"/>
  <c r="N112" i="1" s="1"/>
  <c r="N172" i="1" a="1"/>
  <c r="N172" i="1" s="1"/>
  <c r="N262" i="1" a="1"/>
  <c r="N262" i="1" s="1"/>
  <c r="N536" i="1" a="1"/>
  <c r="N536" i="1" s="1"/>
  <c r="N770" i="1" a="1"/>
  <c r="N770" i="1" s="1"/>
  <c r="N777" i="1" a="1"/>
  <c r="N777" i="1" s="1"/>
  <c r="N623" i="1" a="1"/>
  <c r="N623" i="1" s="1"/>
  <c r="N930" i="1" a="1"/>
  <c r="N930" i="1" s="1"/>
  <c r="N1193" i="1" a="1"/>
  <c r="N1193" i="1" s="1"/>
  <c r="N1106" i="1" a="1"/>
  <c r="N1106" i="1" s="1"/>
  <c r="N1045" i="1" a="1"/>
  <c r="N1045" i="1" s="1"/>
  <c r="N918" i="1" a="1"/>
  <c r="N918" i="1" s="1"/>
  <c r="N310" i="1" a="1"/>
  <c r="N310" i="1" s="1"/>
  <c r="N1137" i="1" a="1"/>
  <c r="N1137" i="1" s="1"/>
  <c r="N525" i="1" a="1"/>
  <c r="N525" i="1" s="1"/>
  <c r="N827" i="1" a="1"/>
  <c r="N827" i="1" s="1"/>
  <c r="N443" i="1" a="1"/>
  <c r="N443" i="1" s="1"/>
  <c r="N173" i="1" a="1"/>
  <c r="N173" i="1" s="1"/>
  <c r="N926" i="1" a="1"/>
  <c r="N926" i="1" s="1"/>
  <c r="N378" i="1" a="1"/>
  <c r="N378" i="1" s="1"/>
  <c r="N1081" i="1" a="1"/>
  <c r="N1081" i="1" s="1"/>
  <c r="N621" i="1" a="1"/>
  <c r="N621" i="1" s="1"/>
  <c r="N298" i="1" a="1"/>
  <c r="N298" i="1" s="1"/>
  <c r="N209" i="1" a="1"/>
  <c r="N209" i="1" s="1"/>
  <c r="N974" i="1" a="1"/>
  <c r="N974" i="1" s="1"/>
  <c r="N399" i="1" a="1"/>
  <c r="N399" i="1" s="1"/>
  <c r="N541" i="1" a="1"/>
  <c r="N541" i="1" s="1"/>
  <c r="N579" i="1" a="1"/>
  <c r="N579" i="1" s="1"/>
  <c r="N1013" i="1" a="1"/>
  <c r="N1013" i="1" s="1"/>
  <c r="N667" i="1" a="1"/>
  <c r="N667" i="1" s="1"/>
  <c r="N716" i="1" a="1"/>
  <c r="N716" i="1" s="1"/>
  <c r="N151" i="1" a="1"/>
  <c r="N151" i="1" s="1"/>
  <c r="N181" i="1" a="1"/>
  <c r="N181" i="1" s="1"/>
  <c r="N328" i="1" a="1"/>
  <c r="N328" i="1" s="1"/>
  <c r="N461" i="1" a="1"/>
  <c r="N461" i="1" s="1"/>
  <c r="N1054" i="1" a="1"/>
  <c r="N1054" i="1" s="1"/>
  <c r="N820" i="1" a="1"/>
  <c r="N820" i="1" s="1"/>
  <c r="N892" i="1" a="1"/>
  <c r="N892" i="1" s="1"/>
  <c r="N710" i="1" a="1"/>
  <c r="N710" i="1" s="1"/>
  <c r="N1134" i="1" a="1"/>
  <c r="N1134" i="1" s="1"/>
  <c r="N1146" i="1" a="1"/>
  <c r="N1146" i="1" s="1"/>
  <c r="N551" i="1" a="1"/>
  <c r="N551" i="1" s="1"/>
  <c r="N871" i="1" a="1"/>
  <c r="N871" i="1" s="1"/>
  <c r="N578" i="1" a="1"/>
  <c r="N578" i="1" s="1"/>
  <c r="N52" i="1" a="1"/>
  <c r="N52" i="1" s="1"/>
  <c r="N403" i="1" a="1"/>
  <c r="N403" i="1" s="1"/>
  <c r="N1028" i="1" a="1"/>
  <c r="N1028" i="1" s="1"/>
  <c r="N342" i="1" a="1"/>
  <c r="N342" i="1" s="1"/>
  <c r="N493" i="1" a="1"/>
  <c r="N493" i="1" s="1"/>
  <c r="N502" i="1" a="1"/>
  <c r="N502" i="1" s="1"/>
  <c r="N602" i="1" a="1"/>
  <c r="N602" i="1" s="1"/>
  <c r="N902" i="1" a="1"/>
  <c r="N902" i="1" s="1"/>
  <c r="N400" i="1" a="1"/>
  <c r="N400" i="1" s="1"/>
  <c r="N450" i="1" a="1"/>
  <c r="N450" i="1" s="1"/>
  <c r="N996" i="1" a="1"/>
  <c r="N996" i="1" s="1"/>
  <c r="N90" i="1" a="1"/>
  <c r="N90" i="1" s="1"/>
  <c r="N100" i="1" a="1"/>
  <c r="N100" i="1" s="1"/>
  <c r="N240" i="1" a="1"/>
  <c r="N240" i="1" s="1"/>
  <c r="N778" i="1" a="1"/>
  <c r="N778" i="1" s="1"/>
  <c r="N721" i="1" a="1"/>
  <c r="N721" i="1" s="1"/>
  <c r="N425" i="1" a="1"/>
  <c r="N425" i="1" s="1"/>
  <c r="N507" i="1" a="1"/>
  <c r="N507" i="1" s="1"/>
  <c r="N36" i="1" a="1"/>
  <c r="N36" i="1" s="1"/>
  <c r="N516" i="1" a="1"/>
  <c r="N516" i="1" s="1"/>
  <c r="N67" i="1" a="1"/>
  <c r="N67" i="1" s="1"/>
  <c r="N784" i="1" a="1"/>
  <c r="N784" i="1" s="1"/>
  <c r="N87" i="1" a="1"/>
  <c r="N87" i="1" s="1"/>
  <c r="N157" i="1" a="1"/>
  <c r="N157" i="1" s="1"/>
  <c r="N1039" i="1" a="1"/>
  <c r="N1039" i="1" s="1"/>
  <c r="N658" i="1" a="1"/>
  <c r="N658" i="1" s="1"/>
  <c r="N689" i="1" a="1"/>
  <c r="N689" i="1" s="1"/>
  <c r="N122" i="1" a="1"/>
  <c r="N122" i="1" s="1"/>
  <c r="N657" i="1" a="1"/>
  <c r="N657" i="1" s="1"/>
  <c r="N805" i="1" a="1"/>
  <c r="N805" i="1" s="1"/>
  <c r="N1098" i="1" a="1"/>
  <c r="N1098" i="1" s="1"/>
  <c r="N64" i="1" a="1"/>
  <c r="N64" i="1" s="1"/>
  <c r="N522" i="1" a="1"/>
  <c r="N522" i="1" s="1"/>
  <c r="N439" i="1" a="1"/>
  <c r="N439" i="1" s="1"/>
  <c r="N489" i="1" a="1"/>
  <c r="N489" i="1" s="1"/>
  <c r="N1174" i="1" a="1"/>
  <c r="N1174" i="1" s="1"/>
  <c r="N693" i="1" a="1"/>
  <c r="N693" i="1" s="1"/>
  <c r="N961" i="1" a="1"/>
  <c r="N961" i="1" s="1"/>
  <c r="N746" i="1" a="1"/>
  <c r="N746" i="1" s="1"/>
  <c r="N694" i="1" a="1"/>
  <c r="N694" i="1" s="1"/>
  <c r="N678" i="1" a="1"/>
  <c r="N678" i="1" s="1"/>
  <c r="N809" i="1" a="1"/>
  <c r="N809" i="1" s="1"/>
  <c r="N360" i="1" a="1"/>
  <c r="N360" i="1" s="1"/>
  <c r="N737" i="1" a="1"/>
  <c r="N737" i="1" s="1"/>
  <c r="N94" i="1" a="1"/>
  <c r="N94" i="1" s="1"/>
  <c r="N691" i="1" a="1"/>
  <c r="N691" i="1" s="1"/>
  <c r="N114" i="1" a="1"/>
  <c r="N114" i="1" s="1"/>
  <c r="N449" i="1" a="1"/>
  <c r="N449" i="1" s="1"/>
  <c r="N567" i="1" a="1"/>
  <c r="N567" i="1" s="1"/>
  <c r="N856" i="1" a="1"/>
  <c r="N856" i="1" s="1"/>
  <c r="N872" i="1" a="1"/>
  <c r="N872" i="1" s="1"/>
  <c r="N1092" i="1" a="1"/>
  <c r="N1092" i="1" s="1"/>
  <c r="N1153" i="1" a="1"/>
  <c r="N1153" i="1" s="1"/>
  <c r="N1184" i="1" a="1"/>
  <c r="N1184" i="1" s="1"/>
  <c r="N854" i="1" a="1"/>
  <c r="N854" i="1" s="1"/>
  <c r="N983" i="1" a="1"/>
  <c r="N983" i="1" s="1"/>
  <c r="N685" i="1" a="1"/>
  <c r="N685" i="1" s="1"/>
  <c r="N291" i="1" a="1"/>
  <c r="N291" i="1" s="1"/>
  <c r="N165" i="1" a="1"/>
  <c r="N165" i="1" s="1"/>
  <c r="N447" i="1" a="1"/>
  <c r="N447" i="1" s="1"/>
  <c r="N1066" i="1" a="1"/>
  <c r="N1066" i="1" s="1"/>
  <c r="N355" i="1" a="1"/>
  <c r="N355" i="1" s="1"/>
  <c r="N132" i="1" a="1"/>
  <c r="N132" i="1" s="1"/>
  <c r="N386" i="1" a="1"/>
  <c r="N386" i="1" s="1"/>
  <c r="N1076" i="1" a="1"/>
  <c r="N1076" i="1" s="1"/>
  <c r="N358" i="1" a="1"/>
  <c r="N358" i="1" s="1"/>
  <c r="N1057" i="1" a="1"/>
  <c r="N1057" i="1" s="1"/>
  <c r="N604" i="1" a="1"/>
  <c r="N604" i="1" s="1"/>
  <c r="N446" i="1" a="1"/>
  <c r="N446" i="1" s="1"/>
  <c r="N119" i="1" a="1"/>
  <c r="N119" i="1" s="1"/>
  <c r="N505" i="1" a="1"/>
  <c r="N505" i="1" s="1"/>
  <c r="N377" i="1" a="1"/>
  <c r="N377" i="1" s="1"/>
  <c r="N467" i="1" a="1"/>
  <c r="N467" i="1" s="1"/>
  <c r="N177" i="1" a="1"/>
  <c r="N177" i="1" s="1"/>
  <c r="N266" i="1" a="1"/>
  <c r="N266" i="1" s="1"/>
  <c r="N128" i="1" a="1"/>
  <c r="N128" i="1" s="1"/>
  <c r="N138" i="1" a="1"/>
  <c r="N138" i="1" s="1"/>
  <c r="N258" i="1" a="1"/>
  <c r="N258" i="1" s="1"/>
  <c r="N984" i="1" a="1"/>
  <c r="N984" i="1" s="1"/>
  <c r="N1158" i="1" a="1"/>
  <c r="N1158" i="1" s="1"/>
  <c r="N1164" i="1" a="1"/>
  <c r="N1164" i="1" s="1"/>
  <c r="N890" i="1" a="1"/>
  <c r="N890" i="1" s="1"/>
  <c r="N568" i="1" a="1"/>
  <c r="N568" i="1" s="1"/>
  <c r="N618" i="1" a="1"/>
  <c r="N618" i="1" s="1"/>
  <c r="N908" i="1" a="1"/>
  <c r="N908" i="1" s="1"/>
  <c r="N9" i="1" a="1"/>
  <c r="N9" i="1" s="1"/>
  <c r="N1179" i="1" a="1"/>
  <c r="N1179" i="1" s="1"/>
  <c r="N359" i="1" a="1"/>
  <c r="N359" i="1" s="1"/>
  <c r="N99" i="1" a="1"/>
  <c r="N99" i="1" s="1"/>
  <c r="N364" i="1" a="1"/>
  <c r="N364" i="1" s="1"/>
  <c r="N1021" i="1" a="1"/>
  <c r="N1021" i="1" s="1"/>
  <c r="N169" i="1" a="1"/>
  <c r="N169" i="1" s="1"/>
  <c r="N596" i="1" a="1"/>
  <c r="N596" i="1" s="1"/>
  <c r="N438" i="1" a="1"/>
  <c r="N438" i="1" s="1"/>
  <c r="N1086" i="1" a="1"/>
  <c r="N1086" i="1" s="1"/>
  <c r="N1200" i="1" a="1"/>
  <c r="N1200" i="1" s="1"/>
  <c r="N799" i="1" a="1"/>
  <c r="N799" i="1" s="1"/>
  <c r="N228" i="1" a="1"/>
  <c r="N228" i="1" s="1"/>
  <c r="N184" i="1" a="1"/>
  <c r="N184" i="1" s="1"/>
  <c r="N1190" i="1" a="1"/>
  <c r="N1190" i="1" s="1"/>
  <c r="N239" i="1" a="1"/>
  <c r="N239" i="1" s="1"/>
  <c r="N306" i="1" a="1"/>
  <c r="N306" i="1" s="1"/>
  <c r="N605" i="1" a="1"/>
  <c r="N605" i="1" s="1"/>
  <c r="N261" i="1" a="1"/>
  <c r="N261" i="1" s="1"/>
  <c r="N971" i="1" a="1"/>
  <c r="N971" i="1" s="1"/>
  <c r="N879" i="1" a="1"/>
  <c r="N879" i="1" s="1"/>
  <c r="N816" i="1" a="1"/>
  <c r="N816" i="1" s="1"/>
  <c r="N1186" i="1" a="1"/>
  <c r="N1186" i="1" s="1"/>
  <c r="N818" i="1" a="1"/>
  <c r="N818" i="1" s="1"/>
  <c r="N1033" i="1" a="1"/>
  <c r="N1033" i="1" s="1"/>
  <c r="N781" i="1" a="1"/>
  <c r="N781" i="1" s="1"/>
  <c r="N734" i="1" a="1"/>
  <c r="N734" i="1" s="1"/>
  <c r="N486" i="1" a="1"/>
  <c r="N486" i="1" s="1"/>
  <c r="N62" i="1" a="1"/>
  <c r="N62" i="1" s="1"/>
  <c r="N92" i="1" a="1"/>
  <c r="N92" i="1" s="1"/>
  <c r="N752" i="1" a="1"/>
  <c r="N752" i="1" s="1"/>
  <c r="N432" i="1" a="1"/>
  <c r="N432" i="1" s="1"/>
  <c r="N802" i="1" a="1"/>
  <c r="N802" i="1" s="1"/>
  <c r="N962" i="1" a="1"/>
  <c r="N962" i="1" s="1"/>
  <c r="N1070" i="1" a="1"/>
  <c r="N1070" i="1" s="1"/>
  <c r="N780" i="1" a="1"/>
  <c r="N780" i="1" s="1"/>
  <c r="N1189" i="1" a="1"/>
  <c r="N1189" i="1" s="1"/>
  <c r="N543" i="1" a="1"/>
  <c r="N543" i="1" s="1"/>
  <c r="N1195" i="1" a="1"/>
  <c r="N1195" i="1" s="1"/>
  <c r="N146" i="1" a="1"/>
  <c r="N146" i="1" s="1"/>
  <c r="N370" i="1" a="1"/>
  <c r="N370" i="1" s="1"/>
  <c r="N444" i="1" a="1"/>
  <c r="N444" i="1" s="1"/>
  <c r="N500" i="1" a="1"/>
  <c r="N500" i="1" s="1"/>
  <c r="N914" i="1" a="1"/>
  <c r="N914" i="1" s="1"/>
  <c r="N390" i="1" a="1"/>
  <c r="N390" i="1" s="1"/>
  <c r="N273" i="1" a="1"/>
  <c r="N273" i="1" s="1"/>
  <c r="N843" i="1" a="1"/>
  <c r="N843" i="1" s="1"/>
  <c r="N531" i="1" a="1"/>
  <c r="N531" i="1" s="1"/>
  <c r="N883" i="1" a="1"/>
  <c r="N883" i="1" s="1"/>
  <c r="N35" i="1" a="1"/>
  <c r="N35" i="1" s="1"/>
  <c r="N995" i="1" a="1"/>
  <c r="N995" i="1" s="1"/>
  <c r="N600" i="1" a="1"/>
  <c r="N600" i="1" s="1"/>
  <c r="N1129" i="1" a="1"/>
  <c r="N1129" i="1" s="1"/>
  <c r="N466" i="1" a="1"/>
  <c r="N466" i="1" s="1"/>
  <c r="N728" i="1" a="1"/>
  <c r="N728" i="1" s="1"/>
  <c r="N727" i="1" a="1"/>
  <c r="N727" i="1" s="1"/>
  <c r="N292" i="1" a="1"/>
  <c r="N292" i="1" s="1"/>
  <c r="N701" i="1" a="1"/>
  <c r="N701" i="1" s="1"/>
  <c r="N6" i="1" a="1"/>
  <c r="N6" i="1" s="1"/>
  <c r="N490" i="1" a="1"/>
  <c r="N490" i="1" s="1"/>
  <c r="N297" i="1" a="1"/>
  <c r="N297" i="1" s="1"/>
  <c r="N666" i="1" a="1"/>
  <c r="N666" i="1" s="1"/>
  <c r="N967" i="1" a="1"/>
  <c r="N967" i="1" s="1"/>
  <c r="N3" i="1" a="1"/>
  <c r="N3" i="1" s="1"/>
  <c r="N13" i="1" a="1"/>
  <c r="N13" i="1" s="1"/>
  <c r="N153" i="1" a="1"/>
  <c r="N153" i="1" s="1"/>
  <c r="N956" i="1" a="1"/>
  <c r="N956" i="1" s="1"/>
  <c r="N942" i="1" a="1"/>
  <c r="N942" i="1" s="1"/>
  <c r="N1175" i="1" a="1"/>
  <c r="N1175" i="1" s="1"/>
  <c r="N163" i="1" a="1"/>
  <c r="N163" i="1" s="1"/>
  <c r="N233" i="1" a="1"/>
  <c r="N233" i="1" s="1"/>
  <c r="N293" i="1" a="1"/>
  <c r="N293" i="1" s="1"/>
  <c r="N787" i="1" a="1"/>
  <c r="N787" i="1" s="1"/>
  <c r="N1071" i="1" a="1"/>
  <c r="N1071" i="1" s="1"/>
  <c r="N363" i="1" a="1"/>
  <c r="N363" i="1" s="1"/>
  <c r="N584" i="1" a="1"/>
  <c r="N584" i="1" s="1"/>
  <c r="N997" i="1" a="1"/>
  <c r="N997" i="1" s="1"/>
  <c r="N442" i="1" a="1"/>
  <c r="N442" i="1" s="1"/>
  <c r="N345" i="1" a="1"/>
  <c r="N345" i="1" s="1"/>
  <c r="N819" i="1" a="1"/>
  <c r="N819" i="1" s="1"/>
  <c r="N1159" i="1" a="1"/>
  <c r="N1159" i="1" s="1"/>
  <c r="N1183" i="1" a="1"/>
  <c r="N1183" i="1" s="1"/>
  <c r="N406" i="1" a="1"/>
  <c r="N406" i="1" s="1"/>
  <c r="N720" i="1" a="1"/>
  <c r="N720" i="1" s="1"/>
  <c r="N598" i="1" a="1"/>
  <c r="N598" i="1" s="1"/>
  <c r="N515" i="1" a="1"/>
  <c r="N515" i="1" s="1"/>
  <c r="N715" i="1" a="1"/>
  <c r="N715" i="1" s="1"/>
  <c r="N1009" i="1" a="1"/>
  <c r="N1009" i="1" s="1"/>
  <c r="N597" i="1" a="1"/>
  <c r="N597" i="1" s="1"/>
  <c r="N675" i="1" a="1"/>
  <c r="N675" i="1" s="1"/>
  <c r="N998" i="1" a="1"/>
  <c r="N998" i="1" s="1"/>
  <c r="N427" i="1" a="1"/>
  <c r="N427" i="1" s="1"/>
  <c r="N14" i="1" a="1"/>
  <c r="N14" i="1" s="1"/>
  <c r="N1147" i="1" a="1"/>
  <c r="N1147" i="1" s="1"/>
  <c r="N394" i="1" a="1"/>
  <c r="N394" i="1" s="1"/>
  <c r="N361" i="1" a="1"/>
  <c r="N361" i="1" s="1"/>
  <c r="N134" i="1" a="1"/>
  <c r="N134" i="1" s="1"/>
  <c r="N144" i="1" a="1"/>
  <c r="N144" i="1" s="1"/>
  <c r="N326" i="1" a="1"/>
  <c r="N326" i="1" s="1"/>
  <c r="N379" i="1" a="1"/>
  <c r="N379" i="1" s="1"/>
  <c r="N254" i="1" a="1"/>
  <c r="N254" i="1" s="1"/>
  <c r="N832" i="1" a="1"/>
  <c r="N832" i="1" s="1"/>
  <c r="N506" i="1" a="1"/>
  <c r="N506" i="1" s="1"/>
  <c r="N1144" i="1" a="1"/>
  <c r="N1144" i="1" s="1"/>
  <c r="N868" i="1" a="1"/>
  <c r="N868" i="1" s="1"/>
  <c r="N1132" i="1" a="1"/>
  <c r="N1132" i="1" s="1"/>
  <c r="N941" i="1" a="1"/>
  <c r="N941" i="1" s="1"/>
  <c r="N1162" i="1" a="1"/>
  <c r="N1162" i="1" s="1"/>
  <c r="N45" i="1" a="1"/>
  <c r="N45" i="1" s="1"/>
  <c r="N145" i="1" a="1"/>
  <c r="N145" i="1" s="1"/>
  <c r="N702" i="1" a="1"/>
  <c r="N702" i="1" s="1"/>
  <c r="N255" i="1" a="1"/>
  <c r="N255" i="1" s="1"/>
  <c r="N288" i="1" a="1"/>
  <c r="N288" i="1" s="1"/>
  <c r="N497" i="1" a="1"/>
  <c r="N497" i="1" s="1"/>
  <c r="N841" i="1" a="1"/>
  <c r="N841" i="1" s="1"/>
  <c r="N382" i="1" a="1"/>
  <c r="N382" i="1" s="1"/>
  <c r="N1126" i="1" a="1"/>
  <c r="N1126" i="1" s="1"/>
  <c r="N1051" i="1" a="1"/>
  <c r="N1051" i="1" s="1"/>
  <c r="N285" i="1" a="1"/>
  <c r="N285" i="1" s="1"/>
  <c r="N646" i="1" a="1"/>
  <c r="N646" i="1" s="1"/>
  <c r="N1077" i="1" a="1"/>
  <c r="N1077" i="1" s="1"/>
  <c r="N1016" i="1" a="1"/>
  <c r="N1016" i="1" s="1"/>
  <c r="N931" i="1" a="1"/>
  <c r="N931" i="1" s="1"/>
  <c r="N670" i="1" a="1"/>
  <c r="N670" i="1" s="1"/>
  <c r="N456" i="1" a="1"/>
  <c r="N456" i="1" s="1"/>
  <c r="N218" i="1" a="1"/>
  <c r="N218" i="1" s="1"/>
  <c r="N171" i="1" a="1"/>
  <c r="N171" i="1" s="1"/>
  <c r="N759" i="1" a="1"/>
  <c r="N759" i="1" s="1"/>
  <c r="N57" i="1" a="1"/>
  <c r="N57" i="1" s="1"/>
  <c r="N97" i="1" a="1"/>
  <c r="N97" i="1" s="1"/>
  <c r="N197" i="1" a="1"/>
  <c r="N197" i="1" s="1"/>
  <c r="N899" i="1" a="1"/>
  <c r="N899" i="1" s="1"/>
  <c r="N384" i="1" a="1"/>
  <c r="N384" i="1" s="1"/>
  <c r="N341" i="1" a="1"/>
  <c r="N341" i="1" s="1"/>
  <c r="N417" i="1" a="1"/>
  <c r="N417" i="1" s="1"/>
  <c r="N397" i="1" a="1"/>
  <c r="N397" i="1" s="1"/>
  <c r="N1047" i="1" a="1"/>
  <c r="N1047" i="1" s="1"/>
  <c r="N1136" i="1" a="1"/>
  <c r="N1136" i="1" s="1"/>
  <c r="N248" i="1" a="1"/>
  <c r="N248" i="1" s="1"/>
  <c r="N765" i="1" a="1"/>
  <c r="N765" i="1" s="1"/>
  <c r="N953" i="1" a="1"/>
  <c r="N953" i="1" s="1"/>
  <c r="N308" i="1" a="1"/>
  <c r="N308" i="1" s="1"/>
  <c r="N518" i="1" a="1"/>
  <c r="N518" i="1" s="1"/>
  <c r="N928" i="1" a="1"/>
  <c r="N928" i="1" s="1"/>
  <c r="N677" i="1" a="1"/>
  <c r="N677" i="1" s="1"/>
  <c r="N375" i="1" a="1"/>
  <c r="N375" i="1" s="1"/>
  <c r="N1038" i="1" a="1"/>
  <c r="N1038" i="1" s="1"/>
  <c r="N69" i="1" a="1"/>
  <c r="N69" i="1" s="1"/>
  <c r="N682" i="1" a="1"/>
  <c r="N682" i="1" s="1"/>
  <c r="N553" i="1" a="1"/>
  <c r="N553" i="1" s="1"/>
  <c r="N626" i="1" a="1"/>
  <c r="N626" i="1" s="1"/>
  <c r="N269" i="1" a="1"/>
  <c r="N269" i="1" s="1"/>
  <c r="N848" i="1" a="1"/>
  <c r="N848" i="1" s="1"/>
  <c r="N1116" i="1" a="1"/>
  <c r="N1116" i="1" s="1"/>
  <c r="N429" i="1" a="1"/>
  <c r="N429" i="1" s="1"/>
  <c r="N459" i="1" a="1"/>
  <c r="N459" i="1" s="1"/>
  <c r="N1041" i="1" a="1"/>
  <c r="N1041" i="1" s="1"/>
  <c r="N244" i="1" a="1"/>
  <c r="N244" i="1" s="1"/>
  <c r="N755" i="1" a="1"/>
  <c r="N755" i="1" s="1"/>
  <c r="N61" i="1" a="1"/>
  <c r="N61" i="1" s="1"/>
  <c r="N303" i="1" a="1"/>
  <c r="N303" i="1" s="1"/>
  <c r="N1150" i="1" a="1"/>
  <c r="N1150" i="1" s="1"/>
  <c r="N353" i="1" a="1"/>
  <c r="N353" i="1" s="1"/>
  <c r="N635" i="1" a="1"/>
  <c r="N635" i="1" s="1"/>
  <c r="N226" i="1" a="1"/>
  <c r="N226" i="1" s="1"/>
  <c r="N891" i="1" a="1"/>
  <c r="N891" i="1" s="1"/>
  <c r="N271" i="1" a="1"/>
  <c r="N271" i="1" s="1"/>
  <c r="N281" i="1" a="1"/>
  <c r="N281" i="1" s="1"/>
  <c r="N321" i="1" a="1"/>
  <c r="N321" i="1" s="1"/>
  <c r="N451" i="1" a="1"/>
  <c r="N451" i="1" s="1"/>
  <c r="N381" i="1" a="1"/>
  <c r="N381" i="1" s="1"/>
  <c r="N1142" i="1" a="1"/>
  <c r="N1142" i="1" s="1"/>
  <c r="N411" i="1" a="1"/>
  <c r="N411" i="1" s="1"/>
  <c r="N740" i="1" a="1"/>
  <c r="N740" i="1" s="1"/>
  <c r="N1192" i="1" a="1"/>
  <c r="N1192" i="1" s="1"/>
  <c r="N792" i="1" a="1"/>
  <c r="N792" i="1" s="1"/>
  <c r="N2" i="1" a="1"/>
  <c r="N2" i="1" s="1"/>
  <c r="N22" i="1" a="1"/>
  <c r="N22" i="1" s="1"/>
  <c r="N42" i="1" a="1"/>
  <c r="N42" i="1" s="1"/>
  <c r="N216" i="1" a="1"/>
  <c r="N216" i="1" s="1"/>
  <c r="N881" i="1" a="1"/>
  <c r="N881" i="1" s="1"/>
  <c r="N776" i="1" a="1"/>
  <c r="N776" i="1" s="1"/>
  <c r="N282" i="1" a="1"/>
  <c r="N282" i="1" s="1"/>
  <c r="N422" i="1" a="1"/>
  <c r="N422" i="1" s="1"/>
  <c r="N1025" i="1" a="1"/>
  <c r="N1025" i="1" s="1"/>
  <c r="N772" i="1" a="1"/>
  <c r="N772" i="1" s="1"/>
  <c r="N1128" i="1" a="1"/>
  <c r="N1128" i="1" s="1"/>
  <c r="N560" i="1" a="1"/>
  <c r="N560" i="1" s="1"/>
  <c r="N909" i="1" a="1"/>
  <c r="N909" i="1" s="1"/>
  <c r="N1167" i="1" a="1"/>
  <c r="N1167" i="1" s="1"/>
  <c r="N340" i="1" a="1"/>
  <c r="N340" i="1" s="1"/>
  <c r="N613" i="1" a="1"/>
  <c r="N613" i="1" s="1"/>
  <c r="N690" i="1" a="1"/>
  <c r="N690" i="1" s="1"/>
  <c r="N180" i="1" a="1"/>
  <c r="N180" i="1" s="1"/>
  <c r="N633" i="1" a="1"/>
  <c r="N633" i="1" s="1"/>
  <c r="N250" i="1" a="1"/>
  <c r="N250" i="1" s="1"/>
  <c r="N270" i="1" a="1"/>
  <c r="N270" i="1" s="1"/>
  <c r="N350" i="1" a="1"/>
  <c r="N350" i="1" s="1"/>
  <c r="N1111" i="1" a="1"/>
  <c r="N1111" i="1" s="1"/>
  <c r="N520" i="1" a="1"/>
  <c r="N520" i="1" s="1"/>
  <c r="N39" i="1" a="1"/>
  <c r="N39" i="1" s="1"/>
  <c r="N159" i="1" a="1"/>
  <c r="N159" i="1" s="1"/>
  <c r="N192" i="1" a="1"/>
  <c r="N192" i="1" s="1"/>
  <c r="N445" i="1" a="1"/>
  <c r="N445" i="1" s="1"/>
  <c r="N603" i="1" a="1"/>
  <c r="N603" i="1" s="1"/>
  <c r="N351" i="1" a="1"/>
  <c r="N351" i="1" s="1"/>
  <c r="N1113" i="1" a="1"/>
  <c r="N1113" i="1" s="1"/>
  <c r="N419" i="1" a="1"/>
  <c r="N419" i="1" s="1"/>
  <c r="N978" i="1" a="1"/>
  <c r="N978" i="1" s="1"/>
  <c r="N647" i="1" a="1"/>
  <c r="N647" i="1" s="1"/>
  <c r="N519" i="1" a="1"/>
  <c r="N519" i="1" s="1"/>
  <c r="N599" i="1" a="1"/>
  <c r="N599" i="1" s="1"/>
  <c r="N699" i="1" a="1"/>
  <c r="N699" i="1" s="1"/>
  <c r="N1019" i="1" a="1"/>
  <c r="N1019" i="1" s="1"/>
  <c r="N554" i="1" a="1"/>
  <c r="N554" i="1" s="1"/>
  <c r="N929" i="1" a="1"/>
  <c r="N929" i="1" s="1"/>
  <c r="N89" i="1" a="1"/>
  <c r="N89" i="1" s="1"/>
  <c r="N532" i="1" a="1"/>
  <c r="N532" i="1" s="1"/>
  <c r="N81" i="1" a="1"/>
  <c r="N81" i="1" s="1"/>
  <c r="N542" i="1" a="1"/>
  <c r="N542" i="1" s="1"/>
  <c r="N294" i="1" a="1"/>
  <c r="N294" i="1" s="1"/>
  <c r="N846" i="1" a="1"/>
  <c r="N846" i="1" s="1"/>
  <c r="N251" i="1" a="1"/>
  <c r="N251" i="1" s="1"/>
  <c r="N688" i="1" a="1"/>
  <c r="N688" i="1" s="1"/>
  <c r="N1056" i="1" a="1"/>
  <c r="N1056" i="1" s="1"/>
  <c r="N371" i="1" a="1"/>
  <c r="N371" i="1" s="1"/>
  <c r="N696" i="1" a="1"/>
  <c r="N696" i="1" s="1"/>
  <c r="N1008" i="1" a="1"/>
  <c r="N1008" i="1" s="1"/>
  <c r="N421" i="1" a="1"/>
  <c r="N421" i="1" s="1"/>
  <c r="N790" i="1" a="1"/>
  <c r="N790" i="1" s="1"/>
  <c r="N835" i="1" a="1"/>
  <c r="N835" i="1" s="1"/>
  <c r="N1030" i="1" a="1"/>
  <c r="N1030" i="1" s="1"/>
  <c r="N102" i="1" a="1"/>
  <c r="N102" i="1" s="1"/>
  <c r="N793" i="1" a="1"/>
  <c r="N793" i="1" s="1"/>
  <c r="N779" i="1" a="1"/>
  <c r="N779" i="1" s="1"/>
  <c r="N284" i="1" a="1"/>
  <c r="N284" i="1" s="1"/>
  <c r="N828" i="1" a="1"/>
  <c r="N828" i="1" s="1"/>
  <c r="N1135" i="1" a="1"/>
  <c r="N1135" i="1" s="1"/>
  <c r="N662" i="1" a="1"/>
  <c r="N662" i="1" s="1"/>
  <c r="N1005" i="1" a="1"/>
  <c r="N1005" i="1" s="1"/>
  <c r="N1148" i="1" a="1"/>
  <c r="N1148" i="1" s="1"/>
  <c r="N943" i="1" a="1"/>
  <c r="N943" i="1" s="1"/>
  <c r="N420" i="1" a="1"/>
  <c r="N420" i="1" s="1"/>
  <c r="N815" i="1" a="1"/>
  <c r="N815" i="1" s="1"/>
  <c r="N982" i="1" a="1"/>
  <c r="N982" i="1" s="1"/>
  <c r="N960" i="1" a="1"/>
  <c r="N960" i="1" s="1"/>
  <c r="N913" i="1" a="1"/>
  <c r="N913" i="1" s="1"/>
  <c r="N1084" i="1" a="1"/>
  <c r="N1084" i="1" s="1"/>
  <c r="N517" i="1" a="1"/>
  <c r="N517" i="1" s="1"/>
  <c r="N458" i="1" a="1"/>
  <c r="N458" i="1" s="1"/>
  <c r="N329" i="1" a="1"/>
  <c r="N329" i="1" s="1"/>
  <c r="N1031" i="1" a="1"/>
  <c r="N1031" i="1" s="1"/>
  <c r="B9" i="2" l="1" a="1"/>
  <c r="B9" i="2" s="1"/>
  <c r="B8" i="2" a="1"/>
  <c r="B8" i="2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<sst xmlns="http://schemas.openxmlformats.org/spreadsheetml/2006/main" count="8446" uniqueCount="1618">
  <si>
    <t>Transaction_ID</t>
  </si>
  <si>
    <t>Constituent_ID</t>
  </si>
  <si>
    <t>College</t>
  </si>
  <si>
    <t>Gift_Date</t>
  </si>
  <si>
    <t>Gift_Amount</t>
  </si>
  <si>
    <t>Gift_Type</t>
  </si>
  <si>
    <t>Credit_Type</t>
  </si>
  <si>
    <t>Campaign</t>
  </si>
  <si>
    <t>Payment_Method</t>
  </si>
  <si>
    <t>TXN-10000</t>
  </si>
  <si>
    <t>CON-5413</t>
  </si>
  <si>
    <t>Engineering &amp; Computer Science</t>
  </si>
  <si>
    <t>Outright Gift</t>
  </si>
  <si>
    <t>Hard Credit</t>
  </si>
  <si>
    <t>STEM Innovation Lab</t>
  </si>
  <si>
    <t>Credit Card</t>
  </si>
  <si>
    <t>TXN-10001</t>
  </si>
  <si>
    <t>CON-8215</t>
  </si>
  <si>
    <t>Business</t>
  </si>
  <si>
    <t>Estate/Planned Gift</t>
  </si>
  <si>
    <t>Annual Alumni Fund</t>
  </si>
  <si>
    <t>TXN-10002</t>
  </si>
  <si>
    <t>CON-7893</t>
  </si>
  <si>
    <t>TXN-10003</t>
  </si>
  <si>
    <t>CON-7655</t>
  </si>
  <si>
    <t>Pledge Payment</t>
  </si>
  <si>
    <t>TXN-10004</t>
  </si>
  <si>
    <t>CON-6191</t>
  </si>
  <si>
    <t>Health Sciences</t>
  </si>
  <si>
    <t>Soft Credit</t>
  </si>
  <si>
    <t>Stock Transfer</t>
  </si>
  <si>
    <t>TXN-10005</t>
  </si>
  <si>
    <t>CON-6051</t>
  </si>
  <si>
    <t>TXN-10006</t>
  </si>
  <si>
    <t>CON-1606</t>
  </si>
  <si>
    <t>Humanities &amp; Fine Arts</t>
  </si>
  <si>
    <t>TXN-10007</t>
  </si>
  <si>
    <t>CON-7293</t>
  </si>
  <si>
    <t>EFT/ACH</t>
  </si>
  <si>
    <t>TXN-10008</t>
  </si>
  <si>
    <t>CON-5911</t>
  </si>
  <si>
    <t>Student Emergency Scholarships</t>
  </si>
  <si>
    <t>TXN-10009</t>
  </si>
  <si>
    <t>CON-2693</t>
  </si>
  <si>
    <t>TXN-10010</t>
  </si>
  <si>
    <t>CON-5249</t>
  </si>
  <si>
    <t>TXN-10011</t>
  </si>
  <si>
    <t>CON-8554</t>
  </si>
  <si>
    <t>Law</t>
  </si>
  <si>
    <t>TXN-10012</t>
  </si>
  <si>
    <t>CON-4854</t>
  </si>
  <si>
    <t>Athletics Excellence</t>
  </si>
  <si>
    <t>TXN-10013</t>
  </si>
  <si>
    <t>CON-2495</t>
  </si>
  <si>
    <t>TXN-10014</t>
  </si>
  <si>
    <t>CON-6881</t>
  </si>
  <si>
    <t>Check</t>
  </si>
  <si>
    <t>TXN-10015</t>
  </si>
  <si>
    <t>CON-1202</t>
  </si>
  <si>
    <t>Recurring Gift</t>
  </si>
  <si>
    <t>TXN-10016</t>
  </si>
  <si>
    <t>CON-4696</t>
  </si>
  <si>
    <t>TXN-10017</t>
  </si>
  <si>
    <t>CON-1580</t>
  </si>
  <si>
    <t>TXN-10018</t>
  </si>
  <si>
    <t>CON-2267</t>
  </si>
  <si>
    <t>TXN-10019</t>
  </si>
  <si>
    <t>CON-5218</t>
  </si>
  <si>
    <t>TXN-10020</t>
  </si>
  <si>
    <t>CON-6056</t>
  </si>
  <si>
    <t>TXN-10021</t>
  </si>
  <si>
    <t>CON-8683</t>
  </si>
  <si>
    <t>TXN-10022</t>
  </si>
  <si>
    <t>CON-5780</t>
  </si>
  <si>
    <t>TXN-10023</t>
  </si>
  <si>
    <t>CON-7439</t>
  </si>
  <si>
    <t>TXN-10024</t>
  </si>
  <si>
    <t>CON-6855</t>
  </si>
  <si>
    <t>TXN-10025</t>
  </si>
  <si>
    <t>CON-6919</t>
  </si>
  <si>
    <t>TXN-10026</t>
  </si>
  <si>
    <t>CON-8041</t>
  </si>
  <si>
    <t>TXN-10027</t>
  </si>
  <si>
    <t>CON-7235</t>
  </si>
  <si>
    <t>TXN-10028</t>
  </si>
  <si>
    <t>CON-1980</t>
  </si>
  <si>
    <t>TXN-10029</t>
  </si>
  <si>
    <t>CON-7665</t>
  </si>
  <si>
    <t>TXN-10030</t>
  </si>
  <si>
    <t>CON-1769</t>
  </si>
  <si>
    <t>TXN-10031</t>
  </si>
  <si>
    <t>CON-4104</t>
  </si>
  <si>
    <t>TXN-10032</t>
  </si>
  <si>
    <t>CON-2686</t>
  </si>
  <si>
    <t>TXN-10033</t>
  </si>
  <si>
    <t>CON-4506</t>
  </si>
  <si>
    <t>TXN-10034</t>
  </si>
  <si>
    <t>CON-5555</t>
  </si>
  <si>
    <t>TXN-10035</t>
  </si>
  <si>
    <t>CON-1956</t>
  </si>
  <si>
    <t>TXN-10036</t>
  </si>
  <si>
    <t>CON-4556</t>
  </si>
  <si>
    <t>TXN-10037</t>
  </si>
  <si>
    <t>CON-1262</t>
  </si>
  <si>
    <t>TXN-10038</t>
  </si>
  <si>
    <t>CON-7457</t>
  </si>
  <si>
    <t>TXN-10039</t>
  </si>
  <si>
    <t>CON-4561</t>
  </si>
  <si>
    <t>TXN-10040</t>
  </si>
  <si>
    <t>CON-5893</t>
  </si>
  <si>
    <t>TXN-10041</t>
  </si>
  <si>
    <t>CON-7278</t>
  </si>
  <si>
    <t>TXN-10042</t>
  </si>
  <si>
    <t>TXN-10043</t>
  </si>
  <si>
    <t>CON-2484</t>
  </si>
  <si>
    <t>TXN-10044</t>
  </si>
  <si>
    <t>CON-8385</t>
  </si>
  <si>
    <t>TXN-10045</t>
  </si>
  <si>
    <t>CON-7617</t>
  </si>
  <si>
    <t>TXN-10046</t>
  </si>
  <si>
    <t>CON-7546</t>
  </si>
  <si>
    <t>TXN-10047</t>
  </si>
  <si>
    <t>CON-3806</t>
  </si>
  <si>
    <t>TXN-10048</t>
  </si>
  <si>
    <t>CON-8035</t>
  </si>
  <si>
    <t>TXN-10049</t>
  </si>
  <si>
    <t>CON-9684</t>
  </si>
  <si>
    <t>TXN-10050</t>
  </si>
  <si>
    <t>CON-4672</t>
  </si>
  <si>
    <t>TXN-10051</t>
  </si>
  <si>
    <t>CON-9815</t>
  </si>
  <si>
    <t>TXN-10052</t>
  </si>
  <si>
    <t>CON-3327</t>
  </si>
  <si>
    <t>TXN-10053</t>
  </si>
  <si>
    <t>CON-7015</t>
  </si>
  <si>
    <t>TXN-10054</t>
  </si>
  <si>
    <t>CON-1698</t>
  </si>
  <si>
    <t>TXN-10055</t>
  </si>
  <si>
    <t>CON-8421</t>
  </si>
  <si>
    <t>TXN-10056</t>
  </si>
  <si>
    <t>CON-1635</t>
  </si>
  <si>
    <t>TXN-10057</t>
  </si>
  <si>
    <t>CON-3511</t>
  </si>
  <si>
    <t>TXN-10058</t>
  </si>
  <si>
    <t>CON-5499</t>
  </si>
  <si>
    <t>TXN-10059</t>
  </si>
  <si>
    <t>CON-4510</t>
  </si>
  <si>
    <t>TXN-10060</t>
  </si>
  <si>
    <t>CON-3731</t>
  </si>
  <si>
    <t>TXN-10061</t>
  </si>
  <si>
    <t>CON-4890</t>
  </si>
  <si>
    <t>TXN-10062</t>
  </si>
  <si>
    <t>TXN-10063</t>
  </si>
  <si>
    <t>TXN-10064</t>
  </si>
  <si>
    <t>CON-8994</t>
  </si>
  <si>
    <t>TXN-10065</t>
  </si>
  <si>
    <t>CON-9800</t>
  </si>
  <si>
    <t>TXN-10066</t>
  </si>
  <si>
    <t>CON-4170</t>
  </si>
  <si>
    <t>TXN-10067</t>
  </si>
  <si>
    <t>CON-9838</t>
  </si>
  <si>
    <t>TXN-10068</t>
  </si>
  <si>
    <t>TXN-10069</t>
  </si>
  <si>
    <t>CON-2931</t>
  </si>
  <si>
    <t>Medical Research</t>
  </si>
  <si>
    <t>TXN-10070</t>
  </si>
  <si>
    <t>CON-9004</t>
  </si>
  <si>
    <t>TXN-10071</t>
  </si>
  <si>
    <t>CON-7949</t>
  </si>
  <si>
    <t>TXN-10072</t>
  </si>
  <si>
    <t>CON-1301</t>
  </si>
  <si>
    <t>TXN-10073</t>
  </si>
  <si>
    <t>TXN-10074</t>
  </si>
  <si>
    <t>CON-7799</t>
  </si>
  <si>
    <t>TXN-10075</t>
  </si>
  <si>
    <t>CON-1830</t>
  </si>
  <si>
    <t>TXN-10076</t>
  </si>
  <si>
    <t>CON-3975</t>
  </si>
  <si>
    <t>TXN-10077</t>
  </si>
  <si>
    <t>CON-3205</t>
  </si>
  <si>
    <t>TXN-10078</t>
  </si>
  <si>
    <t>TXN-10079</t>
  </si>
  <si>
    <t>CON-8629</t>
  </si>
  <si>
    <t>TXN-10080</t>
  </si>
  <si>
    <t>CON-3695</t>
  </si>
  <si>
    <t>TXN-10081</t>
  </si>
  <si>
    <t>CON-8560</t>
  </si>
  <si>
    <t>TXN-10082</t>
  </si>
  <si>
    <t>TXN-10083</t>
  </si>
  <si>
    <t>CON-4124</t>
  </si>
  <si>
    <t>TXN-10084</t>
  </si>
  <si>
    <t>TXN-10085</t>
  </si>
  <si>
    <t>CON-8125</t>
  </si>
  <si>
    <t>TXN-10086</t>
  </si>
  <si>
    <t>TXN-10087</t>
  </si>
  <si>
    <t>TXN-10088</t>
  </si>
  <si>
    <t>CON-9154</t>
  </si>
  <si>
    <t>TXN-10089</t>
  </si>
  <si>
    <t>TXN-10090</t>
  </si>
  <si>
    <t>CON-9445</t>
  </si>
  <si>
    <t>TXN-10091</t>
  </si>
  <si>
    <t>CON-8208</t>
  </si>
  <si>
    <t>TXN-10092</t>
  </si>
  <si>
    <t>CON-8022</t>
  </si>
  <si>
    <t>TXN-10093</t>
  </si>
  <si>
    <t>CON-1190</t>
  </si>
  <si>
    <t>TXN-10094</t>
  </si>
  <si>
    <t>CON-7694</t>
  </si>
  <si>
    <t>TXN-10095</t>
  </si>
  <si>
    <t>CON-8400</t>
  </si>
  <si>
    <t>TXN-10096</t>
  </si>
  <si>
    <t>TXN-10097</t>
  </si>
  <si>
    <t>CON-8555</t>
  </si>
  <si>
    <t>TXN-10098</t>
  </si>
  <si>
    <t>CON-5777</t>
  </si>
  <si>
    <t>TXN-10099</t>
  </si>
  <si>
    <t>CON-2150</t>
  </si>
  <si>
    <t>TXN-10100</t>
  </si>
  <si>
    <t>CON-9901</t>
  </si>
  <si>
    <t>TXN-10101</t>
  </si>
  <si>
    <t>CON-8805</t>
  </si>
  <si>
    <t>TXN-10102</t>
  </si>
  <si>
    <t>CON-9529</t>
  </si>
  <si>
    <t>TXN-10103</t>
  </si>
  <si>
    <t>TXN-10104</t>
  </si>
  <si>
    <t>TXN-10105</t>
  </si>
  <si>
    <t>CON-3047</t>
  </si>
  <si>
    <t>TXN-10106</t>
  </si>
  <si>
    <t>CON-5070</t>
  </si>
  <si>
    <t>TXN-10107</t>
  </si>
  <si>
    <t>CON-4073</t>
  </si>
  <si>
    <t>TXN-10108</t>
  </si>
  <si>
    <t>TXN-10109</t>
  </si>
  <si>
    <t>TXN-10110</t>
  </si>
  <si>
    <t>CON-7873</t>
  </si>
  <si>
    <t>TXN-10111</t>
  </si>
  <si>
    <t>CON-9792</t>
  </si>
  <si>
    <t>TXN-10112</t>
  </si>
  <si>
    <t>CON-5488</t>
  </si>
  <si>
    <t>TXN-10113</t>
  </si>
  <si>
    <t>CON-5389</t>
  </si>
  <si>
    <t>TXN-10114</t>
  </si>
  <si>
    <t>CON-3612</t>
  </si>
  <si>
    <t>TXN-10115</t>
  </si>
  <si>
    <t>CON-1197</t>
  </si>
  <si>
    <t>TXN-10116</t>
  </si>
  <si>
    <t>CON-3849</t>
  </si>
  <si>
    <t>TXN-10117</t>
  </si>
  <si>
    <t>TXN-10118</t>
  </si>
  <si>
    <t>CON-7019</t>
  </si>
  <si>
    <t>TXN-10119</t>
  </si>
  <si>
    <t>CON-6915</t>
  </si>
  <si>
    <t>TXN-10120</t>
  </si>
  <si>
    <t>TXN-10121</t>
  </si>
  <si>
    <t>TXN-10122</t>
  </si>
  <si>
    <t>CON-4108</t>
  </si>
  <si>
    <t>TXN-10123</t>
  </si>
  <si>
    <t>CON-6592</t>
  </si>
  <si>
    <t>TXN-10124</t>
  </si>
  <si>
    <t>CON-1853</t>
  </si>
  <si>
    <t>TXN-10125</t>
  </si>
  <si>
    <t>CON-6530</t>
  </si>
  <si>
    <t>TXN-10126</t>
  </si>
  <si>
    <t>CON-5973</t>
  </si>
  <si>
    <t>TXN-10127</t>
  </si>
  <si>
    <t>TXN-10128</t>
  </si>
  <si>
    <t>CON-6578</t>
  </si>
  <si>
    <t>TXN-10129</t>
  </si>
  <si>
    <t>CON-9571</t>
  </si>
  <si>
    <t>TXN-10130</t>
  </si>
  <si>
    <t>TXN-10131</t>
  </si>
  <si>
    <t>CON-2648</t>
  </si>
  <si>
    <t>TXN-10132</t>
  </si>
  <si>
    <t>CON-1466</t>
  </si>
  <si>
    <t>TXN-10133</t>
  </si>
  <si>
    <t>CON-6791</t>
  </si>
  <si>
    <t>TXN-10134</t>
  </si>
  <si>
    <t>CON-7776</t>
  </si>
  <si>
    <t>TXN-10135</t>
  </si>
  <si>
    <t>TXN-10136</t>
  </si>
  <si>
    <t>CON-7528</t>
  </si>
  <si>
    <t>TXN-10137</t>
  </si>
  <si>
    <t>CON-7484</t>
  </si>
  <si>
    <t>TXN-10138</t>
  </si>
  <si>
    <t>CON-6088</t>
  </si>
  <si>
    <t>TXN-10139</t>
  </si>
  <si>
    <t>TXN-10140</t>
  </si>
  <si>
    <t>CON-3811</t>
  </si>
  <si>
    <t>TXN-10141</t>
  </si>
  <si>
    <t>CON-6734</t>
  </si>
  <si>
    <t>TXN-10142</t>
  </si>
  <si>
    <t>CON-4005</t>
  </si>
  <si>
    <t>TXN-10143</t>
  </si>
  <si>
    <t>CON-5737</t>
  </si>
  <si>
    <t>TXN-10144</t>
  </si>
  <si>
    <t>TXN-10145</t>
  </si>
  <si>
    <t>CON-6450</t>
  </si>
  <si>
    <t>TXN-10146</t>
  </si>
  <si>
    <t>CON-6949</t>
  </si>
  <si>
    <t>TXN-10147</t>
  </si>
  <si>
    <t>CON-3950</t>
  </si>
  <si>
    <t>TXN-10148</t>
  </si>
  <si>
    <t>TXN-10149</t>
  </si>
  <si>
    <t>CON-6575</t>
  </si>
  <si>
    <t>TXN-10150</t>
  </si>
  <si>
    <t>CON-5495</t>
  </si>
  <si>
    <t>TXN-10151</t>
  </si>
  <si>
    <t>TXN-10152</t>
  </si>
  <si>
    <t>CON-5014</t>
  </si>
  <si>
    <t>TXN-10153</t>
  </si>
  <si>
    <t>CON-4157</t>
  </si>
  <si>
    <t>TXN-10154</t>
  </si>
  <si>
    <t>CON-2816</t>
  </si>
  <si>
    <t>TXN-10155</t>
  </si>
  <si>
    <t>CON-1878</t>
  </si>
  <si>
    <t>TXN-10156</t>
  </si>
  <si>
    <t>CON-5735</t>
  </si>
  <si>
    <t>TXN-10157</t>
  </si>
  <si>
    <t>CON-4444</t>
  </si>
  <si>
    <t>TXN-10158</t>
  </si>
  <si>
    <t>CON-9308</t>
  </si>
  <si>
    <t>TXN-10159</t>
  </si>
  <si>
    <t>TXN-10160</t>
  </si>
  <si>
    <t>CON-9164</t>
  </si>
  <si>
    <t>TXN-10161</t>
  </si>
  <si>
    <t>CON-7184</t>
  </si>
  <si>
    <t>TXN-10162</t>
  </si>
  <si>
    <t>CON-9680</t>
  </si>
  <si>
    <t>TXN-10163</t>
  </si>
  <si>
    <t>CON-6222</t>
  </si>
  <si>
    <t>TXN-10164</t>
  </si>
  <si>
    <t>TXN-10165</t>
  </si>
  <si>
    <t>TXN-10166</t>
  </si>
  <si>
    <t>CON-7892</t>
  </si>
  <si>
    <t>TXN-10167</t>
  </si>
  <si>
    <t>CON-2707</t>
  </si>
  <si>
    <t>TXN-10168</t>
  </si>
  <si>
    <t>TXN-10169</t>
  </si>
  <si>
    <t>TXN-10170</t>
  </si>
  <si>
    <t>CON-5548</t>
  </si>
  <si>
    <t>TXN-10171</t>
  </si>
  <si>
    <t>TXN-10172</t>
  </si>
  <si>
    <t>CON-6675</t>
  </si>
  <si>
    <t>TXN-10173</t>
  </si>
  <si>
    <t>CON-4748</t>
  </si>
  <si>
    <t>TXN-10174</t>
  </si>
  <si>
    <t>CON-2841</t>
  </si>
  <si>
    <t>TXN-10175</t>
  </si>
  <si>
    <t>CON-4147</t>
  </si>
  <si>
    <t>TXN-10176</t>
  </si>
  <si>
    <t>TXN-10177</t>
  </si>
  <si>
    <t>CON-8270</t>
  </si>
  <si>
    <t>TXN-10178</t>
  </si>
  <si>
    <t>CON-8253</t>
  </si>
  <si>
    <t>TXN-10179</t>
  </si>
  <si>
    <t>CON-5869</t>
  </si>
  <si>
    <t>TXN-10180</t>
  </si>
  <si>
    <t>TXN-10181</t>
  </si>
  <si>
    <t>CON-5282</t>
  </si>
  <si>
    <t>TXN-10182</t>
  </si>
  <si>
    <t>TXN-10183</t>
  </si>
  <si>
    <t>CON-6596</t>
  </si>
  <si>
    <t>TXN-10184</t>
  </si>
  <si>
    <t>CON-1863</t>
  </si>
  <si>
    <t>TXN-10185</t>
  </si>
  <si>
    <t>CON-3693</t>
  </si>
  <si>
    <t>TXN-10186</t>
  </si>
  <si>
    <t>TXN-10187</t>
  </si>
  <si>
    <t>TXN-10188</t>
  </si>
  <si>
    <t>TXN-10189</t>
  </si>
  <si>
    <t>TXN-10190</t>
  </si>
  <si>
    <t>TXN-10191</t>
  </si>
  <si>
    <t>TXN-10192</t>
  </si>
  <si>
    <t>CON-4009</t>
  </si>
  <si>
    <t>TXN-10193</t>
  </si>
  <si>
    <t>CON-1663</t>
  </si>
  <si>
    <t>TXN-10194</t>
  </si>
  <si>
    <t>CON-9006</t>
  </si>
  <si>
    <t>TXN-10195</t>
  </si>
  <si>
    <t>CON-6237</t>
  </si>
  <si>
    <t>TXN-10196</t>
  </si>
  <si>
    <t>CON-6534</t>
  </si>
  <si>
    <t>TXN-10197</t>
  </si>
  <si>
    <t>CON-3976</t>
  </si>
  <si>
    <t>TXN-10198</t>
  </si>
  <si>
    <t>TXN-10199</t>
  </si>
  <si>
    <t>CON-7197</t>
  </si>
  <si>
    <t>TXN-10200</t>
  </si>
  <si>
    <t>TXN-10201</t>
  </si>
  <si>
    <t>TXN-10202</t>
  </si>
  <si>
    <t>TXN-10203</t>
  </si>
  <si>
    <t>CON-4385</t>
  </si>
  <si>
    <t>TXN-10204</t>
  </si>
  <si>
    <t>CON-1775</t>
  </si>
  <si>
    <t>TXN-10205</t>
  </si>
  <si>
    <t>TXN-10206</t>
  </si>
  <si>
    <t>CON-1154</t>
  </si>
  <si>
    <t>TXN-10207</t>
  </si>
  <si>
    <t>CON-3433</t>
  </si>
  <si>
    <t>TXN-10208</t>
  </si>
  <si>
    <t>CON-8526</t>
  </si>
  <si>
    <t>TXN-10209</t>
  </si>
  <si>
    <t>TXN-10210</t>
  </si>
  <si>
    <t>TXN-10211</t>
  </si>
  <si>
    <t>CON-2021</t>
  </si>
  <si>
    <t>TXN-10212</t>
  </si>
  <si>
    <t>TXN-10213</t>
  </si>
  <si>
    <t>CON-4436</t>
  </si>
  <si>
    <t>TXN-10214</t>
  </si>
  <si>
    <t>TXN-10215</t>
  </si>
  <si>
    <t>TXN-10216</t>
  </si>
  <si>
    <t>TXN-10217</t>
  </si>
  <si>
    <t>TXN-10218</t>
  </si>
  <si>
    <t>CON-8339</t>
  </si>
  <si>
    <t>TXN-10219</t>
  </si>
  <si>
    <t>TXN-10220</t>
  </si>
  <si>
    <t>CON-2853</t>
  </si>
  <si>
    <t>TXN-10221</t>
  </si>
  <si>
    <t>TXN-10222</t>
  </si>
  <si>
    <t>CON-5426</t>
  </si>
  <si>
    <t>TXN-10223</t>
  </si>
  <si>
    <t>TXN-10224</t>
  </si>
  <si>
    <t>TXN-10225</t>
  </si>
  <si>
    <t>TXN-10226</t>
  </si>
  <si>
    <t>TXN-10227</t>
  </si>
  <si>
    <t>TXN-10228</t>
  </si>
  <si>
    <t>TXN-10229</t>
  </si>
  <si>
    <t>CON-6986</t>
  </si>
  <si>
    <t>TXN-10230</t>
  </si>
  <si>
    <t>TXN-10231</t>
  </si>
  <si>
    <t>CON-3734</t>
  </si>
  <si>
    <t>TXN-10232</t>
  </si>
  <si>
    <t>TXN-10233</t>
  </si>
  <si>
    <t>TXN-10234</t>
  </si>
  <si>
    <t>CON-8513</t>
  </si>
  <si>
    <t>TXN-10235</t>
  </si>
  <si>
    <t>CON-7295</t>
  </si>
  <si>
    <t>TXN-10236</t>
  </si>
  <si>
    <t>TXN-10237</t>
  </si>
  <si>
    <t>TXN-10238</t>
  </si>
  <si>
    <t>CON-2843</t>
  </si>
  <si>
    <t>TXN-10239</t>
  </si>
  <si>
    <t>CON-7616</t>
  </si>
  <si>
    <t>TXN-10240</t>
  </si>
  <si>
    <t>TXN-10241</t>
  </si>
  <si>
    <t>CON-5433</t>
  </si>
  <si>
    <t>TXN-10242</t>
  </si>
  <si>
    <t>TXN-10243</t>
  </si>
  <si>
    <t>CON-8099</t>
  </si>
  <si>
    <t>TXN-10244</t>
  </si>
  <si>
    <t>TXN-10245</t>
  </si>
  <si>
    <t>TXN-10246</t>
  </si>
  <si>
    <t>CON-3141</t>
  </si>
  <si>
    <t>TXN-10247</t>
  </si>
  <si>
    <t>CON-6463</t>
  </si>
  <si>
    <t>TXN-10248</t>
  </si>
  <si>
    <t>CON-2081</t>
  </si>
  <si>
    <t>TXN-10249</t>
  </si>
  <si>
    <t>CON-2045</t>
  </si>
  <si>
    <t>TXN-10250</t>
  </si>
  <si>
    <t>CON-2986</t>
  </si>
  <si>
    <t>TXN-10251</t>
  </si>
  <si>
    <t>TXN-10252</t>
  </si>
  <si>
    <t>CON-9322</t>
  </si>
  <si>
    <t>TXN-10253</t>
  </si>
  <si>
    <t>TXN-10254</t>
  </si>
  <si>
    <t>TXN-10255</t>
  </si>
  <si>
    <t>TXN-10256</t>
  </si>
  <si>
    <t>CON-5496</t>
  </si>
  <si>
    <t>TXN-10257</t>
  </si>
  <si>
    <t>TXN-10258</t>
  </si>
  <si>
    <t>TXN-10259</t>
  </si>
  <si>
    <t>CON-8408</t>
  </si>
  <si>
    <t>TXN-10260</t>
  </si>
  <si>
    <t>CON-4327</t>
  </si>
  <si>
    <t>TXN-10261</t>
  </si>
  <si>
    <t>TXN-10262</t>
  </si>
  <si>
    <t>TXN-10263</t>
  </si>
  <si>
    <t>TXN-10264</t>
  </si>
  <si>
    <t>TXN-10265</t>
  </si>
  <si>
    <t>TXN-10266</t>
  </si>
  <si>
    <t>TXN-10267</t>
  </si>
  <si>
    <t>CON-8996</t>
  </si>
  <si>
    <t>TXN-10268</t>
  </si>
  <si>
    <t>CON-3491</t>
  </si>
  <si>
    <t>TXN-10269</t>
  </si>
  <si>
    <t>CON-1699</t>
  </si>
  <si>
    <t>TXN-10270</t>
  </si>
  <si>
    <t>CON-2016</t>
  </si>
  <si>
    <t>TXN-10271</t>
  </si>
  <si>
    <t>TXN-10272</t>
  </si>
  <si>
    <t>TXN-10273</t>
  </si>
  <si>
    <t>CON-1537</t>
  </si>
  <si>
    <t>TXN-10274</t>
  </si>
  <si>
    <t>TXN-10275</t>
  </si>
  <si>
    <t>TXN-10276</t>
  </si>
  <si>
    <t>CON-9996</t>
  </si>
  <si>
    <t>TXN-10277</t>
  </si>
  <si>
    <t>TXN-10278</t>
  </si>
  <si>
    <t>TXN-10279</t>
  </si>
  <si>
    <t>CON-2679</t>
  </si>
  <si>
    <t>TXN-10280</t>
  </si>
  <si>
    <t>CON-8206</t>
  </si>
  <si>
    <t>TXN-10281</t>
  </si>
  <si>
    <t>CON-7265</t>
  </si>
  <si>
    <t>TXN-10282</t>
  </si>
  <si>
    <t>TXN-10283</t>
  </si>
  <si>
    <t>CON-5142</t>
  </si>
  <si>
    <t>TXN-10284</t>
  </si>
  <si>
    <t>TXN-10285</t>
  </si>
  <si>
    <t>TXN-10286</t>
  </si>
  <si>
    <t>TXN-10287</t>
  </si>
  <si>
    <t>CON-3558</t>
  </si>
  <si>
    <t>TXN-10288</t>
  </si>
  <si>
    <t>TXN-10289</t>
  </si>
  <si>
    <t>TXN-10290</t>
  </si>
  <si>
    <t>TXN-10291</t>
  </si>
  <si>
    <t>CON-3027</t>
  </si>
  <si>
    <t>TXN-10292</t>
  </si>
  <si>
    <t>TXN-10293</t>
  </si>
  <si>
    <t>CON-6258</t>
  </si>
  <si>
    <t>TXN-10294</t>
  </si>
  <si>
    <t>CON-3062</t>
  </si>
  <si>
    <t>TXN-10295</t>
  </si>
  <si>
    <t>CON-3838</t>
  </si>
  <si>
    <t>TXN-10296</t>
  </si>
  <si>
    <t>TXN-10297</t>
  </si>
  <si>
    <t>CON-4943</t>
  </si>
  <si>
    <t>TXN-10298</t>
  </si>
  <si>
    <t>TXN-10299</t>
  </si>
  <si>
    <t>CON-6759</t>
  </si>
  <si>
    <t>TXN-10300</t>
  </si>
  <si>
    <t>CON-9754</t>
  </si>
  <si>
    <t>TXN-10301</t>
  </si>
  <si>
    <t>TXN-10302</t>
  </si>
  <si>
    <t>CON-2184</t>
  </si>
  <si>
    <t>TXN-10303</t>
  </si>
  <si>
    <t>CON-2528</t>
  </si>
  <si>
    <t>TXN-10304</t>
  </si>
  <si>
    <t>TXN-10305</t>
  </si>
  <si>
    <t>TXN-10306</t>
  </si>
  <si>
    <t>CON-5859</t>
  </si>
  <si>
    <t>TXN-10307</t>
  </si>
  <si>
    <t>TXN-10308</t>
  </si>
  <si>
    <t>CON-4763</t>
  </si>
  <si>
    <t>TXN-10309</t>
  </si>
  <si>
    <t>CON-2218</t>
  </si>
  <si>
    <t>TXN-10310</t>
  </si>
  <si>
    <t>CON-2636</t>
  </si>
  <si>
    <t>TXN-10311</t>
  </si>
  <si>
    <t>CON-3790</t>
  </si>
  <si>
    <t>TXN-10312</t>
  </si>
  <si>
    <t>TXN-10313</t>
  </si>
  <si>
    <t>TXN-10314</t>
  </si>
  <si>
    <t>CON-2409</t>
  </si>
  <si>
    <t>TXN-10315</t>
  </si>
  <si>
    <t>TXN-10316</t>
  </si>
  <si>
    <t>TXN-10317</t>
  </si>
  <si>
    <t>CON-1098</t>
  </si>
  <si>
    <t>TXN-10318</t>
  </si>
  <si>
    <t>CON-6188</t>
  </si>
  <si>
    <t>TXN-10319</t>
  </si>
  <si>
    <t>CON-8158</t>
  </si>
  <si>
    <t>TXN-10320</t>
  </si>
  <si>
    <t>TXN-10321</t>
  </si>
  <si>
    <t>CON-6801</t>
  </si>
  <si>
    <t>TXN-10322</t>
  </si>
  <si>
    <t>CON-6977</t>
  </si>
  <si>
    <t>TXN-10323</t>
  </si>
  <si>
    <t>CON-4446</t>
  </si>
  <si>
    <t>TXN-10324</t>
  </si>
  <si>
    <t>TXN-10325</t>
  </si>
  <si>
    <t>CON-3385</t>
  </si>
  <si>
    <t>TXN-10326</t>
  </si>
  <si>
    <t>TXN-10327</t>
  </si>
  <si>
    <t>TXN-10328</t>
  </si>
  <si>
    <t>TXN-10329</t>
  </si>
  <si>
    <t>CON-8892</t>
  </si>
  <si>
    <t>TXN-10330</t>
  </si>
  <si>
    <t>TXN-10331</t>
  </si>
  <si>
    <t>CON-4840</t>
  </si>
  <si>
    <t>TXN-10332</t>
  </si>
  <si>
    <t>TXN-10333</t>
  </si>
  <si>
    <t>TXN-10334</t>
  </si>
  <si>
    <t>CON-2154</t>
  </si>
  <si>
    <t>TXN-10335</t>
  </si>
  <si>
    <t>CON-7709</t>
  </si>
  <si>
    <t>TXN-10336</t>
  </si>
  <si>
    <t>TXN-10337</t>
  </si>
  <si>
    <t>TXN-10338</t>
  </si>
  <si>
    <t>CON-8509</t>
  </si>
  <si>
    <t>TXN-10339</t>
  </si>
  <si>
    <t>TXN-10340</t>
  </si>
  <si>
    <t>CON-2148</t>
  </si>
  <si>
    <t>TXN-10341</t>
  </si>
  <si>
    <t>CON-6315</t>
  </si>
  <si>
    <t>TXN-10342</t>
  </si>
  <si>
    <t>CON-9096</t>
  </si>
  <si>
    <t>TXN-10343</t>
  </si>
  <si>
    <t>TXN-10344</t>
  </si>
  <si>
    <t>CON-1854</t>
  </si>
  <si>
    <t>TXN-10345</t>
  </si>
  <si>
    <t>TXN-10346</t>
  </si>
  <si>
    <t>CON-5658</t>
  </si>
  <si>
    <t>TXN-10347</t>
  </si>
  <si>
    <t>TXN-10348</t>
  </si>
  <si>
    <t>CON-1502</t>
  </si>
  <si>
    <t>TXN-10349</t>
  </si>
  <si>
    <t>TXN-10350</t>
  </si>
  <si>
    <t>CON-3568</t>
  </si>
  <si>
    <t>TXN-10351</t>
  </si>
  <si>
    <t>TXN-10352</t>
  </si>
  <si>
    <t>TXN-10353</t>
  </si>
  <si>
    <t>CON-3744</t>
  </si>
  <si>
    <t>TXN-10354</t>
  </si>
  <si>
    <t>TXN-10355</t>
  </si>
  <si>
    <t>CON-3931</t>
  </si>
  <si>
    <t>TXN-10356</t>
  </si>
  <si>
    <t>TXN-10357</t>
  </si>
  <si>
    <t>TXN-10358</t>
  </si>
  <si>
    <t>TXN-10359</t>
  </si>
  <si>
    <t>TXN-10360</t>
  </si>
  <si>
    <t>TXN-10361</t>
  </si>
  <si>
    <t>CON-4354</t>
  </si>
  <si>
    <t>TXN-10362</t>
  </si>
  <si>
    <t>TXN-10363</t>
  </si>
  <si>
    <t>TXN-10364</t>
  </si>
  <si>
    <t>TXN-10365</t>
  </si>
  <si>
    <t>TXN-10366</t>
  </si>
  <si>
    <t>TXN-10367</t>
  </si>
  <si>
    <t>TXN-10368</t>
  </si>
  <si>
    <t>TXN-10369</t>
  </si>
  <si>
    <t>CON-6134</t>
  </si>
  <si>
    <t>TXN-10370</t>
  </si>
  <si>
    <t>TXN-10371</t>
  </si>
  <si>
    <t>TXN-10372</t>
  </si>
  <si>
    <t>TXN-10373</t>
  </si>
  <si>
    <t>TXN-10374</t>
  </si>
  <si>
    <t>TXN-10375</t>
  </si>
  <si>
    <t>TXN-10376</t>
  </si>
  <si>
    <t>CON-7905</t>
  </si>
  <si>
    <t>TXN-10377</t>
  </si>
  <si>
    <t>TXN-10378</t>
  </si>
  <si>
    <t>TXN-10379</t>
  </si>
  <si>
    <t>CON-9311</t>
  </si>
  <si>
    <t>TXN-10380</t>
  </si>
  <si>
    <t>TXN-10381</t>
  </si>
  <si>
    <t>TXN-10382</t>
  </si>
  <si>
    <t>TXN-10383</t>
  </si>
  <si>
    <t>CON-8098</t>
  </si>
  <si>
    <t>TXN-10384</t>
  </si>
  <si>
    <t>CON-7966</t>
  </si>
  <si>
    <t>TXN-10385</t>
  </si>
  <si>
    <t>TXN-10386</t>
  </si>
  <si>
    <t>CON-6232</t>
  </si>
  <si>
    <t>TXN-10387</t>
  </si>
  <si>
    <t>TXN-10388</t>
  </si>
  <si>
    <t>TXN-10389</t>
  </si>
  <si>
    <t>CON-1995</t>
  </si>
  <si>
    <t>TXN-10390</t>
  </si>
  <si>
    <t>TXN-10391</t>
  </si>
  <si>
    <t>TXN-10392</t>
  </si>
  <si>
    <t>TXN-10393</t>
  </si>
  <si>
    <t>TXN-10394</t>
  </si>
  <si>
    <t>CON-4099</t>
  </si>
  <si>
    <t>TXN-10395</t>
  </si>
  <si>
    <t>TXN-10396</t>
  </si>
  <si>
    <t>TXN-10397</t>
  </si>
  <si>
    <t>CON-9666</t>
  </si>
  <si>
    <t>TXN-10398</t>
  </si>
  <si>
    <t>CON-9173</t>
  </si>
  <si>
    <t>TXN-10399</t>
  </si>
  <si>
    <t>TXN-10400</t>
  </si>
  <si>
    <t>TXN-10401</t>
  </si>
  <si>
    <t>TXN-10402</t>
  </si>
  <si>
    <t>TXN-10403</t>
  </si>
  <si>
    <t>TXN-10404</t>
  </si>
  <si>
    <t>TXN-10405</t>
  </si>
  <si>
    <t>TXN-10406</t>
  </si>
  <si>
    <t>TXN-10407</t>
  </si>
  <si>
    <t>CON-3049</t>
  </si>
  <si>
    <t>TXN-10408</t>
  </si>
  <si>
    <t>TXN-10409</t>
  </si>
  <si>
    <t>CON-7331</t>
  </si>
  <si>
    <t>TXN-10410</t>
  </si>
  <si>
    <t>TXN-10411</t>
  </si>
  <si>
    <t>TXN-10412</t>
  </si>
  <si>
    <t>TXN-10413</t>
  </si>
  <si>
    <t>CON-6116</t>
  </si>
  <si>
    <t>TXN-10414</t>
  </si>
  <si>
    <t>CON-5061</t>
  </si>
  <si>
    <t>TXN-10415</t>
  </si>
  <si>
    <t>TXN-10416</t>
  </si>
  <si>
    <t>CON-8989</t>
  </si>
  <si>
    <t>TXN-10417</t>
  </si>
  <si>
    <t>CON-8027</t>
  </si>
  <si>
    <t>TXN-10418</t>
  </si>
  <si>
    <t>CON-7910</t>
  </si>
  <si>
    <t>TXN-10419</t>
  </si>
  <si>
    <t>CON-7971</t>
  </si>
  <si>
    <t>TXN-10420</t>
  </si>
  <si>
    <t>CON-9226</t>
  </si>
  <si>
    <t>TXN-10421</t>
  </si>
  <si>
    <t>TXN-10422</t>
  </si>
  <si>
    <t>TXN-10423</t>
  </si>
  <si>
    <t>CON-3747</t>
  </si>
  <si>
    <t>TXN-10424</t>
  </si>
  <si>
    <t>TXN-10425</t>
  </si>
  <si>
    <t>TXN-10426</t>
  </si>
  <si>
    <t>TXN-10427</t>
  </si>
  <si>
    <t>CON-8721</t>
  </si>
  <si>
    <t>TXN-10428</t>
  </si>
  <si>
    <t>TXN-10429</t>
  </si>
  <si>
    <t>TXN-10430</t>
  </si>
  <si>
    <t>CON-9958</t>
  </si>
  <si>
    <t>TXN-10431</t>
  </si>
  <si>
    <t>TXN-10432</t>
  </si>
  <si>
    <t>TXN-10433</t>
  </si>
  <si>
    <t>CON-2678</t>
  </si>
  <si>
    <t>TXN-10434</t>
  </si>
  <si>
    <t>TXN-10435</t>
  </si>
  <si>
    <t>TXN-10436</t>
  </si>
  <si>
    <t>TXN-10437</t>
  </si>
  <si>
    <t>TXN-10438</t>
  </si>
  <si>
    <t>TXN-10439</t>
  </si>
  <si>
    <t>CON-7287</t>
  </si>
  <si>
    <t>TXN-10440</t>
  </si>
  <si>
    <t>TXN-10441</t>
  </si>
  <si>
    <t>TXN-10442</t>
  </si>
  <si>
    <t>TXN-10443</t>
  </si>
  <si>
    <t>TXN-10444</t>
  </si>
  <si>
    <t>TXN-10445</t>
  </si>
  <si>
    <t>TXN-10446</t>
  </si>
  <si>
    <t>TXN-10447</t>
  </si>
  <si>
    <t>TXN-10448</t>
  </si>
  <si>
    <t>CON-6390</t>
  </si>
  <si>
    <t>TXN-10449</t>
  </si>
  <si>
    <t>TXN-10450</t>
  </si>
  <si>
    <t>CON-3961</t>
  </si>
  <si>
    <t>TXN-10451</t>
  </si>
  <si>
    <t>CON-9932</t>
  </si>
  <si>
    <t>TXN-10452</t>
  </si>
  <si>
    <t>TXN-10453</t>
  </si>
  <si>
    <t>CON-2069</t>
  </si>
  <si>
    <t>TXN-10454</t>
  </si>
  <si>
    <t>TXN-10455</t>
  </si>
  <si>
    <t>TXN-10456</t>
  </si>
  <si>
    <t>TXN-10457</t>
  </si>
  <si>
    <t>CON-6311</t>
  </si>
  <si>
    <t>TXN-10458</t>
  </si>
  <si>
    <t>TXN-10459</t>
  </si>
  <si>
    <t>TXN-10460</t>
  </si>
  <si>
    <t>TXN-10461</t>
  </si>
  <si>
    <t>TXN-10462</t>
  </si>
  <si>
    <t>TXN-10463</t>
  </si>
  <si>
    <t>TXN-10464</t>
  </si>
  <si>
    <t>CON-6539</t>
  </si>
  <si>
    <t>TXN-10465</t>
  </si>
  <si>
    <t>CON-6618</t>
  </si>
  <si>
    <t>TXN-10466</t>
  </si>
  <si>
    <t>TXN-10467</t>
  </si>
  <si>
    <t>CON-8455</t>
  </si>
  <si>
    <t>TXN-10468</t>
  </si>
  <si>
    <t>TXN-10469</t>
  </si>
  <si>
    <t>TXN-10470</t>
  </si>
  <si>
    <t>TXN-10471</t>
  </si>
  <si>
    <t>TXN-10472</t>
  </si>
  <si>
    <t>TXN-10473</t>
  </si>
  <si>
    <t>CON-8916</t>
  </si>
  <si>
    <t>TXN-10474</t>
  </si>
  <si>
    <t>TXN-10475</t>
  </si>
  <si>
    <t>CON-7863</t>
  </si>
  <si>
    <t>TXN-10476</t>
  </si>
  <si>
    <t>TXN-10477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</si>
  <si>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</si>
  <si>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</si>
  <si>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</si>
  <si>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</si>
  <si>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</si>
  <si>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</si>
  <si>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</si>
  <si>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</si>
  <si>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</si>
  <si>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</si>
  <si>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</si>
  <si>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TXN-10489</t>
  </si>
  <si>
    <t>TXN-10490</t>
  </si>
  <si>
    <t>TXN-10491</t>
  </si>
  <si>
    <t>TXN-10492</t>
  </si>
  <si>
    <t>TXN-10493</t>
  </si>
  <si>
    <t>CON-6625</t>
  </si>
  <si>
    <t>TXN-10494</t>
  </si>
  <si>
    <t>TXN-10495</t>
  </si>
  <si>
    <t>TXN-10496</t>
  </si>
  <si>
    <t>TXN-10497</t>
  </si>
  <si>
    <t>TXN-10498</t>
  </si>
  <si>
    <t>CON-8404</t>
  </si>
  <si>
    <t>TXN-10499</t>
  </si>
  <si>
    <t>TXN-10500</t>
  </si>
  <si>
    <t>CON-2998</t>
  </si>
  <si>
    <t>TXN-10501</t>
  </si>
  <si>
    <t>TXN-10502</t>
  </si>
  <si>
    <t>CON-9338</t>
  </si>
  <si>
    <t>TXN-10503</t>
  </si>
  <si>
    <t>TXN-10504</t>
  </si>
  <si>
    <t>TXN-10505</t>
  </si>
  <si>
    <t>TXN-10506</t>
  </si>
  <si>
    <t>TXN-10507</t>
  </si>
  <si>
    <t>TXN-10508</t>
  </si>
  <si>
    <t>CON-9716</t>
  </si>
  <si>
    <t>TXN-10509</t>
  </si>
  <si>
    <t>TXN-10510</t>
  </si>
  <si>
    <t>TXN-10511</t>
  </si>
  <si>
    <t>TXN-10512</t>
  </si>
  <si>
    <t>TXN-10513</t>
  </si>
  <si>
    <t>CON-2663</t>
  </si>
  <si>
    <t>TXN-10514</t>
  </si>
  <si>
    <t>TXN-10515</t>
  </si>
  <si>
    <t>TXN-10516</t>
  </si>
  <si>
    <t>CON-9352</t>
  </si>
  <si>
    <t>TXN-10517</t>
  </si>
  <si>
    <t>CON-2899</t>
  </si>
  <si>
    <t>TXN-10518</t>
  </si>
  <si>
    <t>CON-9433</t>
  </si>
  <si>
    <t>TXN-10519</t>
  </si>
  <si>
    <t>TXN-10520</t>
  </si>
  <si>
    <t>TXN-10521</t>
  </si>
  <si>
    <t>TXN-10522</t>
  </si>
  <si>
    <t>TXN-10523</t>
  </si>
  <si>
    <t>CON-8992</t>
  </si>
  <si>
    <t>TXN-10524</t>
  </si>
  <si>
    <t>TXN-10525</t>
  </si>
  <si>
    <t>TXN-10526</t>
  </si>
  <si>
    <t>TXN-10527</t>
  </si>
  <si>
    <t>TXN-10528</t>
  </si>
  <si>
    <t>TXN-10529</t>
  </si>
  <si>
    <t>TXN-10530</t>
  </si>
  <si>
    <t>TXN-10531</t>
  </si>
  <si>
    <t>CON-9392</t>
  </si>
  <si>
    <t>TXN-10532</t>
  </si>
  <si>
    <t>TXN-10533</t>
  </si>
  <si>
    <t>TXN-10534</t>
  </si>
  <si>
    <t>TXN-10535</t>
  </si>
  <si>
    <t>TXN-10536</t>
  </si>
  <si>
    <t>CON-3479</t>
  </si>
  <si>
    <t>TXN-10537</t>
  </si>
  <si>
    <t>TXN-10538</t>
  </si>
  <si>
    <t>TXN-10539</t>
  </si>
  <si>
    <t>TXN-10540</t>
  </si>
  <si>
    <t>TXN-10541</t>
  </si>
  <si>
    <t>TXN-10542</t>
  </si>
  <si>
    <t>TXN-10543</t>
  </si>
  <si>
    <t>CON-3368</t>
  </si>
  <si>
    <t>TXN-10544</t>
  </si>
  <si>
    <t>TXN-10545</t>
  </si>
  <si>
    <t>TXN-10546</t>
  </si>
  <si>
    <t>CON-3255</t>
  </si>
  <si>
    <t>TXN-10547</t>
  </si>
  <si>
    <t>TXN-10548</t>
  </si>
  <si>
    <t>TXN-10549</t>
  </si>
  <si>
    <t>CON-2306</t>
  </si>
  <si>
    <t>TXN-10550</t>
  </si>
  <si>
    <t>TXN-10551</t>
  </si>
  <si>
    <t>TXN-10552</t>
  </si>
  <si>
    <t>TXN-10553</t>
  </si>
  <si>
    <t>CON-6864</t>
  </si>
  <si>
    <t>TXN-10554</t>
  </si>
  <si>
    <t>TXN-10555</t>
  </si>
  <si>
    <t>CON-6393</t>
  </si>
  <si>
    <t>TXN-10556</t>
  </si>
  <si>
    <t>CON-6854</t>
  </si>
  <si>
    <t>TXN-10557</t>
  </si>
  <si>
    <t>CON-9130</t>
  </si>
  <si>
    <t>TXN-10558</t>
  </si>
  <si>
    <t>CON-8392</t>
  </si>
  <si>
    <t>TXN-10559</t>
  </si>
  <si>
    <t>CON-5465</t>
  </si>
  <si>
    <t>TXN-10560</t>
  </si>
  <si>
    <t>CON-4769</t>
  </si>
  <si>
    <t>TXN-10561</t>
  </si>
  <si>
    <t>TXN-10562</t>
  </si>
  <si>
    <t>CON-8280</t>
  </si>
  <si>
    <t>TXN-10563</t>
  </si>
  <si>
    <t>TXN-10564</t>
  </si>
  <si>
    <t>TXN-10565</t>
  </si>
  <si>
    <t>TXN-10566</t>
  </si>
  <si>
    <t>CON-6895</t>
  </si>
  <si>
    <t>TXN-10567</t>
  </si>
  <si>
    <t>TXN-10568</t>
  </si>
  <si>
    <t>CON-6172</t>
  </si>
  <si>
    <t>TXN-10569</t>
  </si>
  <si>
    <t>TXN-10570</t>
  </si>
  <si>
    <t>TXN-10571</t>
  </si>
  <si>
    <t>TXN-10572</t>
  </si>
  <si>
    <t>CON-2059</t>
  </si>
  <si>
    <t>TXN-10573</t>
  </si>
  <si>
    <t>TXN-10574</t>
  </si>
  <si>
    <t>TXN-10575</t>
  </si>
  <si>
    <t>TXN-10576</t>
  </si>
  <si>
    <t>TXN-10577</t>
  </si>
  <si>
    <t>CON-7614</t>
  </si>
  <si>
    <t>TXN-10578</t>
  </si>
  <si>
    <t>TXN-10579</t>
  </si>
  <si>
    <t>TXN-10580</t>
  </si>
  <si>
    <t>CON-8390</t>
  </si>
  <si>
    <t>TXN-10581</t>
  </si>
  <si>
    <t>TXN-10582</t>
  </si>
  <si>
    <t>TXN-10583</t>
  </si>
  <si>
    <t>TXN-10584</t>
  </si>
  <si>
    <t>TXN-10585</t>
  </si>
  <si>
    <t>TXN-10586</t>
  </si>
  <si>
    <t>TXN-10587</t>
  </si>
  <si>
    <t>TXN-10588</t>
  </si>
  <si>
    <t>CON-1574</t>
  </si>
  <si>
    <t>TXN-10589</t>
  </si>
  <si>
    <t>TXN-10590</t>
  </si>
  <si>
    <t>TXN-10591</t>
  </si>
  <si>
    <t>TXN-10592</t>
  </si>
  <si>
    <t>TXN-10593</t>
  </si>
  <si>
    <t>TXN-10594</t>
  </si>
  <si>
    <t>TXN-10595</t>
  </si>
  <si>
    <t>CON-6442</t>
  </si>
  <si>
    <t>TXN-10596</t>
  </si>
  <si>
    <t>TXN-10597</t>
  </si>
  <si>
    <t>CON-5297</t>
  </si>
  <si>
    <t>TXN-10598</t>
  </si>
  <si>
    <t>TXN-10599</t>
  </si>
  <si>
    <t>CON-1876</t>
  </si>
  <si>
    <t>TXN-10600</t>
  </si>
  <si>
    <t>CON-7002</t>
  </si>
  <si>
    <t>TXN-10601</t>
  </si>
  <si>
    <t>TXN-10602</t>
  </si>
  <si>
    <t>TXN-10603</t>
  </si>
  <si>
    <t>TXN-10604</t>
  </si>
  <si>
    <t>CON-8679</t>
  </si>
  <si>
    <t>TXN-10605</t>
  </si>
  <si>
    <t>TXN-10606</t>
  </si>
  <si>
    <t>TXN-10607</t>
  </si>
  <si>
    <t>CON-9319</t>
  </si>
  <si>
    <t>TXN-10608</t>
  </si>
  <si>
    <t>TXN-10609</t>
  </si>
  <si>
    <t>TXN-10610</t>
  </si>
  <si>
    <t>TXN-10611</t>
  </si>
  <si>
    <t>TXN-10612</t>
  </si>
  <si>
    <t>TXN-10613</t>
  </si>
  <si>
    <t>TXN-10614</t>
  </si>
  <si>
    <t>TXN-10615</t>
  </si>
  <si>
    <t>TXN-10616</t>
  </si>
  <si>
    <t>CON-6892</t>
  </si>
  <si>
    <t>TXN-10617</t>
  </si>
  <si>
    <t>CON-3200</t>
  </si>
  <si>
    <t>TXN-10618</t>
  </si>
  <si>
    <t>TXN-10619</t>
  </si>
  <si>
    <t>TXN-10620</t>
  </si>
  <si>
    <t>TXN-10621</t>
  </si>
  <si>
    <t>TXN-10622</t>
  </si>
  <si>
    <t>CON-1569</t>
  </si>
  <si>
    <t>TXN-10623</t>
  </si>
  <si>
    <t>CON-2028</t>
  </si>
  <si>
    <t>TXN-10624</t>
  </si>
  <si>
    <t>TXN-10625</t>
  </si>
  <si>
    <t>TXN-10626</t>
  </si>
  <si>
    <t>TXN-10627</t>
  </si>
  <si>
    <t>CON-7374</t>
  </si>
  <si>
    <t>TXN-10628</t>
  </si>
  <si>
    <t>CON-8079</t>
  </si>
  <si>
    <t>TXN-10629</t>
  </si>
  <si>
    <t>TXN-10630</t>
  </si>
  <si>
    <t>TXN-10631</t>
  </si>
  <si>
    <t>TXN-10632</t>
  </si>
  <si>
    <t>CON-4304</t>
  </si>
  <si>
    <t>TXN-10633</t>
  </si>
  <si>
    <t>TXN-10634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</si>
  <si>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</si>
  <si>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</si>
  <si>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</si>
  <si>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</si>
  <si>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</si>
  <si>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</si>
  <si>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</si>
  <si>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</si>
  <si>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</si>
  <si>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</si>
  <si>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</si>
  <si>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</si>
  <si>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</si>
  <si>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CON-7585</t>
  </si>
  <si>
    <t>TXN-10648</t>
  </si>
  <si>
    <t>TXN-10649</t>
  </si>
  <si>
    <t>TXN-10650</t>
  </si>
  <si>
    <t>TXN-10651</t>
  </si>
  <si>
    <t>TXN-10652</t>
  </si>
  <si>
    <t>CON-3454</t>
  </si>
  <si>
    <t>TXN-10653</t>
  </si>
  <si>
    <t>TXN-10654</t>
  </si>
  <si>
    <t>CON-9050</t>
  </si>
  <si>
    <t>TXN-10655</t>
  </si>
  <si>
    <t>TXN-10656</t>
  </si>
  <si>
    <t>TXN-10657</t>
  </si>
  <si>
    <t>TXN-10658</t>
  </si>
  <si>
    <t>TXN-10659</t>
  </si>
  <si>
    <t>TXN-10660</t>
  </si>
  <si>
    <t>CON-2757</t>
  </si>
  <si>
    <t>TXN-10661</t>
  </si>
  <si>
    <t>TXN-10662</t>
  </si>
  <si>
    <t>TXN-10663</t>
  </si>
  <si>
    <t>TXN-10664</t>
  </si>
  <si>
    <t>TXN-10665</t>
  </si>
  <si>
    <t>TXN-10666</t>
  </si>
  <si>
    <t>CON-4581</t>
  </si>
  <si>
    <t>TXN-10667</t>
  </si>
  <si>
    <t>TXN-10668</t>
  </si>
  <si>
    <t>TXN-10669</t>
  </si>
  <si>
    <t>TXN-10670</t>
  </si>
  <si>
    <t>TXN-10671</t>
  </si>
  <si>
    <t>TXN-10672</t>
  </si>
  <si>
    <t>TXN-10673</t>
  </si>
  <si>
    <t>TXN-10674</t>
  </si>
  <si>
    <t>TXN-10675</t>
  </si>
  <si>
    <t>TXN-10676</t>
  </si>
  <si>
    <t>TXN-10677</t>
  </si>
  <si>
    <t>TXN-10678</t>
  </si>
  <si>
    <t>TXN-10679</t>
  </si>
  <si>
    <t>CON-5146</t>
  </si>
  <si>
    <t>TXN-10680</t>
  </si>
  <si>
    <t>TXN-10681</t>
  </si>
  <si>
    <t>TXN-10682</t>
  </si>
  <si>
    <t>TXN-10683</t>
  </si>
  <si>
    <t>TXN-10684</t>
  </si>
  <si>
    <t>TXN-10685</t>
  </si>
  <si>
    <t>TXN-10686</t>
  </si>
  <si>
    <t>TXN-10687</t>
  </si>
  <si>
    <t>CON-4863</t>
  </si>
  <si>
    <t>TXN-10688</t>
  </si>
  <si>
    <t>TXN-10689</t>
  </si>
  <si>
    <t>TXN-10690</t>
  </si>
  <si>
    <t>TXN-10691</t>
  </si>
  <si>
    <t>CON-2685</t>
  </si>
  <si>
    <t>TXN-10692</t>
  </si>
  <si>
    <t>TXN-10693</t>
  </si>
  <si>
    <t>TXN-10694</t>
  </si>
  <si>
    <t>TXN-10695</t>
  </si>
  <si>
    <t>TXN-10696</t>
  </si>
  <si>
    <t>TXN-10697</t>
  </si>
  <si>
    <t>CON-2734</t>
  </si>
  <si>
    <t>TXN-10698</t>
  </si>
  <si>
    <t>TXN-10699</t>
  </si>
  <si>
    <t>TXN-10700</t>
  </si>
  <si>
    <t>TXN-10701</t>
  </si>
  <si>
    <t>TXN-10702</t>
  </si>
  <si>
    <t>TXN-10703</t>
  </si>
  <si>
    <t>TXN-10704</t>
  </si>
  <si>
    <t>TXN-10705</t>
  </si>
  <si>
    <t>TXN-10706</t>
  </si>
  <si>
    <t>TXN-10707</t>
  </si>
  <si>
    <t>CON-9155</t>
  </si>
  <si>
    <t>TXN-10708</t>
  </si>
  <si>
    <t>TXN-10709</t>
  </si>
  <si>
    <t>TXN-10710</t>
  </si>
  <si>
    <t>TXN-10711</t>
  </si>
  <si>
    <t>CON-6249</t>
  </si>
  <si>
    <t>TXN-10712</t>
  </si>
  <si>
    <t>TXN-10713</t>
  </si>
  <si>
    <t>TXN-10714</t>
  </si>
  <si>
    <t>TXN-10715</t>
  </si>
  <si>
    <t>TXN-10716</t>
  </si>
  <si>
    <t>TXN-10717</t>
  </si>
  <si>
    <t>TXN-10718</t>
  </si>
  <si>
    <t>TXN-10719</t>
  </si>
  <si>
    <t>TXN-10720</t>
  </si>
  <si>
    <t>TXN-10721</t>
  </si>
  <si>
    <t>CON-7102</t>
  </si>
  <si>
    <t>TXN-10722</t>
  </si>
  <si>
    <t>CON-4343</t>
  </si>
  <si>
    <t>TXN-10723</t>
  </si>
  <si>
    <t>TXN-10724</t>
  </si>
  <si>
    <t>TXN-10725</t>
  </si>
  <si>
    <t>TXN-10726</t>
  </si>
  <si>
    <t>TXN-10727</t>
  </si>
  <si>
    <t>CON-2895</t>
  </si>
  <si>
    <t>TXN-10728</t>
  </si>
  <si>
    <t>TXN-10729</t>
  </si>
  <si>
    <t>TXN-10730</t>
  </si>
  <si>
    <t>TXN-10731</t>
  </si>
  <si>
    <t>TXN-10732</t>
  </si>
  <si>
    <t>TXN-10733</t>
  </si>
  <si>
    <t>TXN-10734</t>
  </si>
  <si>
    <t>CON-1206</t>
  </si>
  <si>
    <t>TXN-10735</t>
  </si>
  <si>
    <t>TXN-10736</t>
  </si>
  <si>
    <t>TXN-10737</t>
  </si>
  <si>
    <t>TXN-10738</t>
  </si>
  <si>
    <t>TXN-10739</t>
  </si>
  <si>
    <t>CON-4843</t>
  </si>
  <si>
    <t>TXN-10740</t>
  </si>
  <si>
    <t>TXN-10741</t>
  </si>
  <si>
    <t>TXN-10742</t>
  </si>
  <si>
    <t>TXN-10743</t>
  </si>
  <si>
    <t>TXN-10744</t>
  </si>
  <si>
    <t>TXN-10745</t>
  </si>
  <si>
    <t>TXN-10746</t>
  </si>
  <si>
    <t>TXN-10747</t>
  </si>
  <si>
    <t>TXN-10748</t>
  </si>
  <si>
    <t>TXN-10749</t>
  </si>
  <si>
    <t>TXN-10750</t>
  </si>
  <si>
    <t>TXN-10751</t>
  </si>
  <si>
    <t>CON-6699</t>
  </si>
  <si>
    <t>TXN-10752</t>
  </si>
  <si>
    <t>TXN-10753</t>
  </si>
  <si>
    <t>TXN-10754</t>
  </si>
  <si>
    <t>TXN-10755</t>
  </si>
  <si>
    <t>TXN-10756</t>
  </si>
  <si>
    <t>TXN-10757</t>
  </si>
  <si>
    <t>TXN-10758</t>
  </si>
  <si>
    <t>TXN-10759</t>
  </si>
  <si>
    <t>TXN-10760</t>
  </si>
  <si>
    <t>CON-7420</t>
  </si>
  <si>
    <t>TXN-10761</t>
  </si>
  <si>
    <t>CON-4242</t>
  </si>
  <si>
    <t>TXN-10762</t>
  </si>
  <si>
    <t>TXN-10763</t>
  </si>
  <si>
    <t>TXN-10764</t>
  </si>
  <si>
    <t>TXN-10765</t>
  </si>
  <si>
    <t>TXN-10766</t>
  </si>
  <si>
    <t>TXN-10767</t>
  </si>
  <si>
    <t>TXN-10768</t>
  </si>
  <si>
    <t>TXN-10769</t>
  </si>
  <si>
    <t>TXN-10770</t>
  </si>
  <si>
    <t>CON-4051</t>
  </si>
  <si>
    <t>TXN-10771</t>
  </si>
  <si>
    <t>TXN-10772</t>
  </si>
  <si>
    <t>TXN-10773</t>
  </si>
  <si>
    <t>TXN-10774</t>
  </si>
  <si>
    <t>TXN-10775</t>
  </si>
  <si>
    <t>TXN-10776</t>
  </si>
  <si>
    <t>TXN-10777</t>
  </si>
  <si>
    <t>TXN-10778</t>
  </si>
  <si>
    <t>CON-2664</t>
  </si>
  <si>
    <t>TXN-10779</t>
  </si>
  <si>
    <t>CON-4152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</si>
  <si>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</si>
  <si>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</si>
  <si>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</si>
  <si>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</si>
  <si>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</si>
  <si>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</si>
  <si>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</si>
  <si>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</si>
  <si>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</si>
  <si>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</si>
  <si>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TXN-10790</t>
  </si>
  <si>
    <t>TXN-10791</t>
  </si>
  <si>
    <t>TXN-10792</t>
  </si>
  <si>
    <t>TXN-10793</t>
  </si>
  <si>
    <t>TXN-10794</t>
  </si>
  <si>
    <t>TXN-10795</t>
  </si>
  <si>
    <t>TXN-10796</t>
  </si>
  <si>
    <t>TXN-10797</t>
  </si>
  <si>
    <t>CON-9120</t>
  </si>
  <si>
    <t>TXN-10798</t>
  </si>
  <si>
    <t>TXN-10799</t>
  </si>
  <si>
    <t>CON-8734</t>
  </si>
  <si>
    <t>TXN-10800</t>
  </si>
  <si>
    <t>CON-2291</t>
  </si>
  <si>
    <t>TXN-10801</t>
  </si>
  <si>
    <t>TXN-10802</t>
  </si>
  <si>
    <t>TXN-10803</t>
  </si>
  <si>
    <t>TXN-10804</t>
  </si>
  <si>
    <t>TXN-10805</t>
  </si>
  <si>
    <t>TXN-10806</t>
  </si>
  <si>
    <t>TXN-10807</t>
  </si>
  <si>
    <t>TXN-10808</t>
  </si>
  <si>
    <t>TXN-10809</t>
  </si>
  <si>
    <t>TXN-10810</t>
  </si>
  <si>
    <t>CON-6535</t>
  </si>
  <si>
    <t>TXN-10811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</si>
  <si>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</si>
  <si>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</si>
  <si>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</si>
  <si>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</si>
  <si>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</si>
  <si>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</si>
  <si>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</si>
  <si>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</si>
  <si>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</si>
  <si>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</si>
  <si>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CON-5752</t>
  </si>
  <si>
    <t>TXN-10822</t>
  </si>
  <si>
    <t>CON-7668</t>
  </si>
  <si>
    <t>TXN-10823</t>
  </si>
  <si>
    <t>TXN-10824</t>
  </si>
  <si>
    <t>CON-6600</t>
  </si>
  <si>
    <t>TXN-10825</t>
  </si>
  <si>
    <t>TXN-10826</t>
  </si>
  <si>
    <t>TXN-10827</t>
  </si>
  <si>
    <t>TXN-10828</t>
  </si>
  <si>
    <t>CON-7736</t>
  </si>
  <si>
    <t>TXN-10829</t>
  </si>
  <si>
    <t>TXN-10830</t>
  </si>
  <si>
    <t>TXN-10831</t>
  </si>
  <si>
    <t>TXN-10832</t>
  </si>
  <si>
    <t>TXN-10833</t>
  </si>
  <si>
    <t>TXN-10834</t>
  </si>
  <si>
    <t>TXN-10835</t>
  </si>
  <si>
    <t>TXN-10836</t>
  </si>
  <si>
    <t>TXN-10837</t>
  </si>
  <si>
    <t>TXN-10838</t>
  </si>
  <si>
    <t>TXN-10839</t>
  </si>
  <si>
    <t>TXN-10840</t>
  </si>
  <si>
    <t>TXN-10841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</si>
  <si>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</si>
  <si>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</si>
  <si>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</si>
  <si>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</si>
  <si>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</si>
  <si>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</si>
  <si>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</si>
  <si>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</si>
  <si>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</si>
  <si>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</si>
  <si>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</si>
  <si>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CON-1391</t>
  </si>
  <si>
    <t>TXN-10853</t>
  </si>
  <si>
    <t>TXN-10854</t>
  </si>
  <si>
    <t>TXN-10855</t>
  </si>
  <si>
    <t>CON-9755</t>
  </si>
  <si>
    <t>TXN-10856</t>
  </si>
  <si>
    <t>TXN-10857</t>
  </si>
  <si>
    <t>TXN-10858</t>
  </si>
  <si>
    <t>TXN-10859</t>
  </si>
  <si>
    <t>TXN-10860</t>
  </si>
  <si>
    <t>TXN-10861</t>
  </si>
  <si>
    <t>TXN-10862</t>
  </si>
  <si>
    <t>TXN-10863</t>
  </si>
  <si>
    <t>TXN-10864</t>
  </si>
  <si>
    <t>TXN-10865</t>
  </si>
  <si>
    <t>CON-1225</t>
  </si>
  <si>
    <t>TXN-10866</t>
  </si>
  <si>
    <t>TXN-10867</t>
  </si>
  <si>
    <t>TXN-10868</t>
  </si>
  <si>
    <t>TXN-10869</t>
  </si>
  <si>
    <t>TXN-10870</t>
  </si>
  <si>
    <t>TXN-10871</t>
  </si>
  <si>
    <t>CON-8004</t>
  </si>
  <si>
    <t>TXN-10872</t>
  </si>
  <si>
    <t>TXN-10873</t>
  </si>
  <si>
    <t>TXN-10874</t>
  </si>
  <si>
    <t>CON-2930</t>
  </si>
  <si>
    <t>TXN-10875</t>
  </si>
  <si>
    <t>TXN-10876</t>
  </si>
  <si>
    <t>CON-1860</t>
  </si>
  <si>
    <t>TXN-10877</t>
  </si>
  <si>
    <t>TXN-10878</t>
  </si>
  <si>
    <t>TXN-10879</t>
  </si>
  <si>
    <t>TXN-10880</t>
  </si>
  <si>
    <t>TXN-10881</t>
  </si>
  <si>
    <t>CON-3557</t>
  </si>
  <si>
    <t>TXN-10882</t>
  </si>
  <si>
    <t>TXN-10883</t>
  </si>
  <si>
    <t>TXN-10884</t>
  </si>
  <si>
    <t>TXN-10885</t>
  </si>
  <si>
    <t>TXN-10886</t>
  </si>
  <si>
    <t>TXN-10887</t>
  </si>
  <si>
    <t>TXN-10888</t>
  </si>
  <si>
    <t>TXN-10889</t>
  </si>
  <si>
    <t>TXN-10890</t>
  </si>
  <si>
    <t>TXN-10891</t>
  </si>
  <si>
    <t>TXN-10892</t>
  </si>
  <si>
    <t>TXN-10893</t>
  </si>
  <si>
    <t>TXN-10894</t>
  </si>
  <si>
    <t>TXN-10895</t>
  </si>
  <si>
    <t>TXN-10896</t>
  </si>
  <si>
    <t>TXN-10897</t>
  </si>
  <si>
    <t>TXN-10898</t>
  </si>
  <si>
    <t>TXN-10899</t>
  </si>
  <si>
    <t>TXN-10900</t>
  </si>
  <si>
    <t>TXN-10901</t>
  </si>
  <si>
    <t>TXN-10902</t>
  </si>
  <si>
    <t>CON-1161</t>
  </si>
  <si>
    <t>TXN-10903</t>
  </si>
  <si>
    <t>TXN-10904</t>
  </si>
  <si>
    <t>TXN-10905</t>
  </si>
  <si>
    <t>TXN-10906</t>
  </si>
  <si>
    <t>CON-2802</t>
  </si>
  <si>
    <t>TXN-10907</t>
  </si>
  <si>
    <t>TXN-10908</t>
  </si>
  <si>
    <t>TXN-10909</t>
  </si>
  <si>
    <t>TXN-10910</t>
  </si>
  <si>
    <t>TXN-10911</t>
  </si>
  <si>
    <t>TXN-10912</t>
  </si>
  <si>
    <t>TXN-10913</t>
  </si>
  <si>
    <t>TXN-10914</t>
  </si>
  <si>
    <t>TXN-10915</t>
  </si>
  <si>
    <t>TXN-10916</t>
  </si>
  <si>
    <t>TXN-10917</t>
  </si>
  <si>
    <t>CON-5493</t>
  </si>
  <si>
    <t>TXN-10918</t>
  </si>
  <si>
    <t>CON-4420</t>
  </si>
  <si>
    <t>TXN-10919</t>
  </si>
  <si>
    <t>TXN-10920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</si>
  <si>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</si>
  <si>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</si>
  <si>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</si>
  <si>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</si>
  <si>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</si>
  <si>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</si>
  <si>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</si>
  <si>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</si>
  <si>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</si>
  <si>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TXN-10930</t>
  </si>
  <si>
    <t>TXN-10931</t>
  </si>
  <si>
    <t>TXN-10932</t>
  </si>
  <si>
    <t>TXN-10933</t>
  </si>
  <si>
    <t>TXN-10934</t>
  </si>
  <si>
    <t>TXN-10935</t>
  </si>
  <si>
    <t>TXN-10936</t>
  </si>
  <si>
    <t>TXN-10937</t>
  </si>
  <si>
    <t>TXN-10938</t>
  </si>
  <si>
    <t>TXN-10939</t>
  </si>
  <si>
    <t>TXN-10940</t>
  </si>
  <si>
    <t>TXN-10941</t>
  </si>
  <si>
    <t>TXN-10942</t>
  </si>
  <si>
    <t>TXN-10943</t>
  </si>
  <si>
    <t>CON-6177</t>
  </si>
  <si>
    <t>TXN-10944</t>
  </si>
  <si>
    <t>TXN-10945</t>
  </si>
  <si>
    <t>CON-1189</t>
  </si>
  <si>
    <t>TXN-10946</t>
  </si>
  <si>
    <t>TXN-10947</t>
  </si>
  <si>
    <t>TXN-10948</t>
  </si>
  <si>
    <t>TXN-10949</t>
  </si>
  <si>
    <t>CON-6423</t>
  </si>
  <si>
    <t>TXN-10950</t>
  </si>
  <si>
    <t>TXN-10951</t>
  </si>
  <si>
    <t>TXN-10952</t>
  </si>
  <si>
    <t>TXN-10953</t>
  </si>
  <si>
    <t>TXN-10954</t>
  </si>
  <si>
    <t>TXN-10955</t>
  </si>
  <si>
    <t>TXN-10956</t>
  </si>
  <si>
    <t>TXN-10957</t>
  </si>
  <si>
    <t>TXN-10958</t>
  </si>
  <si>
    <t>TXN-10959</t>
  </si>
  <si>
    <t>TXN-10960</t>
  </si>
  <si>
    <t>CON-8869</t>
  </si>
  <si>
    <t>TXN-10961</t>
  </si>
  <si>
    <t>TXN-10962</t>
  </si>
  <si>
    <t>CON-8343</t>
  </si>
  <si>
    <t>TXN-10963</t>
  </si>
  <si>
    <t>TXN-10964</t>
  </si>
  <si>
    <t>CON-1659</t>
  </si>
  <si>
    <t>TXN-10965</t>
  </si>
  <si>
    <t>CON-1784</t>
  </si>
  <si>
    <t>TXN-10966</t>
  </si>
  <si>
    <t>TXN-10967</t>
  </si>
  <si>
    <t>TXN-10968</t>
  </si>
  <si>
    <t>TXN-10969</t>
  </si>
  <si>
    <t>TXN-10970</t>
  </si>
  <si>
    <t>TXN-10971</t>
  </si>
  <si>
    <t>TXN-10972</t>
  </si>
  <si>
    <t>TXN-10973</t>
  </si>
  <si>
    <t>TXN-10974</t>
  </si>
  <si>
    <t>TXN-10975</t>
  </si>
  <si>
    <t>TXN-10976</t>
  </si>
  <si>
    <t>TXN-10977</t>
  </si>
  <si>
    <t>TXN-10978</t>
  </si>
  <si>
    <t>TXN-10979</t>
  </si>
  <si>
    <t>CON-5199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</si>
  <si>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</si>
  <si>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</si>
  <si>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</si>
  <si>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</si>
  <si>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</si>
  <si>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</si>
  <si>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</si>
  <si>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TXN-10987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</si>
  <si>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</si>
  <si>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</si>
  <si>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</si>
  <si>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</si>
  <si>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</si>
  <si>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</si>
  <si>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</si>
  <si>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TXN-10995</t>
  </si>
  <si>
    <t>TXN-10996</t>
  </si>
  <si>
    <t>TXN-10997</t>
  </si>
  <si>
    <t>TXN-10998</t>
  </si>
  <si>
    <t>TXN-10999</t>
  </si>
  <si>
    <t>TXN-11000</t>
  </si>
  <si>
    <t>TXN-11001</t>
  </si>
  <si>
    <t>TXN-11002</t>
  </si>
  <si>
    <t>TXN-11003</t>
  </si>
  <si>
    <t>TXN-11004</t>
  </si>
  <si>
    <t>CON-5636</t>
  </si>
  <si>
    <t>TXN-11005</t>
  </si>
  <si>
    <t>TXN-11006</t>
  </si>
  <si>
    <t>TXN-11007</t>
  </si>
  <si>
    <t>TXN-11008</t>
  </si>
  <si>
    <t>TXN-11009</t>
  </si>
  <si>
    <t>TXN-11010</t>
  </si>
  <si>
    <t>TXN-11011</t>
  </si>
  <si>
    <t>TXN-11012</t>
  </si>
  <si>
    <t>TXN-11013</t>
  </si>
  <si>
    <t>TXN-11014</t>
  </si>
  <si>
    <t>CON-7938</t>
  </si>
  <si>
    <t>TXN-11015</t>
  </si>
  <si>
    <t>TXN-11016</t>
  </si>
  <si>
    <t>CON-9110</t>
  </si>
  <si>
    <t>TXN-11017</t>
  </si>
  <si>
    <t>CON-8987</t>
  </si>
  <si>
    <t>TXN-11018</t>
  </si>
  <si>
    <t>TXN-11019</t>
  </si>
  <si>
    <t>TXN-11020</t>
  </si>
  <si>
    <t>TXN-11021</t>
  </si>
  <si>
    <t>TXN-11022</t>
  </si>
  <si>
    <t>TXN-11023</t>
  </si>
  <si>
    <t>TXN-11024</t>
  </si>
  <si>
    <t>TXN-11025</t>
  </si>
  <si>
    <t>TXN-11026</t>
  </si>
  <si>
    <t>TXN-11027</t>
  </si>
  <si>
    <t>TXN-11028</t>
  </si>
  <si>
    <t>TXN-11029</t>
  </si>
  <si>
    <t>TXN-11030</t>
  </si>
  <si>
    <t>TXN-11031</t>
  </si>
  <si>
    <t>TXN-11032</t>
  </si>
  <si>
    <t>TXN-11033</t>
  </si>
  <si>
    <t>TXN-11034</t>
  </si>
  <si>
    <t>TXN-11035</t>
  </si>
  <si>
    <t>TXN-11036</t>
  </si>
  <si>
    <t>TXN-11037</t>
  </si>
  <si>
    <t>TXN-11038</t>
  </si>
  <si>
    <t>TXN-11039</t>
  </si>
  <si>
    <t>TXN-11040</t>
  </si>
  <si>
    <t>TXN-11041</t>
  </si>
  <si>
    <t>TXN-11042</t>
  </si>
  <si>
    <t>TXN-11043</t>
  </si>
  <si>
    <t>TXN-11044</t>
  </si>
  <si>
    <t>TXN-11045</t>
  </si>
  <si>
    <t>TXN-11046</t>
  </si>
  <si>
    <t>TXN-11047</t>
  </si>
  <si>
    <t>TXN-11048</t>
  </si>
  <si>
    <t>TXN-11049</t>
  </si>
  <si>
    <t>TXN-11050</t>
  </si>
  <si>
    <t>TXN-11051</t>
  </si>
  <si>
    <t>CON-3911</t>
  </si>
  <si>
    <t>TXN-11052</t>
  </si>
  <si>
    <t>TXN-11053</t>
  </si>
  <si>
    <t>TXN-11054</t>
  </si>
  <si>
    <t>TXN-11055</t>
  </si>
  <si>
    <t>TXN-11056</t>
  </si>
  <si>
    <t>TXN-11057</t>
  </si>
  <si>
    <t>TXN-11058</t>
  </si>
  <si>
    <t>TXN-11059</t>
  </si>
  <si>
    <t>TXN-11060</t>
  </si>
  <si>
    <t>TXN-11061</t>
  </si>
  <si>
    <t>TXN-11062</t>
  </si>
  <si>
    <t>CON-5931</t>
  </si>
  <si>
    <t>TXN-11063</t>
  </si>
  <si>
    <t>TXN-11064</t>
  </si>
  <si>
    <t>TXN-11065</t>
  </si>
  <si>
    <t>TXN-11066</t>
  </si>
  <si>
    <t>TXN-11067</t>
  </si>
  <si>
    <t>TXN-11068</t>
  </si>
  <si>
    <t>CON-1512</t>
  </si>
  <si>
    <t>TXN-11069</t>
  </si>
  <si>
    <t>TXN-11070</t>
  </si>
  <si>
    <t>TXN-11071</t>
  </si>
  <si>
    <t>TXN-11072</t>
  </si>
  <si>
    <t>TXN-11073</t>
  </si>
  <si>
    <t>TXN-11074</t>
  </si>
  <si>
    <t>TXN-11075</t>
  </si>
  <si>
    <t>TXN-11076</t>
  </si>
  <si>
    <t>TXN-11077</t>
  </si>
  <si>
    <t>TXN-11078</t>
  </si>
  <si>
    <t>TXN-11079</t>
  </si>
  <si>
    <t>TXN-11080</t>
  </si>
  <si>
    <t>TXN-11081</t>
  </si>
  <si>
    <t>TXN-11082</t>
  </si>
  <si>
    <t>TXN-11083</t>
  </si>
  <si>
    <t>TXN-11084</t>
  </si>
  <si>
    <t>TXN-11085</t>
  </si>
  <si>
    <t>TXN-11086</t>
  </si>
  <si>
    <t>TXN-11087</t>
  </si>
  <si>
    <t>TXN-11088</t>
  </si>
  <si>
    <t>TXN-11089</t>
  </si>
  <si>
    <t>TXN-11090</t>
  </si>
  <si>
    <t>TXN-11091</t>
  </si>
  <si>
    <t>TXN-11092</t>
  </si>
  <si>
    <t>TXN-11093</t>
  </si>
  <si>
    <t>TXN-11094</t>
  </si>
  <si>
    <t>TXN-11095</t>
  </si>
  <si>
    <t>TXN-11096</t>
  </si>
  <si>
    <t>TXN-11097</t>
  </si>
  <si>
    <t>TXN-11098</t>
  </si>
  <si>
    <t>TXN-11099</t>
  </si>
  <si>
    <t>TXN-11100</t>
  </si>
  <si>
    <t>CON-5642</t>
  </si>
  <si>
    <t>TXN-11101</t>
  </si>
  <si>
    <t>TXN-11102</t>
  </si>
  <si>
    <t>TXN-11103</t>
  </si>
  <si>
    <t>TXN-11104</t>
  </si>
  <si>
    <t>TXN-11105</t>
  </si>
  <si>
    <t>TXN-11106</t>
  </si>
  <si>
    <t>TXN-11107</t>
  </si>
  <si>
    <t>TXN-11108</t>
  </si>
  <si>
    <t>TXN-11109</t>
  </si>
  <si>
    <t>TXN-11110</t>
  </si>
  <si>
    <t>CON-7944</t>
  </si>
  <si>
    <t>TXN-11111</t>
  </si>
  <si>
    <t>TXN-11112</t>
  </si>
  <si>
    <t>CON-8777</t>
  </si>
  <si>
    <t>TXN-11113</t>
  </si>
  <si>
    <t>TXN-11114</t>
  </si>
  <si>
    <t>TXN-11115</t>
  </si>
  <si>
    <t>TXN-11116</t>
  </si>
  <si>
    <t>TXN-11117</t>
  </si>
  <si>
    <t>TXN-11118</t>
  </si>
  <si>
    <t>TXN-11119</t>
  </si>
  <si>
    <t>TXN-11120</t>
  </si>
  <si>
    <t>TXN-11121</t>
  </si>
  <si>
    <t>TXN-11122</t>
  </si>
  <si>
    <t>TXN-11123</t>
  </si>
  <si>
    <t>TXN-11124</t>
  </si>
  <si>
    <t>TXN-11125</t>
  </si>
  <si>
    <t>TXN-11126</t>
  </si>
  <si>
    <t>TXN-11127</t>
  </si>
  <si>
    <t>TXN-11128</t>
  </si>
  <si>
    <t>TXN-11129</t>
  </si>
  <si>
    <t>TXN-11130</t>
  </si>
  <si>
    <t>TXN-11131</t>
  </si>
  <si>
    <t>TXN-11132</t>
  </si>
  <si>
    <t>TXN-11133</t>
  </si>
  <si>
    <t>TXN-11134</t>
  </si>
  <si>
    <t>TXN-11135</t>
  </si>
  <si>
    <t>TXN-11136</t>
  </si>
  <si>
    <t>TXN-11137</t>
  </si>
  <si>
    <t>TXN-11138</t>
  </si>
  <si>
    <t>TXN-11139</t>
  </si>
  <si>
    <t>TXN-11140</t>
  </si>
  <si>
    <t>TXN-11141</t>
  </si>
  <si>
    <t>TXN-11142</t>
  </si>
  <si>
    <t>TXN-11143</t>
  </si>
  <si>
    <t>TXN-11144</t>
  </si>
  <si>
    <t>TXN-11145</t>
  </si>
  <si>
    <t>TXN-11146</t>
  </si>
  <si>
    <t>TXN-11147</t>
  </si>
  <si>
    <t>TXN-11148</t>
  </si>
  <si>
    <t>TXN-11149</t>
  </si>
  <si>
    <t>TXN-11150</t>
  </si>
  <si>
    <t>TXN-11151</t>
  </si>
  <si>
    <t>TXN-11152</t>
  </si>
  <si>
    <t>TXN-11153</t>
  </si>
  <si>
    <t>TXN-11154</t>
  </si>
  <si>
    <t>TXN-11155</t>
  </si>
  <si>
    <t>TXN-11156</t>
  </si>
  <si>
    <t>TXN-11157</t>
  </si>
  <si>
    <t>TXN-11158</t>
  </si>
  <si>
    <t>TXN-11159</t>
  </si>
  <si>
    <t>TXN-11160</t>
  </si>
  <si>
    <t>TXN-11161</t>
  </si>
  <si>
    <t>TXN-11162</t>
  </si>
  <si>
    <t>TXN-11163</t>
  </si>
  <si>
    <t>TXN-11164</t>
  </si>
  <si>
    <t>TXN-11165</t>
  </si>
  <si>
    <t>TXN-11166</t>
  </si>
  <si>
    <t>TXN-11167</t>
  </si>
  <si>
    <t>TXN-11168</t>
  </si>
  <si>
    <t>TXN-11169</t>
  </si>
  <si>
    <t>CON-3869</t>
  </si>
  <si>
    <t>TXN-11170</t>
  </si>
  <si>
    <t>TXN-11171</t>
  </si>
  <si>
    <t>TXN-11172</t>
  </si>
  <si>
    <t>TXN-11173</t>
  </si>
  <si>
    <t>TXN-11174</t>
  </si>
  <si>
    <t>TXN-11175</t>
  </si>
  <si>
    <t>TXN-11176</t>
  </si>
  <si>
    <t>TXN-11177</t>
  </si>
  <si>
    <t>TXN-11178</t>
  </si>
  <si>
    <t>TXN-11179</t>
  </si>
  <si>
    <t>TXN-11180</t>
  </si>
  <si>
    <t>TXN-11181</t>
  </si>
  <si>
    <t>TXN-11182</t>
  </si>
  <si>
    <t>TXN-11183</t>
  </si>
  <si>
    <t>TXN-11184</t>
  </si>
  <si>
    <t>TXN-11185</t>
  </si>
  <si>
    <t>TXN-11186</t>
  </si>
  <si>
    <t>TXN-11187</t>
  </si>
  <si>
    <t>TXN-11188</t>
  </si>
  <si>
    <t>TXN-11189</t>
  </si>
  <si>
    <t>TXN-11190</t>
  </si>
  <si>
    <t>TXN-11191</t>
  </si>
  <si>
    <t>TXN-11192</t>
  </si>
  <si>
    <t>TXN-11193</t>
  </si>
  <si>
    <t>TXN-11194</t>
  </si>
  <si>
    <t>TXN-11195</t>
  </si>
  <si>
    <t>TXN-11196</t>
  </si>
  <si>
    <t>TXN-11197</t>
  </si>
  <si>
    <t>TXN-11198</t>
  </si>
  <si>
    <t>TXN-11199</t>
  </si>
  <si>
    <t>Fiscal_Year</t>
  </si>
  <si>
    <t>Gave_FY25</t>
  </si>
  <si>
    <t>Gave_FY26</t>
  </si>
  <si>
    <t>Gave_FY24</t>
  </si>
  <si>
    <t>Donor_Status</t>
  </si>
  <si>
    <t>Total Cash Raised (Hard Credits)</t>
  </si>
  <si>
    <t>Total Soft Credit Volume</t>
  </si>
  <si>
    <t>FY25 Active Donors</t>
  </si>
  <si>
    <t>FY26 Retained Donors</t>
  </si>
  <si>
    <t>YoY Donor Retention Rate (%)</t>
  </si>
  <si>
    <t>LYBUNT Lapsed Donors (Pipeline Risk)</t>
  </si>
  <si>
    <t>Higher Education Advancement &amp; Donor Retention Analysis</t>
  </si>
  <si>
    <t>KPIs</t>
  </si>
  <si>
    <t>Grand Total</t>
  </si>
  <si>
    <t>Column Labels</t>
  </si>
  <si>
    <t>Sum of Gift_Amount</t>
  </si>
  <si>
    <t>Count of Constituent_ID</t>
  </si>
  <si>
    <t xml:space="preserve">                                                                     </t>
  </si>
  <si>
    <t>Insights</t>
  </si>
  <si>
    <t>SYBUNT Lapsed Donors (Multi year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</si>
</sst>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rial Unicode MS"/>
      <family val="2"/>
    </font>
    <font>
      <b/>
      <sz val="16"/>
      <color theme="0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164" fontId="0" fillId="34" borderId="0" xfId="0" applyNumberFormat="1" applyFill="1"/>
    <xf numFmtId="0" fontId="0" fillId="34" borderId="10" xfId="0" applyFill="1" applyBorder="1"/>
    <xf numFmtId="164" fontId="0" fillId="34" borderId="10" xfId="0" applyNumberFormat="1" applyFill="1" applyBorder="1"/>
    <xf numFmtId="1" fontId="0" fillId="34" borderId="10" xfId="0" applyNumberFormat="1" applyFill="1" applyBorder="1"/>
    <xf numFmtId="9" fontId="0" fillId="34" borderId="10" xfId="1" applyFont="1" applyFill="1" applyBorder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fill>
        <patternFill patternType="solid">
          <fgColor indexed="64"/>
          <bgColor theme="0" tint="-0.2499465926084170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 tint="-0.2499465926084170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advancement_raw_gifts_3yr.xlsx]Executive_KPIs!PivotTable2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Gift Volume by College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5400000" spcFirstLastPara="1" vertOverflow="overflow" horzOverflow="overflow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>
                      <a:schemeClr val="accent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Executive_KPIs!$B$12:$B$13</c:f>
              <c:strCache>
                <c:ptCount val="1"/>
                <c:pt idx="0">
                  <c:v>Hard Credit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>
                      <a:glow>
                        <a:schemeClr val="accent1"/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Executive_KPIs!$A$14:$A$19</c:f>
              <c:strCache>
                <c:ptCount val="5"/>
                <c:pt idx="0">
                  <c:v>Business</c:v>
                </c:pt>
                <c:pt idx="1">
                  <c:v>Engineering &amp; Computer Science</c:v>
                </c:pt>
                <c:pt idx="2">
                  <c:v>Health Sciences</c:v>
                </c:pt>
                <c:pt idx="3">
                  <c:v>Humanities &amp; Fine Arts</c:v>
                </c:pt>
                <c:pt idx="4">
                  <c:v>Law</c:v>
                </c:pt>
              </c:strCache>
            </c:strRef>
          </c:cat>
          <c:val>
            <c:numRef>
              <c:f>Executive_KPIs!$B$14:$B$19</c:f>
              <c:numCache>
                <c:formatCode>General</c:formatCode>
                <c:ptCount val="5"/>
                <c:pt idx="0">
                  <c:v>75021.660000000018</c:v>
                </c:pt>
                <c:pt idx="1">
                  <c:v>71939.940000000046</c:v>
                </c:pt>
                <c:pt idx="2">
                  <c:v>69704.030000000057</c:v>
                </c:pt>
                <c:pt idx="3">
                  <c:v>46531.119999999981</c:v>
                </c:pt>
                <c:pt idx="4">
                  <c:v>24065.869999999988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8-F44F-AFF9-FC3879FA7560}"/>
            </c:ext>
          </c:extLst>
        </c:ser>
        <c:ser>
          <c:idx val="1"/>
          <c:order val="1"/>
          <c:tx>
            <c:strRef>
              <c:f>Executive_KPIs!$C$12:$C$13</c:f>
              <c:strCache>
                <c:ptCount val="1"/>
                <c:pt idx="0">
                  <c:v>Soft Credit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Ref>
              <c:f>Executive_KPIs!$A$14:$A$19</c:f>
              <c:strCache>
                <c:ptCount val="5"/>
                <c:pt idx="0">
                  <c:v>Business</c:v>
                </c:pt>
                <c:pt idx="1">
                  <c:v>Engineering &amp; Computer Science</c:v>
                </c:pt>
                <c:pt idx="2">
                  <c:v>Health Sciences</c:v>
                </c:pt>
                <c:pt idx="3">
                  <c:v>Humanities &amp; Fine Arts</c:v>
                </c:pt>
                <c:pt idx="4">
                  <c:v>Law</c:v>
                </c:pt>
              </c:strCache>
            </c:strRef>
          </c:cat>
          <c:val>
            <c:numRef>
              <c:f>Executive_KPIs!$C$14:$C$19</c:f>
              <c:numCache>
                <c:formatCode>General</c:formatCode>
                <c:ptCount val="5"/>
                <c:pt idx="0">
                  <c:v>30084.700000000012</c:v>
                </c:pt>
                <c:pt idx="1">
                  <c:v>20584.03</c:v>
                </c:pt>
                <c:pt idx="2">
                  <c:v>7856.15</c:v>
                </c:pt>
                <c:pt idx="3">
                  <c:v>8525.6799999999985</c:v>
                </c:pt>
                <c:pt idx="4">
                  <c:v>3979.85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8-F44F-AFF9-FC3879FA7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6"/>
        <c:overlap val="100"/>
        <c:axId val="2115637184"/>
        <c:axId val="2115645696"/>
      </c:barChart>
      <c:catAx>
        <c:axId val="211563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45696"/>
        <c:crosses val="autoZero"/>
        <c:auto val="1"/>
        <c:lblAlgn val="ctr"/>
        <c:lblOffset val="100"/>
        <c:noMultiLvlLbl val="0"/>
      </c:catAx>
      <c:valAx>
        <c:axId val="2115645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advancement_raw_gifts_3yr.xlsx]Executive_KPIs!PivotTable3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</a:ln>
                <a:solidFill>
                  <a:sysClr val="windowText" lastClr="000000"/>
                </a:solidFill>
              </a:rPr>
              <a:t>Total Gift Dollars Raised by Campaign Initiative 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Executive_KPIs!$B$24</c:f>
              <c:strCache>
                <c:ptCount val="1"/>
                <c:pt idx="0">
                  <c:v>Sum of Gift_Amount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Executive_KPIs!$A$25:$A$30</c:f>
              <c:strCache>
                <c:ptCount val="5"/>
                <c:pt idx="0">
                  <c:v>Medical Research</c:v>
                </c:pt>
                <c:pt idx="1">
                  <c:v>Athletics Excellence</c:v>
                </c:pt>
                <c:pt idx="2">
                  <c:v>Student Emergency Scholarships</c:v>
                </c:pt>
                <c:pt idx="3">
                  <c:v>STEM Innovation Lab</c:v>
                </c:pt>
                <c:pt idx="4">
                  <c:v>Annual Alumni Fund</c:v>
                </c:pt>
              </c:strCache>
            </c:strRef>
          </c:cat>
          <c:val>
            <c:numRef>
              <c:f>Executive_KPIs!$B$25:$B$30</c:f>
              <c:numCache>
                <c:formatCode>General</c:formatCode>
                <c:ptCount val="5"/>
                <c:pt idx="0">
                  <c:v>32550.310000000005</c:v>
                </c:pt>
                <c:pt idx="1">
                  <c:v>47127.670000000006</c:v>
                </c:pt>
                <c:pt idx="2">
                  <c:v>75322.49000000002</c:v>
                </c:pt>
                <c:pt idx="3">
                  <c:v>80753.199999999968</c:v>
                </c:pt>
                <c:pt idx="4">
                  <c:v>122539.36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C-6F4B-80D0-BF7A08A55C5A}"/>
            </c:ext>
          </c:extLst>
        </c:ser>
        <c:ser>
          <c:idx val="1"/>
          <c:order val="1"/>
          <c:tx>
            <c:strRef>
              <c:f>Executive_KPIs!$C$24</c:f>
              <c:strCache>
                <c:ptCount val="1"/>
                <c:pt idx="0">
                  <c:v>Count of Constituent_ID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Executive_KPIs!$A$25:$A$30</c:f>
              <c:strCache>
                <c:ptCount val="5"/>
                <c:pt idx="0">
                  <c:v>Medical Research</c:v>
                </c:pt>
                <c:pt idx="1">
                  <c:v>Athletics Excellence</c:v>
                </c:pt>
                <c:pt idx="2">
                  <c:v>Student Emergency Scholarships</c:v>
                </c:pt>
                <c:pt idx="3">
                  <c:v>STEM Innovation Lab</c:v>
                </c:pt>
                <c:pt idx="4">
                  <c:v>Annual Alumni Fund</c:v>
                </c:pt>
              </c:strCache>
            </c:strRef>
          </c:cat>
          <c:val>
            <c:numRef>
              <c:f>Executive_KPIs!$C$25:$C$30</c:f>
              <c:numCache>
                <c:formatCode>General</c:formatCode>
                <c:ptCount val="5"/>
                <c:pt idx="0">
                  <c:v>120</c:v>
                </c:pt>
                <c:pt idx="1">
                  <c:v>144</c:v>
                </c:pt>
                <c:pt idx="2">
                  <c:v>250</c:v>
                </c:pt>
                <c:pt idx="3">
                  <c:v>271</c:v>
                </c:pt>
                <c:pt idx="4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C-6F4B-80D0-BF7A08A55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axId val="2108368064"/>
        <c:axId val="2099221760"/>
      </c:barChart>
      <c:catAx>
        <c:axId val="210836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21760"/>
        <c:crosses val="autoZero"/>
        <c:auto val="1"/>
        <c:lblAlgn val="ctr"/>
        <c:lblOffset val="100"/>
        <c:noMultiLvlLbl val="0"/>
      </c:catAx>
      <c:valAx>
        <c:axId val="20992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3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7</xdr:row>
      <xdr:rowOff>19050</xdr:rowOff>
    </xdr:from>
    <xdr:to>
      <xdr:col>10</xdr:col>
      <xdr:colOff>495300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D4750-A92E-264C-8C32-408D7AFD5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812800</xdr:colOff>
      <xdr:row>23</xdr:row>
      <xdr:rowOff>6350</xdr:rowOff>
    </xdr:from>
    <xdr:to>
      <xdr:col>10</xdr:col>
      <xdr:colOff>568960</xdr:colOff>
      <xdr:row>36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CB8C8-5494-23C7-49F5-94BFBAED3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olade Folashade" refreshedDate="46280.390152777778" createdVersion="8" refreshedVersion="8" minRefreshableVersion="3" recordCount="1200" xr:uid="{7826E54C-BA65-944A-8BB9-5A9B54D185E7}">
  <cacheSource type="worksheet">
    <worksheetSource name="GiftData"/>
  </cacheSource>
  <cacheFields count="14">
    <cacheField name="Transaction_ID" numFmtId="0">
      <sharedItems/>
    </cacheField>
    <cacheField name="Constituent_ID" numFmtId="0">
      <sharedItems/>
    </cacheField>
    <cacheField name="College" numFmtId="0">
      <sharedItems count="5">
        <s v="Engineering &amp; Computer Science"/>
        <s v="Business"/>
        <s v="Health Sciences"/>
        <s v="Humanities &amp; Fine Arts"/>
        <s v="Law"/>
      </sharedItems>
    </cacheField>
    <cacheField name="Gift_Date" numFmtId="14">
      <sharedItems containsSemiMixedTypes="0" containsNonDate="0" containsDate="1" containsString="0" minDate="2023-07-01T00:00:00" maxDate="2026-05-16T00:00:00"/>
    </cacheField>
    <cacheField name="Gift_Amount" numFmtId="0">
      <sharedItems containsSemiMixedTypes="0" containsString="0" containsNumber="1" minValue="15" maxValue="11437.37"/>
    </cacheField>
    <cacheField name="Gift_Type" numFmtId="0">
      <sharedItems/>
    </cacheField>
    <cacheField name="Credit_Type" numFmtId="0">
      <sharedItems count="2">
        <s v="Hard Credit"/>
        <s v="Soft Credit"/>
      </sharedItems>
    </cacheField>
    <cacheField name="Campaign" numFmtId="0">
      <sharedItems count="5">
        <s v="STEM Innovation Lab"/>
        <s v="Annual Alumni Fund"/>
        <s v="Student Emergency Scholarships"/>
        <s v="Athletics Excellence"/>
        <s v="Medical Research"/>
      </sharedItems>
    </cacheField>
    <cacheField name="Payment_Method" numFmtId="0">
      <sharedItems/>
    </cacheField>
    <cacheField name="Fiscal_Year" numFmtId="0">
      <sharedItems/>
    </cacheField>
    <cacheField name="Gave_FY24" numFmtId="0">
      <sharedItems containsSemiMixedTypes="0" containsString="0" containsNumber="1" containsInteger="1" minValue="0" maxValue="1"/>
    </cacheField>
    <cacheField name="Gave_FY25" numFmtId="0">
      <sharedItems containsSemiMixedTypes="0" containsString="0" containsNumber="1" containsInteger="1" minValue="0" maxValue="1"/>
    </cacheField>
    <cacheField name="Gave_FY26" numFmtId="0">
      <sharedItems containsSemiMixedTypes="0" containsString="0" containsNumber="1" containsInteger="1" minValue="0" maxValue="1"/>
    </cacheField>
    <cacheField name="Dono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TXN-10000"/>
    <s v="CON-5413"/>
    <x v="0"/>
    <d v="2026-02-06T00:00:00"/>
    <n v="109.86"/>
    <s v="Outright Gift"/>
    <x v="0"/>
    <x v="0"/>
    <s v="Credit Card"/>
    <s v="FY26"/>
    <n v="0"/>
    <n v="1"/>
    <n v="1"/>
    <s v="Retained/Active"/>
  </r>
  <r>
    <s v="TXN-10001"/>
    <s v="CON-8215"/>
    <x v="1"/>
    <d v="2025-03-26T00:00:00"/>
    <n v="277.25"/>
    <s v="Estate/Planned Gift"/>
    <x v="0"/>
    <x v="1"/>
    <s v="Credit Card"/>
    <s v="FY25"/>
    <n v="1"/>
    <n v="1"/>
    <n v="0"/>
    <s v="LYBUNT (Lapsed 1 Yr)"/>
  </r>
  <r>
    <s v="TXN-10002"/>
    <s v="CON-7893"/>
    <x v="1"/>
    <d v="2026-03-14T00:00:00"/>
    <n v="258.24"/>
    <s v="Outright Gift"/>
    <x v="0"/>
    <x v="0"/>
    <s v="Credit Card"/>
    <s v="FY26"/>
    <n v="1"/>
    <n v="1"/>
    <n v="1"/>
    <s v="Retained/Active"/>
  </r>
  <r>
    <s v="TXN-10003"/>
    <s v="CON-7655"/>
    <x v="1"/>
    <d v="2026-01-06T00:00:00"/>
    <n v="577.99"/>
    <s v="Pledge Payment"/>
    <x v="0"/>
    <x v="1"/>
    <s v="Credit Card"/>
    <s v="FY26"/>
    <n v="0"/>
    <n v="0"/>
    <n v="1"/>
    <s v="Retained/Active"/>
  </r>
  <r>
    <s v="TXN-10004"/>
    <s v="CON-6191"/>
    <x v="2"/>
    <d v="2025-07-07T00:00:00"/>
    <n v="42.31"/>
    <s v="Pledge Payment"/>
    <x v="1"/>
    <x v="1"/>
    <s v="Stock Transfer"/>
    <s v="FY26"/>
    <n v="1"/>
    <n v="1"/>
    <n v="1"/>
    <s v="Retained/Active"/>
  </r>
  <r>
    <s v="TXN-10005"/>
    <s v="CON-6051"/>
    <x v="1"/>
    <d v="2023-12-17T00:00:00"/>
    <n v="201.41"/>
    <s v="Pledge Payment"/>
    <x v="0"/>
    <x v="1"/>
    <s v="Credit Card"/>
    <s v="FY24"/>
    <n v="1"/>
    <n v="0"/>
    <n v="1"/>
    <s v="Retained/Active"/>
  </r>
  <r>
    <s v="TXN-10006"/>
    <s v="CON-1606"/>
    <x v="3"/>
    <d v="2024-12-02T00:00:00"/>
    <n v="312.77999999999997"/>
    <s v="Outright Gift"/>
    <x v="1"/>
    <x v="0"/>
    <s v="Credit Card"/>
    <s v="FY25"/>
    <n v="0"/>
    <n v="1"/>
    <n v="0"/>
    <s v="LYBUNT (Lapsed 1 Yr)"/>
  </r>
  <r>
    <s v="TXN-10007"/>
    <s v="CON-7293"/>
    <x v="0"/>
    <d v="2023-08-09T00:00:00"/>
    <n v="50.58"/>
    <s v="Outright Gift"/>
    <x v="0"/>
    <x v="1"/>
    <s v="EFT/ACH"/>
    <s v="FY24"/>
    <n v="1"/>
    <n v="0"/>
    <n v="0"/>
    <s v="SYBUNT (Lapsed Multi-Yr)"/>
  </r>
  <r>
    <s v="TXN-10008"/>
    <s v="CON-5911"/>
    <x v="2"/>
    <d v="2026-02-09T00:00:00"/>
    <n v="92.77"/>
    <s v="Outright Gift"/>
    <x v="0"/>
    <x v="2"/>
    <s v="Credit Card"/>
    <s v="FY26"/>
    <n v="0"/>
    <n v="1"/>
    <n v="1"/>
    <s v="Retained/Active"/>
  </r>
  <r>
    <s v="TXN-10009"/>
    <s v="CON-2693"/>
    <x v="0"/>
    <d v="2026-03-10T00:00:00"/>
    <n v="15"/>
    <s v="Outright Gift"/>
    <x v="0"/>
    <x v="2"/>
    <s v="Credit Card"/>
    <s v="FY26"/>
    <n v="1"/>
    <n v="0"/>
    <n v="1"/>
    <s v="Retained/Active"/>
  </r>
  <r>
    <s v="TXN-10010"/>
    <s v="CON-5249"/>
    <x v="2"/>
    <d v="2026-03-01T00:00:00"/>
    <n v="395.01"/>
    <s v="Outright Gift"/>
    <x v="0"/>
    <x v="0"/>
    <s v="Credit Card"/>
    <s v="FY26"/>
    <n v="1"/>
    <n v="0"/>
    <n v="1"/>
    <s v="Retained/Active"/>
  </r>
  <r>
    <s v="TXN-10011"/>
    <s v="CON-8554"/>
    <x v="4"/>
    <d v="2023-08-07T00:00:00"/>
    <n v="91.82"/>
    <s v="Outright Gift"/>
    <x v="0"/>
    <x v="2"/>
    <s v="Credit Card"/>
    <s v="FY24"/>
    <n v="1"/>
    <n v="1"/>
    <n v="1"/>
    <s v="Retained/Active"/>
  </r>
  <r>
    <s v="TXN-10012"/>
    <s v="CON-4854"/>
    <x v="1"/>
    <d v="2024-05-23T00:00:00"/>
    <n v="346.73"/>
    <s v="Outright Gift"/>
    <x v="0"/>
    <x v="3"/>
    <s v="Credit Card"/>
    <s v="FY24"/>
    <n v="1"/>
    <n v="1"/>
    <n v="0"/>
    <s v="LYBUNT (Lapsed 1 Yr)"/>
  </r>
  <r>
    <s v="TXN-10013"/>
    <s v="CON-2495"/>
    <x v="0"/>
    <d v="2025-12-30T00:00:00"/>
    <n v="158.83000000000001"/>
    <s v="Outright Gift"/>
    <x v="0"/>
    <x v="0"/>
    <s v="Credit Card"/>
    <s v="FY26"/>
    <n v="1"/>
    <n v="1"/>
    <n v="1"/>
    <s v="Retained/Active"/>
  </r>
  <r>
    <s v="TXN-10014"/>
    <s v="CON-6881"/>
    <x v="3"/>
    <d v="2024-09-26T00:00:00"/>
    <n v="95.52"/>
    <s v="Pledge Payment"/>
    <x v="0"/>
    <x v="2"/>
    <s v="Check"/>
    <s v="FY25"/>
    <n v="1"/>
    <n v="1"/>
    <n v="1"/>
    <s v="Retained/Active"/>
  </r>
  <r>
    <s v="TXN-10015"/>
    <s v="CON-1202"/>
    <x v="1"/>
    <d v="2023-08-06T00:00:00"/>
    <n v="15.32"/>
    <s v="Recurring Gift"/>
    <x v="0"/>
    <x v="1"/>
    <s v="Credit Card"/>
    <s v="FY24"/>
    <n v="1"/>
    <n v="1"/>
    <n v="0"/>
    <s v="LYBUNT (Lapsed 1 Yr)"/>
  </r>
  <r>
    <s v="TXN-10016"/>
    <s v="CON-4696"/>
    <x v="1"/>
    <d v="2026-02-27T00:00:00"/>
    <n v="19.309999999999999"/>
    <s v="Recurring Gift"/>
    <x v="0"/>
    <x v="3"/>
    <s v="EFT/ACH"/>
    <s v="FY26"/>
    <n v="0"/>
    <n v="0"/>
    <n v="1"/>
    <s v="Retained/Active"/>
  </r>
  <r>
    <s v="TXN-10017"/>
    <s v="CON-1580"/>
    <x v="0"/>
    <d v="2025-09-03T00:00:00"/>
    <n v="15"/>
    <s v="Outright Gift"/>
    <x v="0"/>
    <x v="1"/>
    <s v="EFT/ACH"/>
    <s v="FY26"/>
    <n v="0"/>
    <n v="1"/>
    <n v="1"/>
    <s v="Retained/Active"/>
  </r>
  <r>
    <s v="TXN-10018"/>
    <s v="CON-2267"/>
    <x v="1"/>
    <d v="2026-02-27T00:00:00"/>
    <n v="58.48"/>
    <s v="Pledge Payment"/>
    <x v="0"/>
    <x v="1"/>
    <s v="Credit Card"/>
    <s v="FY26"/>
    <n v="0"/>
    <n v="0"/>
    <n v="1"/>
    <s v="Retained/Active"/>
  </r>
  <r>
    <s v="TXN-10019"/>
    <s v="CON-5218"/>
    <x v="2"/>
    <d v="2025-02-12T00:00:00"/>
    <n v="2348.9499999999998"/>
    <s v="Recurring Gift"/>
    <x v="0"/>
    <x v="2"/>
    <s v="Credit Card"/>
    <s v="FY25"/>
    <n v="0"/>
    <n v="1"/>
    <n v="0"/>
    <s v="LYBUNT (Lapsed 1 Yr)"/>
  </r>
  <r>
    <s v="TXN-10020"/>
    <s v="CON-6056"/>
    <x v="1"/>
    <d v="2024-02-09T00:00:00"/>
    <n v="22.78"/>
    <s v="Outright Gift"/>
    <x v="0"/>
    <x v="1"/>
    <s v="Credit Card"/>
    <s v="FY24"/>
    <n v="1"/>
    <n v="0"/>
    <n v="1"/>
    <s v="Retained/Active"/>
  </r>
  <r>
    <s v="TXN-10021"/>
    <s v="CON-8683"/>
    <x v="3"/>
    <d v="2024-05-13T00:00:00"/>
    <n v="15"/>
    <s v="Outright Gift"/>
    <x v="0"/>
    <x v="1"/>
    <s v="EFT/ACH"/>
    <s v="FY24"/>
    <n v="1"/>
    <n v="1"/>
    <n v="1"/>
    <s v="Retained/Active"/>
  </r>
  <r>
    <s v="TXN-10022"/>
    <s v="CON-5780"/>
    <x v="3"/>
    <d v="2024-06-13T00:00:00"/>
    <n v="424.74"/>
    <s v="Recurring Gift"/>
    <x v="1"/>
    <x v="0"/>
    <s v="EFT/ACH"/>
    <s v="FY24"/>
    <n v="1"/>
    <n v="0"/>
    <n v="1"/>
    <s v="Retained/Active"/>
  </r>
  <r>
    <s v="TXN-10023"/>
    <s v="CON-7439"/>
    <x v="2"/>
    <d v="2023-10-23T00:00:00"/>
    <n v="2624.99"/>
    <s v="Outright Gift"/>
    <x v="0"/>
    <x v="0"/>
    <s v="EFT/ACH"/>
    <s v="FY24"/>
    <n v="1"/>
    <n v="1"/>
    <n v="1"/>
    <s v="Retained/Active"/>
  </r>
  <r>
    <s v="TXN-10024"/>
    <s v="CON-6855"/>
    <x v="2"/>
    <d v="2025-05-28T00:00:00"/>
    <n v="178.98"/>
    <s v="Outright Gift"/>
    <x v="0"/>
    <x v="2"/>
    <s v="Credit Card"/>
    <s v="FY25"/>
    <n v="1"/>
    <n v="1"/>
    <n v="1"/>
    <s v="Retained/Active"/>
  </r>
  <r>
    <s v="TXN-10025"/>
    <s v="CON-6919"/>
    <x v="3"/>
    <d v="2023-08-09T00:00:00"/>
    <n v="176.86"/>
    <s v="Outright Gift"/>
    <x v="0"/>
    <x v="3"/>
    <s v="Check"/>
    <s v="FY24"/>
    <n v="1"/>
    <n v="1"/>
    <n v="1"/>
    <s v="Retained/Active"/>
  </r>
  <r>
    <s v="TXN-10026"/>
    <s v="CON-8041"/>
    <x v="1"/>
    <d v="2024-02-01T00:00:00"/>
    <n v="81.22"/>
    <s v="Outright Gift"/>
    <x v="1"/>
    <x v="1"/>
    <s v="Credit Card"/>
    <s v="FY24"/>
    <n v="1"/>
    <n v="1"/>
    <n v="0"/>
    <s v="LYBUNT (Lapsed 1 Yr)"/>
  </r>
  <r>
    <s v="TXN-10027"/>
    <s v="CON-7235"/>
    <x v="3"/>
    <d v="2024-05-31T00:00:00"/>
    <n v="15"/>
    <s v="Recurring Gift"/>
    <x v="0"/>
    <x v="1"/>
    <s v="Credit Card"/>
    <s v="FY24"/>
    <n v="1"/>
    <n v="1"/>
    <n v="0"/>
    <s v="LYBUNT (Lapsed 1 Yr)"/>
  </r>
  <r>
    <s v="TXN-10028"/>
    <s v="CON-1980"/>
    <x v="3"/>
    <d v="2023-09-30T00:00:00"/>
    <n v="18.43"/>
    <s v="Pledge Payment"/>
    <x v="1"/>
    <x v="2"/>
    <s v="Credit Card"/>
    <s v="FY24"/>
    <n v="1"/>
    <n v="1"/>
    <n v="1"/>
    <s v="Retained/Active"/>
  </r>
  <r>
    <s v="TXN-10029"/>
    <s v="CON-7665"/>
    <x v="2"/>
    <d v="2024-06-17T00:00:00"/>
    <n v="80.5"/>
    <s v="Outright Gift"/>
    <x v="0"/>
    <x v="1"/>
    <s v="Credit Card"/>
    <s v="FY24"/>
    <n v="1"/>
    <n v="1"/>
    <n v="0"/>
    <s v="LYBUNT (Lapsed 1 Yr)"/>
  </r>
  <r>
    <s v="TXN-10030"/>
    <s v="CON-1769"/>
    <x v="2"/>
    <d v="2025-01-21T00:00:00"/>
    <n v="62.74"/>
    <s v="Outright Gift"/>
    <x v="0"/>
    <x v="2"/>
    <s v="Credit Card"/>
    <s v="FY25"/>
    <n v="1"/>
    <n v="1"/>
    <n v="0"/>
    <s v="LYBUNT (Lapsed 1 Yr)"/>
  </r>
  <r>
    <s v="TXN-10031"/>
    <s v="CON-4104"/>
    <x v="1"/>
    <d v="2025-09-23T00:00:00"/>
    <n v="104.61"/>
    <s v="Outright Gift"/>
    <x v="1"/>
    <x v="1"/>
    <s v="EFT/ACH"/>
    <s v="FY26"/>
    <n v="0"/>
    <n v="1"/>
    <n v="1"/>
    <s v="Retained/Active"/>
  </r>
  <r>
    <s v="TXN-10032"/>
    <s v="CON-2686"/>
    <x v="0"/>
    <d v="2025-08-19T00:00:00"/>
    <n v="357.14"/>
    <s v="Outright Gift"/>
    <x v="0"/>
    <x v="0"/>
    <s v="Check"/>
    <s v="FY26"/>
    <n v="1"/>
    <n v="1"/>
    <n v="1"/>
    <s v="Retained/Active"/>
  </r>
  <r>
    <s v="TXN-10033"/>
    <s v="CON-4506"/>
    <x v="3"/>
    <d v="2024-06-27T00:00:00"/>
    <n v="57.03"/>
    <s v="Outright Gift"/>
    <x v="0"/>
    <x v="0"/>
    <s v="Check"/>
    <s v="FY24"/>
    <n v="1"/>
    <n v="0"/>
    <n v="1"/>
    <s v="Retained/Active"/>
  </r>
  <r>
    <s v="TXN-10034"/>
    <s v="CON-5555"/>
    <x v="1"/>
    <d v="2025-01-07T00:00:00"/>
    <n v="366.73"/>
    <s v="Recurring Gift"/>
    <x v="0"/>
    <x v="0"/>
    <s v="Credit Card"/>
    <s v="FY25"/>
    <n v="1"/>
    <n v="1"/>
    <n v="1"/>
    <s v="Retained/Active"/>
  </r>
  <r>
    <s v="TXN-10035"/>
    <s v="CON-1956"/>
    <x v="3"/>
    <d v="2024-06-20T00:00:00"/>
    <n v="57.52"/>
    <s v="Outright Gift"/>
    <x v="1"/>
    <x v="0"/>
    <s v="EFT/ACH"/>
    <s v="FY24"/>
    <n v="1"/>
    <n v="0"/>
    <n v="1"/>
    <s v="Retained/Active"/>
  </r>
  <r>
    <s v="TXN-10036"/>
    <s v="CON-4556"/>
    <x v="1"/>
    <d v="2024-01-07T00:00:00"/>
    <n v="468.58"/>
    <s v="Outright Gift"/>
    <x v="0"/>
    <x v="0"/>
    <s v="Credit Card"/>
    <s v="FY24"/>
    <n v="1"/>
    <n v="1"/>
    <n v="1"/>
    <s v="Retained/Active"/>
  </r>
  <r>
    <s v="TXN-10037"/>
    <s v="CON-1262"/>
    <x v="1"/>
    <d v="2024-08-25T00:00:00"/>
    <n v="135.94999999999999"/>
    <s v="Pledge Payment"/>
    <x v="0"/>
    <x v="1"/>
    <s v="Credit Card"/>
    <s v="FY25"/>
    <n v="1"/>
    <n v="1"/>
    <n v="1"/>
    <s v="Retained/Active"/>
  </r>
  <r>
    <s v="TXN-10038"/>
    <s v="CON-7457"/>
    <x v="1"/>
    <d v="2025-05-30T00:00:00"/>
    <n v="68.95"/>
    <s v="Outright Gift"/>
    <x v="0"/>
    <x v="1"/>
    <s v="Credit Card"/>
    <s v="FY25"/>
    <n v="1"/>
    <n v="1"/>
    <n v="1"/>
    <s v="Retained/Active"/>
  </r>
  <r>
    <s v="TXN-10039"/>
    <s v="CON-4561"/>
    <x v="1"/>
    <d v="2023-07-07T00:00:00"/>
    <n v="132.96"/>
    <s v="Recurring Gift"/>
    <x v="0"/>
    <x v="1"/>
    <s v="Credit Card"/>
    <s v="FY24"/>
    <n v="1"/>
    <n v="1"/>
    <n v="1"/>
    <s v="Retained/Active"/>
  </r>
  <r>
    <s v="TXN-10040"/>
    <s v="CON-5893"/>
    <x v="0"/>
    <d v="2023-11-10T00:00:00"/>
    <n v="82.96"/>
    <s v="Pledge Payment"/>
    <x v="1"/>
    <x v="0"/>
    <s v="Credit Card"/>
    <s v="FY24"/>
    <n v="1"/>
    <n v="1"/>
    <n v="1"/>
    <s v="Retained/Active"/>
  </r>
  <r>
    <s v="TXN-10041"/>
    <s v="CON-7278"/>
    <x v="1"/>
    <d v="2025-01-07T00:00:00"/>
    <n v="140.76"/>
    <s v="Pledge Payment"/>
    <x v="0"/>
    <x v="0"/>
    <s v="Credit Card"/>
    <s v="FY25"/>
    <n v="0"/>
    <n v="1"/>
    <n v="0"/>
    <s v="LYBUNT (Lapsed 1 Yr)"/>
  </r>
  <r>
    <s v="TXN-10042"/>
    <s v="CON-4561"/>
    <x v="4"/>
    <d v="2025-10-03T00:00:00"/>
    <n v="325.56"/>
    <s v="Outright Gift"/>
    <x v="0"/>
    <x v="0"/>
    <s v="EFT/ACH"/>
    <s v="FY26"/>
    <n v="1"/>
    <n v="1"/>
    <n v="1"/>
    <s v="Retained/Active"/>
  </r>
  <r>
    <s v="TXN-10043"/>
    <s v="CON-2484"/>
    <x v="2"/>
    <d v="2025-07-30T00:00:00"/>
    <n v="108.49"/>
    <s v="Outright Gift"/>
    <x v="1"/>
    <x v="1"/>
    <s v="Check"/>
    <s v="FY26"/>
    <n v="1"/>
    <n v="0"/>
    <n v="1"/>
    <s v="Retained/Active"/>
  </r>
  <r>
    <s v="TXN-10044"/>
    <s v="CON-8385"/>
    <x v="1"/>
    <d v="2024-12-16T00:00:00"/>
    <n v="75.16"/>
    <s v="Outright Gift"/>
    <x v="0"/>
    <x v="2"/>
    <s v="Credit Card"/>
    <s v="FY25"/>
    <n v="0"/>
    <n v="1"/>
    <n v="1"/>
    <s v="Retained/Active"/>
  </r>
  <r>
    <s v="TXN-10045"/>
    <s v="CON-7617"/>
    <x v="2"/>
    <d v="2024-08-29T00:00:00"/>
    <n v="28.2"/>
    <s v="Outright Gift"/>
    <x v="0"/>
    <x v="3"/>
    <s v="Stock Transfer"/>
    <s v="FY25"/>
    <n v="1"/>
    <n v="1"/>
    <n v="1"/>
    <s v="Retained/Active"/>
  </r>
  <r>
    <s v="TXN-10046"/>
    <s v="CON-7546"/>
    <x v="3"/>
    <d v="2025-05-02T00:00:00"/>
    <n v="257.99"/>
    <s v="Pledge Payment"/>
    <x v="0"/>
    <x v="1"/>
    <s v="EFT/ACH"/>
    <s v="FY25"/>
    <n v="1"/>
    <n v="1"/>
    <n v="0"/>
    <s v="LYBUNT (Lapsed 1 Yr)"/>
  </r>
  <r>
    <s v="TXN-10047"/>
    <s v="CON-3806"/>
    <x v="2"/>
    <d v="2024-06-27T00:00:00"/>
    <n v="191.09"/>
    <s v="Recurring Gift"/>
    <x v="0"/>
    <x v="1"/>
    <s v="Credit Card"/>
    <s v="FY24"/>
    <n v="1"/>
    <n v="0"/>
    <n v="0"/>
    <s v="SYBUNT (Lapsed Multi-Yr)"/>
  </r>
  <r>
    <s v="TXN-10048"/>
    <s v="CON-8035"/>
    <x v="1"/>
    <d v="2023-09-20T00:00:00"/>
    <n v="26.14"/>
    <s v="Pledge Payment"/>
    <x v="0"/>
    <x v="1"/>
    <s v="EFT/ACH"/>
    <s v="FY24"/>
    <n v="1"/>
    <n v="0"/>
    <n v="0"/>
    <s v="SYBUNT (Lapsed Multi-Yr)"/>
  </r>
  <r>
    <s v="TXN-10049"/>
    <s v="CON-9684"/>
    <x v="3"/>
    <d v="2024-06-20T00:00:00"/>
    <n v="360.01"/>
    <s v="Recurring Gift"/>
    <x v="0"/>
    <x v="2"/>
    <s v="Credit Card"/>
    <s v="FY24"/>
    <n v="1"/>
    <n v="1"/>
    <n v="1"/>
    <s v="Retained/Active"/>
  </r>
  <r>
    <s v="TXN-10050"/>
    <s v="CON-4672"/>
    <x v="3"/>
    <d v="2025-02-08T00:00:00"/>
    <n v="25.59"/>
    <s v="Pledge Payment"/>
    <x v="0"/>
    <x v="0"/>
    <s v="Check"/>
    <s v="FY25"/>
    <n v="1"/>
    <n v="1"/>
    <n v="1"/>
    <s v="Retained/Active"/>
  </r>
  <r>
    <s v="TXN-10051"/>
    <s v="CON-9815"/>
    <x v="1"/>
    <d v="2024-04-20T00:00:00"/>
    <n v="463.12"/>
    <s v="Outright Gift"/>
    <x v="0"/>
    <x v="1"/>
    <s v="EFT/ACH"/>
    <s v="FY24"/>
    <n v="1"/>
    <n v="0"/>
    <n v="1"/>
    <s v="Retained/Active"/>
  </r>
  <r>
    <s v="TXN-10052"/>
    <s v="CON-3327"/>
    <x v="1"/>
    <d v="2023-07-17T00:00:00"/>
    <n v="297.14999999999998"/>
    <s v="Outright Gift"/>
    <x v="0"/>
    <x v="2"/>
    <s v="Stock Transfer"/>
    <s v="FY24"/>
    <n v="1"/>
    <n v="0"/>
    <n v="1"/>
    <s v="Retained/Active"/>
  </r>
  <r>
    <s v="TXN-10053"/>
    <s v="CON-7015"/>
    <x v="2"/>
    <d v="2024-06-24T00:00:00"/>
    <n v="209.68"/>
    <s v="Pledge Payment"/>
    <x v="0"/>
    <x v="1"/>
    <s v="EFT/ACH"/>
    <s v="FY24"/>
    <n v="1"/>
    <n v="0"/>
    <n v="1"/>
    <s v="Retained/Active"/>
  </r>
  <r>
    <s v="TXN-10054"/>
    <s v="CON-1698"/>
    <x v="1"/>
    <d v="2025-11-12T00:00:00"/>
    <n v="74.430000000000007"/>
    <s v="Outright Gift"/>
    <x v="0"/>
    <x v="0"/>
    <s v="Check"/>
    <s v="FY26"/>
    <n v="1"/>
    <n v="0"/>
    <n v="1"/>
    <s v="Retained/Active"/>
  </r>
  <r>
    <s v="TXN-10055"/>
    <s v="CON-8421"/>
    <x v="3"/>
    <d v="2025-05-30T00:00:00"/>
    <n v="256.86"/>
    <s v="Outright Gift"/>
    <x v="0"/>
    <x v="0"/>
    <s v="EFT/ACH"/>
    <s v="FY25"/>
    <n v="0"/>
    <n v="1"/>
    <n v="0"/>
    <s v="LYBUNT (Lapsed 1 Yr)"/>
  </r>
  <r>
    <s v="TXN-10056"/>
    <s v="CON-1635"/>
    <x v="0"/>
    <d v="2024-09-20T00:00:00"/>
    <n v="492.4"/>
    <s v="Outright Gift"/>
    <x v="1"/>
    <x v="2"/>
    <s v="Credit Card"/>
    <s v="FY25"/>
    <n v="1"/>
    <n v="1"/>
    <n v="0"/>
    <s v="LYBUNT (Lapsed 1 Yr)"/>
  </r>
  <r>
    <s v="TXN-10057"/>
    <s v="CON-3511"/>
    <x v="4"/>
    <d v="2025-11-02T00:00:00"/>
    <n v="262.45"/>
    <s v="Recurring Gift"/>
    <x v="0"/>
    <x v="1"/>
    <s v="Credit Card"/>
    <s v="FY26"/>
    <n v="0"/>
    <n v="1"/>
    <n v="1"/>
    <s v="Retained/Active"/>
  </r>
  <r>
    <s v="TXN-10058"/>
    <s v="CON-5499"/>
    <x v="2"/>
    <d v="2024-06-29T00:00:00"/>
    <n v="50.84"/>
    <s v="Outright Gift"/>
    <x v="0"/>
    <x v="3"/>
    <s v="Credit Card"/>
    <s v="FY24"/>
    <n v="1"/>
    <n v="1"/>
    <n v="1"/>
    <s v="Retained/Active"/>
  </r>
  <r>
    <s v="TXN-10059"/>
    <s v="CON-4510"/>
    <x v="1"/>
    <d v="2025-05-05T00:00:00"/>
    <n v="172.02"/>
    <s v="Pledge Payment"/>
    <x v="0"/>
    <x v="2"/>
    <s v="Credit Card"/>
    <s v="FY25"/>
    <n v="1"/>
    <n v="1"/>
    <n v="1"/>
    <s v="Retained/Active"/>
  </r>
  <r>
    <s v="TXN-10060"/>
    <s v="CON-3731"/>
    <x v="1"/>
    <d v="2026-04-03T00:00:00"/>
    <n v="529.35"/>
    <s v="Recurring Gift"/>
    <x v="0"/>
    <x v="1"/>
    <s v="Credit Card"/>
    <s v="FY26"/>
    <n v="1"/>
    <n v="1"/>
    <n v="1"/>
    <s v="Retained/Active"/>
  </r>
  <r>
    <s v="TXN-10061"/>
    <s v="CON-4890"/>
    <x v="2"/>
    <d v="2024-10-09T00:00:00"/>
    <n v="2119.27"/>
    <s v="Outright Gift"/>
    <x v="0"/>
    <x v="1"/>
    <s v="Check"/>
    <s v="FY25"/>
    <n v="1"/>
    <n v="1"/>
    <n v="0"/>
    <s v="LYBUNT (Lapsed 1 Yr)"/>
  </r>
  <r>
    <s v="TXN-10062"/>
    <s v="CON-8215"/>
    <x v="3"/>
    <d v="2024-08-17T00:00:00"/>
    <n v="93.06"/>
    <s v="Outright Gift"/>
    <x v="0"/>
    <x v="0"/>
    <s v="Credit Card"/>
    <s v="FY25"/>
    <n v="1"/>
    <n v="1"/>
    <n v="0"/>
    <s v="LYBUNT (Lapsed 1 Yr)"/>
  </r>
  <r>
    <s v="TXN-10063"/>
    <s v="CON-2495"/>
    <x v="3"/>
    <d v="2025-02-05T00:00:00"/>
    <n v="370.65"/>
    <s v="Outright Gift"/>
    <x v="0"/>
    <x v="3"/>
    <s v="Stock Transfer"/>
    <s v="FY25"/>
    <n v="1"/>
    <n v="1"/>
    <n v="1"/>
    <s v="Retained/Active"/>
  </r>
  <r>
    <s v="TXN-10064"/>
    <s v="CON-8994"/>
    <x v="0"/>
    <d v="2026-03-20T00:00:00"/>
    <n v="531.03"/>
    <s v="Pledge Payment"/>
    <x v="1"/>
    <x v="3"/>
    <s v="Check"/>
    <s v="FY26"/>
    <n v="0"/>
    <n v="0"/>
    <n v="1"/>
    <s v="Retained/Active"/>
  </r>
  <r>
    <s v="TXN-10065"/>
    <s v="CON-9800"/>
    <x v="1"/>
    <d v="2025-01-22T00:00:00"/>
    <n v="42.26"/>
    <s v="Pledge Payment"/>
    <x v="0"/>
    <x v="0"/>
    <s v="EFT/ACH"/>
    <s v="FY25"/>
    <n v="1"/>
    <n v="1"/>
    <n v="0"/>
    <s v="LYBUNT (Lapsed 1 Yr)"/>
  </r>
  <r>
    <s v="TXN-10066"/>
    <s v="CON-4170"/>
    <x v="1"/>
    <d v="2024-05-30T00:00:00"/>
    <n v="1232.3800000000001"/>
    <s v="Recurring Gift"/>
    <x v="0"/>
    <x v="3"/>
    <s v="Check"/>
    <s v="FY24"/>
    <n v="1"/>
    <n v="1"/>
    <n v="1"/>
    <s v="Retained/Active"/>
  </r>
  <r>
    <s v="TXN-10067"/>
    <s v="CON-9838"/>
    <x v="2"/>
    <d v="2023-08-06T00:00:00"/>
    <n v="30.42"/>
    <s v="Outright Gift"/>
    <x v="0"/>
    <x v="1"/>
    <s v="Credit Card"/>
    <s v="FY24"/>
    <n v="1"/>
    <n v="0"/>
    <n v="0"/>
    <s v="SYBUNT (Lapsed Multi-Yr)"/>
  </r>
  <r>
    <s v="TXN-10068"/>
    <s v="CON-8683"/>
    <x v="1"/>
    <d v="2026-03-15T00:00:00"/>
    <n v="347.82"/>
    <s v="Outright Gift"/>
    <x v="0"/>
    <x v="1"/>
    <s v="Check"/>
    <s v="FY26"/>
    <n v="1"/>
    <n v="1"/>
    <n v="1"/>
    <s v="Retained/Active"/>
  </r>
  <r>
    <s v="TXN-10069"/>
    <s v="CON-2931"/>
    <x v="0"/>
    <d v="2024-04-03T00:00:00"/>
    <n v="180.71"/>
    <s v="Outright Gift"/>
    <x v="0"/>
    <x v="4"/>
    <s v="Credit Card"/>
    <s v="FY24"/>
    <n v="1"/>
    <n v="1"/>
    <n v="1"/>
    <s v="Retained/Active"/>
  </r>
  <r>
    <s v="TXN-10070"/>
    <s v="CON-9004"/>
    <x v="2"/>
    <d v="2026-01-01T00:00:00"/>
    <n v="130.61000000000001"/>
    <s v="Pledge Payment"/>
    <x v="0"/>
    <x v="2"/>
    <s v="Credit Card"/>
    <s v="FY26"/>
    <n v="1"/>
    <n v="1"/>
    <n v="1"/>
    <s v="Retained/Active"/>
  </r>
  <r>
    <s v="TXN-10071"/>
    <s v="CON-7949"/>
    <x v="4"/>
    <d v="2024-10-26T00:00:00"/>
    <n v="3330.52"/>
    <s v="Outright Gift"/>
    <x v="0"/>
    <x v="0"/>
    <s v="Credit Card"/>
    <s v="FY25"/>
    <n v="0"/>
    <n v="1"/>
    <n v="1"/>
    <s v="Retained/Active"/>
  </r>
  <r>
    <s v="TXN-10072"/>
    <s v="CON-1301"/>
    <x v="0"/>
    <d v="2025-06-30T00:00:00"/>
    <n v="82.14"/>
    <s v="Outright Gift"/>
    <x v="0"/>
    <x v="2"/>
    <s v="Credit Card"/>
    <s v="FY25"/>
    <n v="0"/>
    <n v="1"/>
    <n v="0"/>
    <s v="LYBUNT (Lapsed 1 Yr)"/>
  </r>
  <r>
    <s v="TXN-10073"/>
    <s v="CON-9815"/>
    <x v="1"/>
    <d v="2024-01-08T00:00:00"/>
    <n v="80.44"/>
    <s v="Outright Gift"/>
    <x v="0"/>
    <x v="4"/>
    <s v="EFT/ACH"/>
    <s v="FY24"/>
    <n v="1"/>
    <n v="0"/>
    <n v="1"/>
    <s v="Retained/Active"/>
  </r>
  <r>
    <s v="TXN-10074"/>
    <s v="CON-7799"/>
    <x v="2"/>
    <d v="2026-05-06T00:00:00"/>
    <n v="686.03"/>
    <s v="Outright Gift"/>
    <x v="0"/>
    <x v="2"/>
    <s v="Credit Card"/>
    <s v="FY26"/>
    <n v="1"/>
    <n v="0"/>
    <n v="1"/>
    <s v="Retained/Active"/>
  </r>
  <r>
    <s v="TXN-10075"/>
    <s v="CON-1830"/>
    <x v="2"/>
    <d v="2024-12-05T00:00:00"/>
    <n v="327.13"/>
    <s v="Outright Gift"/>
    <x v="0"/>
    <x v="3"/>
    <s v="Credit Card"/>
    <s v="FY25"/>
    <n v="0"/>
    <n v="1"/>
    <n v="1"/>
    <s v="Retained/Active"/>
  </r>
  <r>
    <s v="TXN-10076"/>
    <s v="CON-3975"/>
    <x v="0"/>
    <d v="2026-01-03T00:00:00"/>
    <n v="643.38"/>
    <s v="Outright Gift"/>
    <x v="0"/>
    <x v="2"/>
    <s v="Check"/>
    <s v="FY26"/>
    <n v="1"/>
    <n v="1"/>
    <n v="1"/>
    <s v="Retained/Active"/>
  </r>
  <r>
    <s v="TXN-10077"/>
    <s v="CON-3205"/>
    <x v="4"/>
    <d v="2024-08-04T00:00:00"/>
    <n v="141.44999999999999"/>
    <s v="Outright Gift"/>
    <x v="0"/>
    <x v="1"/>
    <s v="EFT/ACH"/>
    <s v="FY25"/>
    <n v="0"/>
    <n v="1"/>
    <n v="1"/>
    <s v="Retained/Active"/>
  </r>
  <r>
    <s v="TXN-10078"/>
    <s v="CON-2931"/>
    <x v="3"/>
    <d v="2025-12-02T00:00:00"/>
    <n v="183.47"/>
    <s v="Outright Gift"/>
    <x v="0"/>
    <x v="3"/>
    <s v="Credit Card"/>
    <s v="FY26"/>
    <n v="1"/>
    <n v="1"/>
    <n v="1"/>
    <s v="Retained/Active"/>
  </r>
  <r>
    <s v="TXN-10079"/>
    <s v="CON-8629"/>
    <x v="1"/>
    <d v="2025-06-04T00:00:00"/>
    <n v="1438.3"/>
    <s v="Pledge Payment"/>
    <x v="0"/>
    <x v="1"/>
    <s v="EFT/ACH"/>
    <s v="FY25"/>
    <n v="1"/>
    <n v="1"/>
    <n v="0"/>
    <s v="LYBUNT (Lapsed 1 Yr)"/>
  </r>
  <r>
    <s v="TXN-10080"/>
    <s v="CON-3695"/>
    <x v="1"/>
    <d v="2023-07-22T00:00:00"/>
    <n v="40.99"/>
    <s v="Recurring Gift"/>
    <x v="1"/>
    <x v="3"/>
    <s v="EFT/ACH"/>
    <s v="FY24"/>
    <n v="1"/>
    <n v="1"/>
    <n v="0"/>
    <s v="LYBUNT (Lapsed 1 Yr)"/>
  </r>
  <r>
    <s v="TXN-10081"/>
    <s v="CON-8560"/>
    <x v="0"/>
    <d v="2024-10-16T00:00:00"/>
    <n v="106.3"/>
    <s v="Outright Gift"/>
    <x v="0"/>
    <x v="0"/>
    <s v="Stock Transfer"/>
    <s v="FY25"/>
    <n v="1"/>
    <n v="1"/>
    <n v="0"/>
    <s v="LYBUNT (Lapsed 1 Yr)"/>
  </r>
  <r>
    <s v="TXN-10082"/>
    <s v="CON-9815"/>
    <x v="3"/>
    <d v="2024-01-26T00:00:00"/>
    <n v="343"/>
    <s v="Pledge Payment"/>
    <x v="0"/>
    <x v="2"/>
    <s v="Credit Card"/>
    <s v="FY24"/>
    <n v="1"/>
    <n v="0"/>
    <n v="1"/>
    <s v="Retained/Active"/>
  </r>
  <r>
    <s v="TXN-10083"/>
    <s v="CON-4124"/>
    <x v="1"/>
    <d v="2024-05-01T00:00:00"/>
    <n v="94.2"/>
    <s v="Outright Gift"/>
    <x v="0"/>
    <x v="0"/>
    <s v="Credit Card"/>
    <s v="FY24"/>
    <n v="1"/>
    <n v="1"/>
    <n v="1"/>
    <s v="Retained/Active"/>
  </r>
  <r>
    <s v="TXN-10084"/>
    <s v="CON-7665"/>
    <x v="2"/>
    <d v="2025-06-03T00:00:00"/>
    <n v="57.91"/>
    <s v="Outright Gift"/>
    <x v="0"/>
    <x v="1"/>
    <s v="Credit Card"/>
    <s v="FY25"/>
    <n v="1"/>
    <n v="1"/>
    <n v="0"/>
    <s v="LYBUNT (Lapsed 1 Yr)"/>
  </r>
  <r>
    <s v="TXN-10085"/>
    <s v="CON-8125"/>
    <x v="2"/>
    <d v="2025-05-17T00:00:00"/>
    <n v="271.52"/>
    <s v="Recurring Gift"/>
    <x v="0"/>
    <x v="1"/>
    <s v="Credit Card"/>
    <s v="FY25"/>
    <n v="1"/>
    <n v="1"/>
    <n v="1"/>
    <s v="Retained/Active"/>
  </r>
  <r>
    <s v="TXN-10086"/>
    <s v="CON-5555"/>
    <x v="1"/>
    <d v="2024-04-10T00:00:00"/>
    <n v="689.9"/>
    <s v="Pledge Payment"/>
    <x v="1"/>
    <x v="4"/>
    <s v="Check"/>
    <s v="FY24"/>
    <n v="1"/>
    <n v="1"/>
    <n v="1"/>
    <s v="Retained/Active"/>
  </r>
  <r>
    <s v="TXN-10087"/>
    <s v="CON-4510"/>
    <x v="2"/>
    <d v="2025-06-15T00:00:00"/>
    <n v="101.18"/>
    <s v="Recurring Gift"/>
    <x v="0"/>
    <x v="4"/>
    <s v="Credit Card"/>
    <s v="FY25"/>
    <n v="1"/>
    <n v="1"/>
    <n v="1"/>
    <s v="Retained/Active"/>
  </r>
  <r>
    <s v="TXN-10088"/>
    <s v="CON-9154"/>
    <x v="4"/>
    <d v="2025-08-01T00:00:00"/>
    <n v="97.6"/>
    <s v="Outright Gift"/>
    <x v="1"/>
    <x v="1"/>
    <s v="Stock Transfer"/>
    <s v="FY26"/>
    <n v="0"/>
    <n v="0"/>
    <n v="1"/>
    <s v="Retained/Active"/>
  </r>
  <r>
    <s v="TXN-10089"/>
    <s v="CON-6881"/>
    <x v="1"/>
    <d v="2026-02-02T00:00:00"/>
    <n v="52.35"/>
    <s v="Outright Gift"/>
    <x v="1"/>
    <x v="4"/>
    <s v="Credit Card"/>
    <s v="FY26"/>
    <n v="1"/>
    <n v="1"/>
    <n v="1"/>
    <s v="Retained/Active"/>
  </r>
  <r>
    <s v="TXN-10090"/>
    <s v="CON-9445"/>
    <x v="0"/>
    <d v="2024-07-15T00:00:00"/>
    <n v="82.7"/>
    <s v="Recurring Gift"/>
    <x v="0"/>
    <x v="3"/>
    <s v="Stock Transfer"/>
    <s v="FY25"/>
    <n v="0"/>
    <n v="1"/>
    <n v="1"/>
    <s v="Retained/Active"/>
  </r>
  <r>
    <s v="TXN-10091"/>
    <s v="CON-8208"/>
    <x v="0"/>
    <d v="2024-10-02T00:00:00"/>
    <n v="497.05"/>
    <s v="Outright Gift"/>
    <x v="0"/>
    <x v="2"/>
    <s v="Credit Card"/>
    <s v="FY25"/>
    <n v="1"/>
    <n v="1"/>
    <n v="0"/>
    <s v="LYBUNT (Lapsed 1 Yr)"/>
  </r>
  <r>
    <s v="TXN-10092"/>
    <s v="CON-8022"/>
    <x v="3"/>
    <d v="2026-04-26T00:00:00"/>
    <n v="135.01"/>
    <s v="Outright Gift"/>
    <x v="0"/>
    <x v="1"/>
    <s v="Check"/>
    <s v="FY26"/>
    <n v="1"/>
    <n v="0"/>
    <n v="1"/>
    <s v="Retained/Active"/>
  </r>
  <r>
    <s v="TXN-10093"/>
    <s v="CON-1190"/>
    <x v="4"/>
    <d v="2023-07-29T00:00:00"/>
    <n v="42.67"/>
    <s v="Pledge Payment"/>
    <x v="0"/>
    <x v="4"/>
    <s v="Check"/>
    <s v="FY24"/>
    <n v="1"/>
    <n v="0"/>
    <n v="0"/>
    <s v="SYBUNT (Lapsed Multi-Yr)"/>
  </r>
  <r>
    <s v="TXN-10094"/>
    <s v="CON-7694"/>
    <x v="0"/>
    <d v="2025-12-23T00:00:00"/>
    <n v="170.9"/>
    <s v="Recurring Gift"/>
    <x v="1"/>
    <x v="0"/>
    <s v="Stock Transfer"/>
    <s v="FY26"/>
    <n v="0"/>
    <n v="0"/>
    <n v="1"/>
    <s v="Retained/Active"/>
  </r>
  <r>
    <s v="TXN-10095"/>
    <s v="CON-8400"/>
    <x v="3"/>
    <d v="2025-11-25T00:00:00"/>
    <n v="476.54"/>
    <s v="Recurring Gift"/>
    <x v="0"/>
    <x v="3"/>
    <s v="Credit Card"/>
    <s v="FY26"/>
    <n v="1"/>
    <n v="1"/>
    <n v="1"/>
    <s v="Retained/Active"/>
  </r>
  <r>
    <s v="TXN-10096"/>
    <s v="CON-5249"/>
    <x v="0"/>
    <d v="2023-09-17T00:00:00"/>
    <n v="58.53"/>
    <s v="Outright Gift"/>
    <x v="1"/>
    <x v="3"/>
    <s v="Credit Card"/>
    <s v="FY24"/>
    <n v="1"/>
    <n v="0"/>
    <n v="1"/>
    <s v="Retained/Active"/>
  </r>
  <r>
    <s v="TXN-10097"/>
    <s v="CON-8555"/>
    <x v="0"/>
    <d v="2026-02-01T00:00:00"/>
    <n v="21.6"/>
    <s v="Recurring Gift"/>
    <x v="0"/>
    <x v="3"/>
    <s v="EFT/ACH"/>
    <s v="FY26"/>
    <n v="0"/>
    <n v="0"/>
    <n v="1"/>
    <s v="Retained/Active"/>
  </r>
  <r>
    <s v="TXN-10098"/>
    <s v="CON-5777"/>
    <x v="0"/>
    <d v="2024-10-01T00:00:00"/>
    <n v="2096.6"/>
    <s v="Outright Gift"/>
    <x v="1"/>
    <x v="2"/>
    <s v="Credit Card"/>
    <s v="FY25"/>
    <n v="0"/>
    <n v="1"/>
    <n v="1"/>
    <s v="Retained/Active"/>
  </r>
  <r>
    <s v="TXN-10099"/>
    <s v="CON-2150"/>
    <x v="1"/>
    <d v="2025-01-20T00:00:00"/>
    <n v="20.25"/>
    <s v="Outright Gift"/>
    <x v="1"/>
    <x v="1"/>
    <s v="Credit Card"/>
    <s v="FY25"/>
    <n v="0"/>
    <n v="1"/>
    <n v="0"/>
    <s v="LYBUNT (Lapsed 1 Yr)"/>
  </r>
  <r>
    <s v="TXN-10100"/>
    <s v="CON-9901"/>
    <x v="0"/>
    <d v="2025-07-07T00:00:00"/>
    <n v="76.19"/>
    <s v="Pledge Payment"/>
    <x v="0"/>
    <x v="1"/>
    <s v="Credit Card"/>
    <s v="FY26"/>
    <n v="1"/>
    <n v="0"/>
    <n v="1"/>
    <s v="Retained/Active"/>
  </r>
  <r>
    <s v="TXN-10101"/>
    <s v="CON-8805"/>
    <x v="2"/>
    <d v="2024-11-27T00:00:00"/>
    <n v="164.31"/>
    <s v="Outright Gift"/>
    <x v="0"/>
    <x v="1"/>
    <s v="Credit Card"/>
    <s v="FY25"/>
    <n v="1"/>
    <n v="1"/>
    <n v="1"/>
    <s v="Retained/Active"/>
  </r>
  <r>
    <s v="TXN-10102"/>
    <s v="CON-9529"/>
    <x v="1"/>
    <d v="2024-07-31T00:00:00"/>
    <n v="85.27"/>
    <s v="Outright Gift"/>
    <x v="0"/>
    <x v="1"/>
    <s v="Credit Card"/>
    <s v="FY25"/>
    <n v="0"/>
    <n v="1"/>
    <n v="1"/>
    <s v="Retained/Active"/>
  </r>
  <r>
    <s v="TXN-10103"/>
    <s v="CON-3731"/>
    <x v="4"/>
    <d v="2023-08-08T00:00:00"/>
    <n v="110.24"/>
    <s v="Pledge Payment"/>
    <x v="1"/>
    <x v="0"/>
    <s v="Credit Card"/>
    <s v="FY24"/>
    <n v="1"/>
    <n v="1"/>
    <n v="1"/>
    <s v="Retained/Active"/>
  </r>
  <r>
    <s v="TXN-10104"/>
    <s v="CON-6881"/>
    <x v="1"/>
    <d v="2025-12-03T00:00:00"/>
    <n v="257.20999999999998"/>
    <s v="Outright Gift"/>
    <x v="1"/>
    <x v="2"/>
    <s v="Credit Card"/>
    <s v="FY26"/>
    <n v="1"/>
    <n v="1"/>
    <n v="1"/>
    <s v="Retained/Active"/>
  </r>
  <r>
    <s v="TXN-10105"/>
    <s v="CON-3047"/>
    <x v="1"/>
    <d v="2025-09-04T00:00:00"/>
    <n v="15"/>
    <s v="Outright Gift"/>
    <x v="0"/>
    <x v="3"/>
    <s v="Credit Card"/>
    <s v="FY26"/>
    <n v="1"/>
    <n v="1"/>
    <n v="1"/>
    <s v="Retained/Active"/>
  </r>
  <r>
    <s v="TXN-10106"/>
    <s v="CON-5070"/>
    <x v="0"/>
    <d v="2023-12-04T00:00:00"/>
    <n v="23.41"/>
    <s v="Outright Gift"/>
    <x v="0"/>
    <x v="1"/>
    <s v="EFT/ACH"/>
    <s v="FY24"/>
    <n v="1"/>
    <n v="1"/>
    <n v="1"/>
    <s v="Retained/Active"/>
  </r>
  <r>
    <s v="TXN-10107"/>
    <s v="CON-4073"/>
    <x v="2"/>
    <d v="2025-11-30T00:00:00"/>
    <n v="128.71"/>
    <s v="Outright Gift"/>
    <x v="0"/>
    <x v="0"/>
    <s v="Credit Card"/>
    <s v="FY26"/>
    <n v="1"/>
    <n v="1"/>
    <n v="1"/>
    <s v="Retained/Active"/>
  </r>
  <r>
    <s v="TXN-10108"/>
    <s v="CON-8994"/>
    <x v="1"/>
    <d v="2026-02-28T00:00:00"/>
    <n v="71.849999999999994"/>
    <s v="Outright Gift"/>
    <x v="1"/>
    <x v="1"/>
    <s v="Credit Card"/>
    <s v="FY26"/>
    <n v="0"/>
    <n v="0"/>
    <n v="1"/>
    <s v="Retained/Active"/>
  </r>
  <r>
    <s v="TXN-10109"/>
    <s v="CON-9901"/>
    <x v="0"/>
    <d v="2026-05-11T00:00:00"/>
    <n v="143.77000000000001"/>
    <s v="Pledge Payment"/>
    <x v="0"/>
    <x v="1"/>
    <s v="Check"/>
    <s v="FY26"/>
    <n v="1"/>
    <n v="0"/>
    <n v="1"/>
    <s v="Retained/Active"/>
  </r>
  <r>
    <s v="TXN-10110"/>
    <s v="CON-7873"/>
    <x v="4"/>
    <d v="2025-10-26T00:00:00"/>
    <n v="163.36000000000001"/>
    <s v="Pledge Payment"/>
    <x v="0"/>
    <x v="1"/>
    <s v="Stock Transfer"/>
    <s v="FY26"/>
    <n v="0"/>
    <n v="1"/>
    <n v="1"/>
    <s v="Retained/Active"/>
  </r>
  <r>
    <s v="TXN-10111"/>
    <s v="CON-9792"/>
    <x v="0"/>
    <d v="2025-07-17T00:00:00"/>
    <n v="15"/>
    <s v="Outright Gift"/>
    <x v="0"/>
    <x v="2"/>
    <s v="Stock Transfer"/>
    <s v="FY26"/>
    <n v="1"/>
    <n v="1"/>
    <n v="1"/>
    <s v="Retained/Active"/>
  </r>
  <r>
    <s v="TXN-10112"/>
    <s v="CON-5488"/>
    <x v="0"/>
    <d v="2026-03-15T00:00:00"/>
    <n v="636.34"/>
    <s v="Recurring Gift"/>
    <x v="0"/>
    <x v="1"/>
    <s v="Check"/>
    <s v="FY26"/>
    <n v="1"/>
    <n v="1"/>
    <n v="1"/>
    <s v="Retained/Active"/>
  </r>
  <r>
    <s v="TXN-10113"/>
    <s v="CON-5389"/>
    <x v="3"/>
    <d v="2023-07-21T00:00:00"/>
    <n v="63.58"/>
    <s v="Outright Gift"/>
    <x v="0"/>
    <x v="2"/>
    <s v="Credit Card"/>
    <s v="FY24"/>
    <n v="1"/>
    <n v="0"/>
    <n v="1"/>
    <s v="Retained/Active"/>
  </r>
  <r>
    <s v="TXN-10114"/>
    <s v="CON-3612"/>
    <x v="1"/>
    <d v="2024-04-28T00:00:00"/>
    <n v="39.44"/>
    <s v="Outright Gift"/>
    <x v="0"/>
    <x v="1"/>
    <s v="EFT/ACH"/>
    <s v="FY24"/>
    <n v="1"/>
    <n v="1"/>
    <n v="1"/>
    <s v="Retained/Active"/>
  </r>
  <r>
    <s v="TXN-10115"/>
    <s v="CON-1197"/>
    <x v="0"/>
    <d v="2025-11-15T00:00:00"/>
    <n v="159.31"/>
    <s v="Recurring Gift"/>
    <x v="0"/>
    <x v="3"/>
    <s v="Credit Card"/>
    <s v="FY26"/>
    <n v="0"/>
    <n v="1"/>
    <n v="1"/>
    <s v="Retained/Active"/>
  </r>
  <r>
    <s v="TXN-10116"/>
    <s v="CON-3849"/>
    <x v="0"/>
    <d v="2023-09-22T00:00:00"/>
    <n v="139.66999999999999"/>
    <s v="Outright Gift"/>
    <x v="0"/>
    <x v="3"/>
    <s v="EFT/ACH"/>
    <s v="FY24"/>
    <n v="1"/>
    <n v="1"/>
    <n v="1"/>
    <s v="Retained/Active"/>
  </r>
  <r>
    <s v="TXN-10117"/>
    <s v="CON-8400"/>
    <x v="0"/>
    <d v="2025-01-20T00:00:00"/>
    <n v="575.76"/>
    <s v="Estate/Planned Gift"/>
    <x v="0"/>
    <x v="4"/>
    <s v="Credit Card"/>
    <s v="FY25"/>
    <n v="1"/>
    <n v="1"/>
    <n v="1"/>
    <s v="Retained/Active"/>
  </r>
  <r>
    <s v="TXN-10118"/>
    <s v="CON-7019"/>
    <x v="0"/>
    <d v="2026-01-19T00:00:00"/>
    <n v="173.02"/>
    <s v="Outright Gift"/>
    <x v="0"/>
    <x v="3"/>
    <s v="EFT/ACH"/>
    <s v="FY26"/>
    <n v="1"/>
    <n v="1"/>
    <n v="1"/>
    <s v="Retained/Active"/>
  </r>
  <r>
    <s v="TXN-10119"/>
    <s v="CON-6915"/>
    <x v="1"/>
    <d v="2026-04-04T00:00:00"/>
    <n v="547.6"/>
    <s v="Pledge Payment"/>
    <x v="0"/>
    <x v="4"/>
    <s v="Credit Card"/>
    <s v="FY26"/>
    <n v="1"/>
    <n v="1"/>
    <n v="1"/>
    <s v="Retained/Active"/>
  </r>
  <r>
    <s v="TXN-10120"/>
    <s v="CON-4696"/>
    <x v="0"/>
    <d v="2025-08-31T00:00:00"/>
    <n v="35.89"/>
    <s v="Outright Gift"/>
    <x v="0"/>
    <x v="3"/>
    <s v="Credit Card"/>
    <s v="FY26"/>
    <n v="0"/>
    <n v="0"/>
    <n v="1"/>
    <s v="Retained/Active"/>
  </r>
  <r>
    <s v="TXN-10121"/>
    <s v="CON-1262"/>
    <x v="1"/>
    <d v="2025-08-30T00:00:00"/>
    <n v="146.12"/>
    <s v="Outright Gift"/>
    <x v="1"/>
    <x v="2"/>
    <s v="EFT/ACH"/>
    <s v="FY26"/>
    <n v="1"/>
    <n v="1"/>
    <n v="1"/>
    <s v="Retained/Active"/>
  </r>
  <r>
    <s v="TXN-10122"/>
    <s v="CON-4108"/>
    <x v="3"/>
    <d v="2024-11-03T00:00:00"/>
    <n v="28.53"/>
    <s v="Outright Gift"/>
    <x v="0"/>
    <x v="1"/>
    <s v="Credit Card"/>
    <s v="FY25"/>
    <n v="0"/>
    <n v="1"/>
    <n v="0"/>
    <s v="LYBUNT (Lapsed 1 Yr)"/>
  </r>
  <r>
    <s v="TXN-10123"/>
    <s v="CON-6592"/>
    <x v="0"/>
    <d v="2024-01-24T00:00:00"/>
    <n v="137.96"/>
    <s v="Pledge Payment"/>
    <x v="1"/>
    <x v="1"/>
    <s v="Credit Card"/>
    <s v="FY24"/>
    <n v="1"/>
    <n v="1"/>
    <n v="1"/>
    <s v="Retained/Active"/>
  </r>
  <r>
    <s v="TXN-10124"/>
    <s v="CON-1853"/>
    <x v="0"/>
    <d v="2024-09-02T00:00:00"/>
    <n v="104.73"/>
    <s v="Outright Gift"/>
    <x v="0"/>
    <x v="1"/>
    <s v="Credit Card"/>
    <s v="FY25"/>
    <n v="1"/>
    <n v="1"/>
    <n v="0"/>
    <s v="LYBUNT (Lapsed 1 Yr)"/>
  </r>
  <r>
    <s v="TXN-10125"/>
    <s v="CON-6530"/>
    <x v="3"/>
    <d v="2026-03-11T00:00:00"/>
    <n v="99.04"/>
    <s v="Recurring Gift"/>
    <x v="0"/>
    <x v="2"/>
    <s v="Credit Card"/>
    <s v="FY26"/>
    <n v="1"/>
    <n v="1"/>
    <n v="1"/>
    <s v="Retained/Active"/>
  </r>
  <r>
    <s v="TXN-10126"/>
    <s v="CON-5973"/>
    <x v="2"/>
    <d v="2024-12-01T00:00:00"/>
    <n v="100.17"/>
    <s v="Outright Gift"/>
    <x v="0"/>
    <x v="0"/>
    <s v="Credit Card"/>
    <s v="FY25"/>
    <n v="1"/>
    <n v="1"/>
    <n v="1"/>
    <s v="Retained/Active"/>
  </r>
  <r>
    <s v="TXN-10127"/>
    <s v="CON-8208"/>
    <x v="1"/>
    <d v="2025-02-10T00:00:00"/>
    <n v="316.49"/>
    <s v="Outright Gift"/>
    <x v="0"/>
    <x v="3"/>
    <s v="Check"/>
    <s v="FY25"/>
    <n v="1"/>
    <n v="1"/>
    <n v="0"/>
    <s v="LYBUNT (Lapsed 1 Yr)"/>
  </r>
  <r>
    <s v="TXN-10128"/>
    <s v="CON-6578"/>
    <x v="4"/>
    <d v="2024-01-15T00:00:00"/>
    <n v="15.04"/>
    <s v="Outright Gift"/>
    <x v="0"/>
    <x v="4"/>
    <s v="Credit Card"/>
    <s v="FY24"/>
    <n v="1"/>
    <n v="1"/>
    <n v="1"/>
    <s v="Retained/Active"/>
  </r>
  <r>
    <s v="TXN-10129"/>
    <s v="CON-9571"/>
    <x v="1"/>
    <d v="2024-07-21T00:00:00"/>
    <n v="37.72"/>
    <s v="Pledge Payment"/>
    <x v="0"/>
    <x v="0"/>
    <s v="Credit Card"/>
    <s v="FY25"/>
    <n v="0"/>
    <n v="1"/>
    <n v="0"/>
    <s v="LYBUNT (Lapsed 1 Yr)"/>
  </r>
  <r>
    <s v="TXN-10130"/>
    <s v="CON-5555"/>
    <x v="1"/>
    <d v="2024-06-13T00:00:00"/>
    <n v="115.27"/>
    <s v="Recurring Gift"/>
    <x v="0"/>
    <x v="0"/>
    <s v="Credit Card"/>
    <s v="FY24"/>
    <n v="1"/>
    <n v="1"/>
    <n v="1"/>
    <s v="Retained/Active"/>
  </r>
  <r>
    <s v="TXN-10131"/>
    <s v="CON-2648"/>
    <x v="3"/>
    <d v="2026-02-14T00:00:00"/>
    <n v="26.25"/>
    <s v="Outright Gift"/>
    <x v="0"/>
    <x v="4"/>
    <s v="EFT/ACH"/>
    <s v="FY26"/>
    <n v="0"/>
    <n v="0"/>
    <n v="1"/>
    <s v="Retained/Active"/>
  </r>
  <r>
    <s v="TXN-10132"/>
    <s v="CON-1466"/>
    <x v="0"/>
    <d v="2025-05-23T00:00:00"/>
    <n v="129.02000000000001"/>
    <s v="Pledge Payment"/>
    <x v="0"/>
    <x v="1"/>
    <s v="EFT/ACH"/>
    <s v="FY25"/>
    <n v="0"/>
    <n v="1"/>
    <n v="0"/>
    <s v="LYBUNT (Lapsed 1 Yr)"/>
  </r>
  <r>
    <s v="TXN-10133"/>
    <s v="CON-6791"/>
    <x v="0"/>
    <d v="2024-07-12T00:00:00"/>
    <n v="113.74"/>
    <s v="Outright Gift"/>
    <x v="0"/>
    <x v="2"/>
    <s v="EFT/ACH"/>
    <s v="FY25"/>
    <n v="0"/>
    <n v="1"/>
    <n v="0"/>
    <s v="LYBUNT (Lapsed 1 Yr)"/>
  </r>
  <r>
    <s v="TXN-10134"/>
    <s v="CON-7776"/>
    <x v="1"/>
    <d v="2025-12-15T00:00:00"/>
    <n v="19.59"/>
    <s v="Pledge Payment"/>
    <x v="0"/>
    <x v="1"/>
    <s v="EFT/ACH"/>
    <s v="FY26"/>
    <n v="1"/>
    <n v="1"/>
    <n v="1"/>
    <s v="Retained/Active"/>
  </r>
  <r>
    <s v="TXN-10135"/>
    <s v="CON-6855"/>
    <x v="0"/>
    <d v="2026-01-01T00:00:00"/>
    <n v="18.37"/>
    <s v="Recurring Gift"/>
    <x v="0"/>
    <x v="2"/>
    <s v="Check"/>
    <s v="FY26"/>
    <n v="1"/>
    <n v="1"/>
    <n v="1"/>
    <s v="Retained/Active"/>
  </r>
  <r>
    <s v="TXN-10136"/>
    <s v="CON-7528"/>
    <x v="0"/>
    <d v="2024-12-08T00:00:00"/>
    <n v="15"/>
    <s v="Outright Gift"/>
    <x v="0"/>
    <x v="1"/>
    <s v="Check"/>
    <s v="FY25"/>
    <n v="0"/>
    <n v="1"/>
    <n v="1"/>
    <s v="Retained/Active"/>
  </r>
  <r>
    <s v="TXN-10137"/>
    <s v="CON-7484"/>
    <x v="4"/>
    <d v="2025-07-03T00:00:00"/>
    <n v="24.86"/>
    <s v="Outright Gift"/>
    <x v="0"/>
    <x v="3"/>
    <s v="EFT/ACH"/>
    <s v="FY26"/>
    <n v="0"/>
    <n v="1"/>
    <n v="1"/>
    <s v="Retained/Active"/>
  </r>
  <r>
    <s v="TXN-10138"/>
    <s v="CON-6088"/>
    <x v="1"/>
    <d v="2024-01-22T00:00:00"/>
    <n v="123.79"/>
    <s v="Estate/Planned Gift"/>
    <x v="0"/>
    <x v="0"/>
    <s v="Credit Card"/>
    <s v="FY24"/>
    <n v="1"/>
    <n v="1"/>
    <n v="0"/>
    <s v="LYBUNT (Lapsed 1 Yr)"/>
  </r>
  <r>
    <s v="TXN-10139"/>
    <s v="CON-7019"/>
    <x v="3"/>
    <d v="2024-09-27T00:00:00"/>
    <n v="148.87"/>
    <s v="Recurring Gift"/>
    <x v="1"/>
    <x v="1"/>
    <s v="EFT/ACH"/>
    <s v="FY25"/>
    <n v="1"/>
    <n v="1"/>
    <n v="1"/>
    <s v="Retained/Active"/>
  </r>
  <r>
    <s v="TXN-10140"/>
    <s v="CON-3811"/>
    <x v="2"/>
    <d v="2024-12-02T00:00:00"/>
    <n v="157.97999999999999"/>
    <s v="Outright Gift"/>
    <x v="1"/>
    <x v="1"/>
    <s v="Credit Card"/>
    <s v="FY25"/>
    <n v="1"/>
    <n v="1"/>
    <n v="1"/>
    <s v="Retained/Active"/>
  </r>
  <r>
    <s v="TXN-10141"/>
    <s v="CON-6734"/>
    <x v="3"/>
    <d v="2026-04-12T00:00:00"/>
    <n v="44.2"/>
    <s v="Outright Gift"/>
    <x v="0"/>
    <x v="0"/>
    <s v="EFT/ACH"/>
    <s v="FY26"/>
    <n v="1"/>
    <n v="1"/>
    <n v="1"/>
    <s v="Retained/Active"/>
  </r>
  <r>
    <s v="TXN-10142"/>
    <s v="CON-4005"/>
    <x v="2"/>
    <d v="2026-02-10T00:00:00"/>
    <n v="118.65"/>
    <s v="Outright Gift"/>
    <x v="0"/>
    <x v="4"/>
    <s v="Check"/>
    <s v="FY26"/>
    <n v="1"/>
    <n v="1"/>
    <n v="1"/>
    <s v="Retained/Active"/>
  </r>
  <r>
    <s v="TXN-10143"/>
    <s v="CON-5737"/>
    <x v="2"/>
    <d v="2025-06-25T00:00:00"/>
    <n v="203.65"/>
    <s v="Outright Gift"/>
    <x v="0"/>
    <x v="2"/>
    <s v="EFT/ACH"/>
    <s v="FY25"/>
    <n v="1"/>
    <n v="1"/>
    <n v="0"/>
    <s v="LYBUNT (Lapsed 1 Yr)"/>
  </r>
  <r>
    <s v="TXN-10144"/>
    <s v="CON-5777"/>
    <x v="0"/>
    <d v="2026-04-09T00:00:00"/>
    <n v="23.37"/>
    <s v="Recurring Gift"/>
    <x v="0"/>
    <x v="0"/>
    <s v="Check"/>
    <s v="FY26"/>
    <n v="0"/>
    <n v="1"/>
    <n v="1"/>
    <s v="Retained/Active"/>
  </r>
  <r>
    <s v="TXN-10145"/>
    <s v="CON-6450"/>
    <x v="1"/>
    <d v="2024-11-12T00:00:00"/>
    <n v="142.63999999999999"/>
    <s v="Pledge Payment"/>
    <x v="0"/>
    <x v="1"/>
    <s v="Credit Card"/>
    <s v="FY25"/>
    <n v="1"/>
    <n v="1"/>
    <n v="0"/>
    <s v="LYBUNT (Lapsed 1 Yr)"/>
  </r>
  <r>
    <s v="TXN-10146"/>
    <s v="CON-6949"/>
    <x v="1"/>
    <d v="2023-10-25T00:00:00"/>
    <n v="285.27"/>
    <s v="Outright Gift"/>
    <x v="0"/>
    <x v="0"/>
    <s v="Credit Card"/>
    <s v="FY24"/>
    <n v="1"/>
    <n v="1"/>
    <n v="1"/>
    <s v="Retained/Active"/>
  </r>
  <r>
    <s v="TXN-10147"/>
    <s v="CON-3950"/>
    <x v="3"/>
    <d v="2024-07-20T00:00:00"/>
    <n v="64.2"/>
    <s v="Outright Gift"/>
    <x v="0"/>
    <x v="2"/>
    <s v="Credit Card"/>
    <s v="FY25"/>
    <n v="0"/>
    <n v="1"/>
    <n v="1"/>
    <s v="Retained/Active"/>
  </r>
  <r>
    <s v="TXN-10148"/>
    <s v="CON-4124"/>
    <x v="3"/>
    <d v="2025-02-03T00:00:00"/>
    <n v="483.43"/>
    <s v="Outright Gift"/>
    <x v="0"/>
    <x v="2"/>
    <s v="Check"/>
    <s v="FY25"/>
    <n v="1"/>
    <n v="1"/>
    <n v="1"/>
    <s v="Retained/Active"/>
  </r>
  <r>
    <s v="TXN-10149"/>
    <s v="CON-6575"/>
    <x v="0"/>
    <d v="2024-07-29T00:00:00"/>
    <n v="66.180000000000007"/>
    <s v="Outright Gift"/>
    <x v="0"/>
    <x v="1"/>
    <s v="Check"/>
    <s v="FY25"/>
    <n v="1"/>
    <n v="1"/>
    <n v="1"/>
    <s v="Retained/Active"/>
  </r>
  <r>
    <s v="TXN-10150"/>
    <s v="CON-5495"/>
    <x v="1"/>
    <d v="2025-06-20T00:00:00"/>
    <n v="39.72"/>
    <s v="Outright Gift"/>
    <x v="0"/>
    <x v="2"/>
    <s v="EFT/ACH"/>
    <s v="FY25"/>
    <n v="0"/>
    <n v="1"/>
    <n v="0"/>
    <s v="LYBUNT (Lapsed 1 Yr)"/>
  </r>
  <r>
    <s v="TXN-10151"/>
    <s v="CON-9815"/>
    <x v="0"/>
    <d v="2023-09-10T00:00:00"/>
    <n v="250.61"/>
    <s v="Outright Gift"/>
    <x v="0"/>
    <x v="2"/>
    <s v="EFT/ACH"/>
    <s v="FY24"/>
    <n v="1"/>
    <n v="0"/>
    <n v="1"/>
    <s v="Retained/Active"/>
  </r>
  <r>
    <s v="TXN-10152"/>
    <s v="CON-5014"/>
    <x v="2"/>
    <d v="2024-03-30T00:00:00"/>
    <n v="1708.35"/>
    <s v="Outright Gift"/>
    <x v="0"/>
    <x v="4"/>
    <s v="EFT/ACH"/>
    <s v="FY24"/>
    <n v="1"/>
    <n v="1"/>
    <n v="1"/>
    <s v="Retained/Active"/>
  </r>
  <r>
    <s v="TXN-10153"/>
    <s v="CON-4157"/>
    <x v="0"/>
    <d v="2024-06-02T00:00:00"/>
    <n v="135.77000000000001"/>
    <s v="Outright Gift"/>
    <x v="0"/>
    <x v="4"/>
    <s v="Check"/>
    <s v="FY24"/>
    <n v="1"/>
    <n v="1"/>
    <n v="1"/>
    <s v="Retained/Active"/>
  </r>
  <r>
    <s v="TXN-10154"/>
    <s v="CON-2816"/>
    <x v="3"/>
    <d v="2025-02-26T00:00:00"/>
    <n v="277.38"/>
    <s v="Outright Gift"/>
    <x v="0"/>
    <x v="2"/>
    <s v="Check"/>
    <s v="FY25"/>
    <n v="1"/>
    <n v="1"/>
    <n v="0"/>
    <s v="LYBUNT (Lapsed 1 Yr)"/>
  </r>
  <r>
    <s v="TXN-10155"/>
    <s v="CON-1878"/>
    <x v="4"/>
    <d v="2023-12-13T00:00:00"/>
    <n v="62.72"/>
    <s v="Outright Gift"/>
    <x v="0"/>
    <x v="2"/>
    <s v="EFT/ACH"/>
    <s v="FY24"/>
    <n v="1"/>
    <n v="0"/>
    <n v="0"/>
    <s v="SYBUNT (Lapsed Multi-Yr)"/>
  </r>
  <r>
    <s v="TXN-10156"/>
    <s v="CON-5735"/>
    <x v="1"/>
    <d v="2023-07-11T00:00:00"/>
    <n v="24.19"/>
    <s v="Outright Gift"/>
    <x v="0"/>
    <x v="1"/>
    <s v="EFT/ACH"/>
    <s v="FY24"/>
    <n v="1"/>
    <n v="0"/>
    <n v="1"/>
    <s v="Retained/Active"/>
  </r>
  <r>
    <s v="TXN-10157"/>
    <s v="CON-4444"/>
    <x v="0"/>
    <d v="2025-06-28T00:00:00"/>
    <n v="150.83000000000001"/>
    <s v="Outright Gift"/>
    <x v="0"/>
    <x v="3"/>
    <s v="Credit Card"/>
    <s v="FY25"/>
    <n v="1"/>
    <n v="1"/>
    <n v="1"/>
    <s v="Retained/Active"/>
  </r>
  <r>
    <s v="TXN-10158"/>
    <s v="CON-9308"/>
    <x v="0"/>
    <d v="2025-09-08T00:00:00"/>
    <n v="185.25"/>
    <s v="Outright Gift"/>
    <x v="1"/>
    <x v="0"/>
    <s v="EFT/ACH"/>
    <s v="FY26"/>
    <n v="1"/>
    <n v="1"/>
    <n v="1"/>
    <s v="Retained/Active"/>
  </r>
  <r>
    <s v="TXN-10159"/>
    <s v="CON-3327"/>
    <x v="0"/>
    <d v="2023-10-10T00:00:00"/>
    <n v="76.3"/>
    <s v="Outright Gift"/>
    <x v="0"/>
    <x v="1"/>
    <s v="Credit Card"/>
    <s v="FY24"/>
    <n v="1"/>
    <n v="0"/>
    <n v="1"/>
    <s v="Retained/Active"/>
  </r>
  <r>
    <s v="TXN-10160"/>
    <s v="CON-9164"/>
    <x v="1"/>
    <d v="2025-08-17T00:00:00"/>
    <n v="275.99"/>
    <s v="Outright Gift"/>
    <x v="1"/>
    <x v="0"/>
    <s v="Credit Card"/>
    <s v="FY26"/>
    <n v="0"/>
    <n v="0"/>
    <n v="1"/>
    <s v="Retained/Active"/>
  </r>
  <r>
    <s v="TXN-10161"/>
    <s v="CON-7184"/>
    <x v="1"/>
    <d v="2024-01-30T00:00:00"/>
    <n v="51.92"/>
    <s v="Pledge Payment"/>
    <x v="0"/>
    <x v="3"/>
    <s v="Check"/>
    <s v="FY24"/>
    <n v="1"/>
    <n v="0"/>
    <n v="0"/>
    <s v="SYBUNT (Lapsed Multi-Yr)"/>
  </r>
  <r>
    <s v="TXN-10162"/>
    <s v="CON-9680"/>
    <x v="3"/>
    <d v="2024-08-04T00:00:00"/>
    <n v="37.61"/>
    <s v="Recurring Gift"/>
    <x v="0"/>
    <x v="1"/>
    <s v="Credit Card"/>
    <s v="FY25"/>
    <n v="0"/>
    <n v="1"/>
    <n v="1"/>
    <s v="Retained/Active"/>
  </r>
  <r>
    <s v="TXN-10163"/>
    <s v="CON-6222"/>
    <x v="0"/>
    <d v="2025-02-07T00:00:00"/>
    <n v="482.43"/>
    <s v="Pledge Payment"/>
    <x v="0"/>
    <x v="0"/>
    <s v="Stock Transfer"/>
    <s v="FY25"/>
    <n v="0"/>
    <n v="1"/>
    <n v="0"/>
    <s v="LYBUNT (Lapsed 1 Yr)"/>
  </r>
  <r>
    <s v="TXN-10164"/>
    <s v="CON-5555"/>
    <x v="0"/>
    <d v="2025-12-05T00:00:00"/>
    <n v="485.39"/>
    <s v="Outright Gift"/>
    <x v="0"/>
    <x v="0"/>
    <s v="Credit Card"/>
    <s v="FY26"/>
    <n v="1"/>
    <n v="1"/>
    <n v="1"/>
    <s v="Retained/Active"/>
  </r>
  <r>
    <s v="TXN-10165"/>
    <s v="CON-9792"/>
    <x v="4"/>
    <d v="2025-02-11T00:00:00"/>
    <n v="53.27"/>
    <s v="Recurring Gift"/>
    <x v="0"/>
    <x v="1"/>
    <s v="Credit Card"/>
    <s v="FY25"/>
    <n v="1"/>
    <n v="1"/>
    <n v="1"/>
    <s v="Retained/Active"/>
  </r>
  <r>
    <s v="TXN-10166"/>
    <s v="CON-7892"/>
    <x v="3"/>
    <d v="2023-09-30T00:00:00"/>
    <n v="1135.1300000000001"/>
    <s v="Pledge Payment"/>
    <x v="0"/>
    <x v="1"/>
    <s v="Credit Card"/>
    <s v="FY24"/>
    <n v="1"/>
    <n v="1"/>
    <n v="1"/>
    <s v="Retained/Active"/>
  </r>
  <r>
    <s v="TXN-10167"/>
    <s v="CON-2707"/>
    <x v="1"/>
    <d v="2025-05-03T00:00:00"/>
    <n v="83.66"/>
    <s v="Outright Gift"/>
    <x v="0"/>
    <x v="3"/>
    <s v="Credit Card"/>
    <s v="FY25"/>
    <n v="1"/>
    <n v="1"/>
    <n v="1"/>
    <s v="Retained/Active"/>
  </r>
  <r>
    <s v="TXN-10168"/>
    <s v="CON-7776"/>
    <x v="2"/>
    <d v="2025-06-13T00:00:00"/>
    <n v="135.66999999999999"/>
    <s v="Outright Gift"/>
    <x v="1"/>
    <x v="3"/>
    <s v="Credit Card"/>
    <s v="FY25"/>
    <n v="1"/>
    <n v="1"/>
    <n v="1"/>
    <s v="Retained/Active"/>
  </r>
  <r>
    <s v="TXN-10169"/>
    <s v="CON-1956"/>
    <x v="0"/>
    <d v="2026-01-21T00:00:00"/>
    <n v="108.85"/>
    <s v="Recurring Gift"/>
    <x v="0"/>
    <x v="1"/>
    <s v="Credit Card"/>
    <s v="FY26"/>
    <n v="1"/>
    <n v="0"/>
    <n v="1"/>
    <s v="Retained/Active"/>
  </r>
  <r>
    <s v="TXN-10170"/>
    <s v="CON-5548"/>
    <x v="3"/>
    <d v="2024-02-27T00:00:00"/>
    <n v="240.06"/>
    <s v="Outright Gift"/>
    <x v="0"/>
    <x v="3"/>
    <s v="Credit Card"/>
    <s v="FY24"/>
    <n v="1"/>
    <n v="1"/>
    <n v="1"/>
    <s v="Retained/Active"/>
  </r>
  <r>
    <s v="TXN-10171"/>
    <s v="CON-7892"/>
    <x v="2"/>
    <d v="2023-07-02T00:00:00"/>
    <n v="172.92"/>
    <s v="Outright Gift"/>
    <x v="0"/>
    <x v="2"/>
    <s v="Credit Card"/>
    <s v="FY24"/>
    <n v="1"/>
    <n v="1"/>
    <n v="1"/>
    <s v="Retained/Active"/>
  </r>
  <r>
    <s v="TXN-10172"/>
    <s v="CON-6675"/>
    <x v="2"/>
    <d v="2024-02-10T00:00:00"/>
    <n v="169.92"/>
    <s v="Pledge Payment"/>
    <x v="0"/>
    <x v="0"/>
    <s v="Credit Card"/>
    <s v="FY24"/>
    <n v="1"/>
    <n v="0"/>
    <n v="0"/>
    <s v="SYBUNT (Lapsed Multi-Yr)"/>
  </r>
  <r>
    <s v="TXN-10173"/>
    <s v="CON-4748"/>
    <x v="0"/>
    <d v="2025-09-08T00:00:00"/>
    <n v="32.28"/>
    <s v="Recurring Gift"/>
    <x v="0"/>
    <x v="2"/>
    <s v="EFT/ACH"/>
    <s v="FY26"/>
    <n v="1"/>
    <n v="1"/>
    <n v="1"/>
    <s v="Retained/Active"/>
  </r>
  <r>
    <s v="TXN-10174"/>
    <s v="CON-2841"/>
    <x v="3"/>
    <d v="2025-02-08T00:00:00"/>
    <n v="15"/>
    <s v="Outright Gift"/>
    <x v="1"/>
    <x v="4"/>
    <s v="Credit Card"/>
    <s v="FY25"/>
    <n v="1"/>
    <n v="1"/>
    <n v="0"/>
    <s v="LYBUNT (Lapsed 1 Yr)"/>
  </r>
  <r>
    <s v="TXN-10175"/>
    <s v="CON-4147"/>
    <x v="1"/>
    <d v="2023-10-24T00:00:00"/>
    <n v="536.36"/>
    <s v="Outright Gift"/>
    <x v="1"/>
    <x v="0"/>
    <s v="EFT/ACH"/>
    <s v="FY24"/>
    <n v="1"/>
    <n v="0"/>
    <n v="0"/>
    <s v="SYBUNT (Lapsed Multi-Yr)"/>
  </r>
  <r>
    <s v="TXN-10176"/>
    <s v="CON-1830"/>
    <x v="1"/>
    <d v="2026-01-03T00:00:00"/>
    <n v="59.79"/>
    <s v="Outright Gift"/>
    <x v="0"/>
    <x v="1"/>
    <s v="EFT/ACH"/>
    <s v="FY26"/>
    <n v="0"/>
    <n v="1"/>
    <n v="1"/>
    <s v="Retained/Active"/>
  </r>
  <r>
    <s v="TXN-10177"/>
    <s v="CON-8270"/>
    <x v="0"/>
    <d v="2024-01-10T00:00:00"/>
    <n v="114.01"/>
    <s v="Pledge Payment"/>
    <x v="0"/>
    <x v="4"/>
    <s v="Credit Card"/>
    <s v="FY24"/>
    <n v="1"/>
    <n v="1"/>
    <n v="1"/>
    <s v="Retained/Active"/>
  </r>
  <r>
    <s v="TXN-10178"/>
    <s v="CON-8253"/>
    <x v="1"/>
    <d v="2025-11-17T00:00:00"/>
    <n v="185.83"/>
    <s v="Outright Gift"/>
    <x v="0"/>
    <x v="2"/>
    <s v="Check"/>
    <s v="FY26"/>
    <n v="1"/>
    <n v="0"/>
    <n v="1"/>
    <s v="Retained/Active"/>
  </r>
  <r>
    <s v="TXN-10179"/>
    <s v="CON-5869"/>
    <x v="1"/>
    <d v="2023-09-28T00:00:00"/>
    <n v="1010.01"/>
    <s v="Outright Gift"/>
    <x v="1"/>
    <x v="1"/>
    <s v="EFT/ACH"/>
    <s v="FY24"/>
    <n v="1"/>
    <n v="0"/>
    <n v="1"/>
    <s v="Retained/Active"/>
  </r>
  <r>
    <s v="TXN-10180"/>
    <s v="CON-9800"/>
    <x v="3"/>
    <d v="2023-10-30T00:00:00"/>
    <n v="149.87"/>
    <s v="Recurring Gift"/>
    <x v="0"/>
    <x v="0"/>
    <s v="EFT/ACH"/>
    <s v="FY24"/>
    <n v="1"/>
    <n v="1"/>
    <n v="0"/>
    <s v="LYBUNT (Lapsed 1 Yr)"/>
  </r>
  <r>
    <s v="TXN-10181"/>
    <s v="CON-5282"/>
    <x v="4"/>
    <d v="2023-11-20T00:00:00"/>
    <n v="72.73"/>
    <s v="Outright Gift"/>
    <x v="0"/>
    <x v="0"/>
    <s v="Credit Card"/>
    <s v="FY24"/>
    <n v="1"/>
    <n v="0"/>
    <n v="0"/>
    <s v="SYBUNT (Lapsed Multi-Yr)"/>
  </r>
  <r>
    <s v="TXN-10182"/>
    <s v="CON-2931"/>
    <x v="0"/>
    <d v="2026-03-20T00:00:00"/>
    <n v="61.52"/>
    <s v="Pledge Payment"/>
    <x v="0"/>
    <x v="3"/>
    <s v="EFT/ACH"/>
    <s v="FY26"/>
    <n v="1"/>
    <n v="1"/>
    <n v="1"/>
    <s v="Retained/Active"/>
  </r>
  <r>
    <s v="TXN-10183"/>
    <s v="CON-6596"/>
    <x v="0"/>
    <d v="2023-10-14T00:00:00"/>
    <n v="115.75"/>
    <s v="Outright Gift"/>
    <x v="0"/>
    <x v="0"/>
    <s v="Check"/>
    <s v="FY24"/>
    <n v="1"/>
    <n v="1"/>
    <n v="1"/>
    <s v="Retained/Active"/>
  </r>
  <r>
    <s v="TXN-10184"/>
    <s v="CON-1863"/>
    <x v="0"/>
    <d v="2025-12-03T00:00:00"/>
    <n v="37.26"/>
    <s v="Outright Gift"/>
    <x v="0"/>
    <x v="1"/>
    <s v="Credit Card"/>
    <s v="FY26"/>
    <n v="0"/>
    <n v="1"/>
    <n v="1"/>
    <s v="Retained/Active"/>
  </r>
  <r>
    <s v="TXN-10185"/>
    <s v="CON-3693"/>
    <x v="0"/>
    <d v="2024-08-31T00:00:00"/>
    <n v="126.16"/>
    <s v="Pledge Payment"/>
    <x v="0"/>
    <x v="2"/>
    <s v="Credit Card"/>
    <s v="FY25"/>
    <n v="1"/>
    <n v="1"/>
    <n v="1"/>
    <s v="Retained/Active"/>
  </r>
  <r>
    <s v="TXN-10186"/>
    <s v="CON-6675"/>
    <x v="1"/>
    <d v="2024-05-12T00:00:00"/>
    <n v="113.56"/>
    <s v="Outright Gift"/>
    <x v="1"/>
    <x v="0"/>
    <s v="Credit Card"/>
    <s v="FY24"/>
    <n v="1"/>
    <n v="0"/>
    <n v="0"/>
    <s v="SYBUNT (Lapsed Multi-Yr)"/>
  </r>
  <r>
    <s v="TXN-10187"/>
    <s v="CON-7235"/>
    <x v="4"/>
    <d v="2025-03-26T00:00:00"/>
    <n v="1026.58"/>
    <s v="Outright Gift"/>
    <x v="1"/>
    <x v="1"/>
    <s v="EFT/ACH"/>
    <s v="FY25"/>
    <n v="1"/>
    <n v="1"/>
    <n v="0"/>
    <s v="LYBUNT (Lapsed 1 Yr)"/>
  </r>
  <r>
    <s v="TXN-10188"/>
    <s v="CON-2707"/>
    <x v="1"/>
    <d v="2023-07-09T00:00:00"/>
    <n v="109"/>
    <s v="Outright Gift"/>
    <x v="0"/>
    <x v="0"/>
    <s v="Credit Card"/>
    <s v="FY24"/>
    <n v="1"/>
    <n v="1"/>
    <n v="1"/>
    <s v="Retained/Active"/>
  </r>
  <r>
    <s v="TXN-10189"/>
    <s v="CON-8554"/>
    <x v="0"/>
    <d v="2025-08-12T00:00:00"/>
    <n v="15"/>
    <s v="Pledge Payment"/>
    <x v="0"/>
    <x v="3"/>
    <s v="EFT/ACH"/>
    <s v="FY26"/>
    <n v="1"/>
    <n v="1"/>
    <n v="1"/>
    <s v="Retained/Active"/>
  </r>
  <r>
    <s v="TXN-10190"/>
    <s v="CON-2707"/>
    <x v="1"/>
    <d v="2024-02-08T00:00:00"/>
    <n v="3926.74"/>
    <s v="Recurring Gift"/>
    <x v="1"/>
    <x v="1"/>
    <s v="Credit Card"/>
    <s v="FY24"/>
    <n v="1"/>
    <n v="1"/>
    <n v="1"/>
    <s v="Retained/Active"/>
  </r>
  <r>
    <s v="TXN-10191"/>
    <s v="CON-2841"/>
    <x v="3"/>
    <d v="2025-01-03T00:00:00"/>
    <n v="421.53"/>
    <s v="Estate/Planned Gift"/>
    <x v="1"/>
    <x v="2"/>
    <s v="Check"/>
    <s v="FY25"/>
    <n v="1"/>
    <n v="1"/>
    <n v="0"/>
    <s v="LYBUNT (Lapsed 1 Yr)"/>
  </r>
  <r>
    <s v="TXN-10192"/>
    <s v="CON-4009"/>
    <x v="2"/>
    <d v="2025-06-15T00:00:00"/>
    <n v="1820.84"/>
    <s v="Outright Gift"/>
    <x v="0"/>
    <x v="1"/>
    <s v="Credit Card"/>
    <s v="FY25"/>
    <n v="1"/>
    <n v="1"/>
    <n v="1"/>
    <s v="Retained/Active"/>
  </r>
  <r>
    <s v="TXN-10193"/>
    <s v="CON-1663"/>
    <x v="4"/>
    <d v="2023-10-19T00:00:00"/>
    <n v="26.99"/>
    <s v="Outright Gift"/>
    <x v="0"/>
    <x v="1"/>
    <s v="Credit Card"/>
    <s v="FY24"/>
    <n v="1"/>
    <n v="0"/>
    <n v="1"/>
    <s v="Retained/Active"/>
  </r>
  <r>
    <s v="TXN-10194"/>
    <s v="CON-9006"/>
    <x v="3"/>
    <d v="2024-03-07T00:00:00"/>
    <n v="91.07"/>
    <s v="Outright Gift"/>
    <x v="0"/>
    <x v="0"/>
    <s v="EFT/ACH"/>
    <s v="FY24"/>
    <n v="1"/>
    <n v="0"/>
    <n v="1"/>
    <s v="Retained/Active"/>
  </r>
  <r>
    <s v="TXN-10195"/>
    <s v="CON-6237"/>
    <x v="0"/>
    <d v="2024-07-17T00:00:00"/>
    <n v="291.99"/>
    <s v="Recurring Gift"/>
    <x v="0"/>
    <x v="1"/>
    <s v="Credit Card"/>
    <s v="FY25"/>
    <n v="1"/>
    <n v="1"/>
    <n v="1"/>
    <s v="Retained/Active"/>
  </r>
  <r>
    <s v="TXN-10196"/>
    <s v="CON-6534"/>
    <x v="1"/>
    <d v="2023-07-07T00:00:00"/>
    <n v="244.03"/>
    <s v="Outright Gift"/>
    <x v="0"/>
    <x v="3"/>
    <s v="Credit Card"/>
    <s v="FY24"/>
    <n v="1"/>
    <n v="1"/>
    <n v="0"/>
    <s v="LYBUNT (Lapsed 1 Yr)"/>
  </r>
  <r>
    <s v="TXN-10197"/>
    <s v="CON-3976"/>
    <x v="2"/>
    <d v="2024-10-01T00:00:00"/>
    <n v="181.09"/>
    <s v="Estate/Planned Gift"/>
    <x v="0"/>
    <x v="1"/>
    <s v="Credit Card"/>
    <s v="FY25"/>
    <n v="1"/>
    <n v="1"/>
    <n v="0"/>
    <s v="LYBUNT (Lapsed 1 Yr)"/>
  </r>
  <r>
    <s v="TXN-10198"/>
    <s v="CON-5735"/>
    <x v="0"/>
    <d v="2024-01-24T00:00:00"/>
    <n v="15"/>
    <s v="Outright Gift"/>
    <x v="0"/>
    <x v="2"/>
    <s v="Credit Card"/>
    <s v="FY24"/>
    <n v="1"/>
    <n v="0"/>
    <n v="1"/>
    <s v="Retained/Active"/>
  </r>
  <r>
    <s v="TXN-10199"/>
    <s v="CON-7197"/>
    <x v="2"/>
    <d v="2025-12-16T00:00:00"/>
    <n v="15"/>
    <s v="Estate/Planned Gift"/>
    <x v="1"/>
    <x v="1"/>
    <s v="Check"/>
    <s v="FY26"/>
    <n v="0"/>
    <n v="1"/>
    <n v="1"/>
    <s v="Retained/Active"/>
  </r>
  <r>
    <s v="TXN-10200"/>
    <s v="CON-1698"/>
    <x v="1"/>
    <d v="2023-07-22T00:00:00"/>
    <n v="873.73"/>
    <s v="Recurring Gift"/>
    <x v="0"/>
    <x v="4"/>
    <s v="Check"/>
    <s v="FY24"/>
    <n v="1"/>
    <n v="0"/>
    <n v="1"/>
    <s v="Retained/Active"/>
  </r>
  <r>
    <s v="TXN-10201"/>
    <s v="CON-5499"/>
    <x v="1"/>
    <d v="2024-08-13T00:00:00"/>
    <n v="1100.95"/>
    <s v="Recurring Gift"/>
    <x v="0"/>
    <x v="2"/>
    <s v="Credit Card"/>
    <s v="FY25"/>
    <n v="1"/>
    <n v="1"/>
    <n v="1"/>
    <s v="Retained/Active"/>
  </r>
  <r>
    <s v="TXN-10202"/>
    <s v="CON-5413"/>
    <x v="0"/>
    <d v="2025-12-11T00:00:00"/>
    <n v="105.78"/>
    <s v="Outright Gift"/>
    <x v="0"/>
    <x v="2"/>
    <s v="Credit Card"/>
    <s v="FY26"/>
    <n v="0"/>
    <n v="1"/>
    <n v="1"/>
    <s v="Retained/Active"/>
  </r>
  <r>
    <s v="TXN-10203"/>
    <s v="CON-4385"/>
    <x v="2"/>
    <d v="2024-11-26T00:00:00"/>
    <n v="740.67"/>
    <s v="Outright Gift"/>
    <x v="0"/>
    <x v="1"/>
    <s v="Credit Card"/>
    <s v="FY25"/>
    <n v="1"/>
    <n v="1"/>
    <n v="0"/>
    <s v="LYBUNT (Lapsed 1 Yr)"/>
  </r>
  <r>
    <s v="TXN-10204"/>
    <s v="CON-1775"/>
    <x v="3"/>
    <d v="2025-09-16T00:00:00"/>
    <n v="32.130000000000003"/>
    <s v="Outright Gift"/>
    <x v="0"/>
    <x v="0"/>
    <s v="EFT/ACH"/>
    <s v="FY26"/>
    <n v="1"/>
    <n v="1"/>
    <n v="1"/>
    <s v="Retained/Active"/>
  </r>
  <r>
    <s v="TXN-10205"/>
    <s v="CON-9445"/>
    <x v="1"/>
    <d v="2025-11-20T00:00:00"/>
    <n v="43.26"/>
    <s v="Outright Gift"/>
    <x v="0"/>
    <x v="1"/>
    <s v="Credit Card"/>
    <s v="FY26"/>
    <n v="0"/>
    <n v="1"/>
    <n v="1"/>
    <s v="Retained/Active"/>
  </r>
  <r>
    <s v="TXN-10206"/>
    <s v="CON-1154"/>
    <x v="0"/>
    <d v="2023-07-14T00:00:00"/>
    <n v="28.99"/>
    <s v="Outright Gift"/>
    <x v="0"/>
    <x v="4"/>
    <s v="Credit Card"/>
    <s v="FY24"/>
    <n v="1"/>
    <n v="1"/>
    <n v="0"/>
    <s v="LYBUNT (Lapsed 1 Yr)"/>
  </r>
  <r>
    <s v="TXN-10207"/>
    <s v="CON-3433"/>
    <x v="1"/>
    <d v="2026-02-25T00:00:00"/>
    <n v="40.25"/>
    <s v="Outright Gift"/>
    <x v="1"/>
    <x v="0"/>
    <s v="Credit Card"/>
    <s v="FY26"/>
    <n v="1"/>
    <n v="1"/>
    <n v="1"/>
    <s v="Retained/Active"/>
  </r>
  <r>
    <s v="TXN-10208"/>
    <s v="CON-8526"/>
    <x v="1"/>
    <d v="2026-03-04T00:00:00"/>
    <n v="310.91000000000003"/>
    <s v="Outright Gift"/>
    <x v="0"/>
    <x v="2"/>
    <s v="EFT/ACH"/>
    <s v="FY26"/>
    <n v="0"/>
    <n v="1"/>
    <n v="1"/>
    <s v="Retained/Active"/>
  </r>
  <r>
    <s v="TXN-10209"/>
    <s v="CON-8270"/>
    <x v="0"/>
    <d v="2026-04-09T00:00:00"/>
    <n v="39.6"/>
    <s v="Pledge Payment"/>
    <x v="0"/>
    <x v="2"/>
    <s v="Credit Card"/>
    <s v="FY26"/>
    <n v="1"/>
    <n v="1"/>
    <n v="1"/>
    <s v="Retained/Active"/>
  </r>
  <r>
    <s v="TXN-10210"/>
    <s v="CON-8805"/>
    <x v="1"/>
    <d v="2026-05-01T00:00:00"/>
    <n v="2234.2600000000002"/>
    <s v="Pledge Payment"/>
    <x v="0"/>
    <x v="0"/>
    <s v="Check"/>
    <s v="FY26"/>
    <n v="1"/>
    <n v="1"/>
    <n v="1"/>
    <s v="Retained/Active"/>
  </r>
  <r>
    <s v="TXN-10211"/>
    <s v="CON-2021"/>
    <x v="1"/>
    <d v="2023-09-25T00:00:00"/>
    <n v="220.98"/>
    <s v="Outright Gift"/>
    <x v="0"/>
    <x v="2"/>
    <s v="Credit Card"/>
    <s v="FY24"/>
    <n v="1"/>
    <n v="1"/>
    <n v="0"/>
    <s v="LYBUNT (Lapsed 1 Yr)"/>
  </r>
  <r>
    <s v="TXN-10212"/>
    <s v="CON-6237"/>
    <x v="0"/>
    <d v="2025-12-25T00:00:00"/>
    <n v="497.64"/>
    <s v="Estate/Planned Gift"/>
    <x v="0"/>
    <x v="2"/>
    <s v="Credit Card"/>
    <s v="FY26"/>
    <n v="1"/>
    <n v="1"/>
    <n v="1"/>
    <s v="Retained/Active"/>
  </r>
  <r>
    <s v="TXN-10213"/>
    <s v="CON-4436"/>
    <x v="0"/>
    <d v="2023-10-30T00:00:00"/>
    <n v="229.73"/>
    <s v="Outright Gift"/>
    <x v="1"/>
    <x v="2"/>
    <s v="Credit Card"/>
    <s v="FY24"/>
    <n v="1"/>
    <n v="0"/>
    <n v="1"/>
    <s v="Retained/Active"/>
  </r>
  <r>
    <s v="TXN-10214"/>
    <s v="CON-9901"/>
    <x v="1"/>
    <d v="2025-07-19T00:00:00"/>
    <n v="589.07000000000005"/>
    <s v="Outright Gift"/>
    <x v="0"/>
    <x v="0"/>
    <s v="Credit Card"/>
    <s v="FY26"/>
    <n v="1"/>
    <n v="0"/>
    <n v="1"/>
    <s v="Retained/Active"/>
  </r>
  <r>
    <s v="TXN-10215"/>
    <s v="CON-1769"/>
    <x v="1"/>
    <d v="2025-05-15T00:00:00"/>
    <n v="39.31"/>
    <s v="Outright Gift"/>
    <x v="0"/>
    <x v="0"/>
    <s v="Credit Card"/>
    <s v="FY25"/>
    <n v="1"/>
    <n v="1"/>
    <n v="0"/>
    <s v="LYBUNT (Lapsed 1 Yr)"/>
  </r>
  <r>
    <s v="TXN-10216"/>
    <s v="CON-6919"/>
    <x v="1"/>
    <d v="2024-05-04T00:00:00"/>
    <n v="797.13"/>
    <s v="Recurring Gift"/>
    <x v="1"/>
    <x v="1"/>
    <s v="Credit Card"/>
    <s v="FY24"/>
    <n v="1"/>
    <n v="1"/>
    <n v="1"/>
    <s v="Retained/Active"/>
  </r>
  <r>
    <s v="TXN-10217"/>
    <s v="CON-4170"/>
    <x v="1"/>
    <d v="2025-05-25T00:00:00"/>
    <n v="145.94"/>
    <s v="Outright Gift"/>
    <x v="0"/>
    <x v="3"/>
    <s v="Credit Card"/>
    <s v="FY25"/>
    <n v="1"/>
    <n v="1"/>
    <n v="1"/>
    <s v="Retained/Active"/>
  </r>
  <r>
    <s v="TXN-10218"/>
    <s v="CON-8339"/>
    <x v="2"/>
    <d v="2024-04-13T00:00:00"/>
    <n v="585.25"/>
    <s v="Outright Gift"/>
    <x v="1"/>
    <x v="2"/>
    <s v="Credit Card"/>
    <s v="FY24"/>
    <n v="1"/>
    <n v="1"/>
    <n v="0"/>
    <s v="LYBUNT (Lapsed 1 Yr)"/>
  </r>
  <r>
    <s v="TXN-10219"/>
    <s v="CON-2693"/>
    <x v="0"/>
    <d v="2024-05-02T00:00:00"/>
    <n v="18.7"/>
    <s v="Pledge Payment"/>
    <x v="0"/>
    <x v="0"/>
    <s v="Credit Card"/>
    <s v="FY24"/>
    <n v="1"/>
    <n v="0"/>
    <n v="1"/>
    <s v="Retained/Active"/>
  </r>
  <r>
    <s v="TXN-10220"/>
    <s v="CON-2853"/>
    <x v="0"/>
    <d v="2025-12-30T00:00:00"/>
    <n v="153.66"/>
    <s v="Outright Gift"/>
    <x v="0"/>
    <x v="4"/>
    <s v="Stock Transfer"/>
    <s v="FY26"/>
    <n v="0"/>
    <n v="1"/>
    <n v="1"/>
    <s v="Retained/Active"/>
  </r>
  <r>
    <s v="TXN-10221"/>
    <s v="CON-8805"/>
    <x v="0"/>
    <d v="2025-04-22T00:00:00"/>
    <n v="146.76"/>
    <s v="Pledge Payment"/>
    <x v="0"/>
    <x v="1"/>
    <s v="Credit Card"/>
    <s v="FY25"/>
    <n v="1"/>
    <n v="1"/>
    <n v="1"/>
    <s v="Retained/Active"/>
  </r>
  <r>
    <s v="TXN-10222"/>
    <s v="CON-5426"/>
    <x v="2"/>
    <d v="2024-12-30T00:00:00"/>
    <n v="54.33"/>
    <s v="Recurring Gift"/>
    <x v="0"/>
    <x v="3"/>
    <s v="EFT/ACH"/>
    <s v="FY25"/>
    <n v="0"/>
    <n v="1"/>
    <n v="1"/>
    <s v="Retained/Active"/>
  </r>
  <r>
    <s v="TXN-10223"/>
    <s v="CON-7019"/>
    <x v="3"/>
    <d v="2024-05-07T00:00:00"/>
    <n v="182.56"/>
    <s v="Estate/Planned Gift"/>
    <x v="0"/>
    <x v="4"/>
    <s v="Credit Card"/>
    <s v="FY24"/>
    <n v="1"/>
    <n v="1"/>
    <n v="1"/>
    <s v="Retained/Active"/>
  </r>
  <r>
    <s v="TXN-10224"/>
    <s v="CON-5869"/>
    <x v="3"/>
    <d v="2025-11-19T00:00:00"/>
    <n v="899.19"/>
    <s v="Outright Gift"/>
    <x v="0"/>
    <x v="3"/>
    <s v="Credit Card"/>
    <s v="FY26"/>
    <n v="1"/>
    <n v="0"/>
    <n v="1"/>
    <s v="Retained/Active"/>
  </r>
  <r>
    <s v="TXN-10225"/>
    <s v="CON-1698"/>
    <x v="2"/>
    <d v="2026-01-09T00:00:00"/>
    <n v="49.16"/>
    <s v="Outright Gift"/>
    <x v="0"/>
    <x v="3"/>
    <s v="Credit Card"/>
    <s v="FY26"/>
    <n v="1"/>
    <n v="0"/>
    <n v="1"/>
    <s v="Retained/Active"/>
  </r>
  <r>
    <s v="TXN-10226"/>
    <s v="CON-4561"/>
    <x v="0"/>
    <d v="2025-07-24T00:00:00"/>
    <n v="424.29"/>
    <s v="Outright Gift"/>
    <x v="1"/>
    <x v="0"/>
    <s v="Credit Card"/>
    <s v="FY26"/>
    <n v="1"/>
    <n v="1"/>
    <n v="1"/>
    <s v="Retained/Active"/>
  </r>
  <r>
    <s v="TXN-10227"/>
    <s v="CON-6450"/>
    <x v="2"/>
    <d v="2023-08-04T00:00:00"/>
    <n v="28.06"/>
    <s v="Outright Gift"/>
    <x v="0"/>
    <x v="1"/>
    <s v="Credit Card"/>
    <s v="FY24"/>
    <n v="1"/>
    <n v="1"/>
    <n v="0"/>
    <s v="LYBUNT (Lapsed 1 Yr)"/>
  </r>
  <r>
    <s v="TXN-10228"/>
    <s v="CON-1197"/>
    <x v="2"/>
    <d v="2024-09-17T00:00:00"/>
    <n v="1886.12"/>
    <s v="Outright Gift"/>
    <x v="1"/>
    <x v="2"/>
    <s v="Credit Card"/>
    <s v="FY25"/>
    <n v="0"/>
    <n v="1"/>
    <n v="1"/>
    <s v="Retained/Active"/>
  </r>
  <r>
    <s v="TXN-10229"/>
    <s v="CON-6986"/>
    <x v="1"/>
    <d v="2023-10-01T00:00:00"/>
    <n v="336.97"/>
    <s v="Outright Gift"/>
    <x v="0"/>
    <x v="1"/>
    <s v="EFT/ACH"/>
    <s v="FY24"/>
    <n v="1"/>
    <n v="1"/>
    <n v="0"/>
    <s v="LYBUNT (Lapsed 1 Yr)"/>
  </r>
  <r>
    <s v="TXN-10230"/>
    <s v="CON-1202"/>
    <x v="1"/>
    <d v="2024-06-17T00:00:00"/>
    <n v="1144.42"/>
    <s v="Estate/Planned Gift"/>
    <x v="0"/>
    <x v="1"/>
    <s v="Credit Card"/>
    <s v="FY24"/>
    <n v="1"/>
    <n v="1"/>
    <n v="0"/>
    <s v="LYBUNT (Lapsed 1 Yr)"/>
  </r>
  <r>
    <s v="TXN-10231"/>
    <s v="CON-3734"/>
    <x v="0"/>
    <d v="2025-12-19T00:00:00"/>
    <n v="291.10000000000002"/>
    <s v="Recurring Gift"/>
    <x v="0"/>
    <x v="2"/>
    <s v="Credit Card"/>
    <s v="FY26"/>
    <n v="0"/>
    <n v="1"/>
    <n v="1"/>
    <s v="Retained/Active"/>
  </r>
  <r>
    <s v="TXN-10232"/>
    <s v="CON-5548"/>
    <x v="4"/>
    <d v="2025-11-08T00:00:00"/>
    <n v="201.9"/>
    <s v="Outright Gift"/>
    <x v="0"/>
    <x v="1"/>
    <s v="Credit Card"/>
    <s v="FY26"/>
    <n v="1"/>
    <n v="1"/>
    <n v="1"/>
    <s v="Retained/Active"/>
  </r>
  <r>
    <s v="TXN-10233"/>
    <s v="CON-1635"/>
    <x v="0"/>
    <d v="2023-12-06T00:00:00"/>
    <n v="340.64"/>
    <s v="Outright Gift"/>
    <x v="1"/>
    <x v="4"/>
    <s v="EFT/ACH"/>
    <s v="FY24"/>
    <n v="1"/>
    <n v="1"/>
    <n v="0"/>
    <s v="LYBUNT (Lapsed 1 Yr)"/>
  </r>
  <r>
    <s v="TXN-10234"/>
    <s v="CON-8513"/>
    <x v="2"/>
    <d v="2026-02-11T00:00:00"/>
    <n v="101.76"/>
    <s v="Outright Gift"/>
    <x v="0"/>
    <x v="3"/>
    <s v="EFT/ACH"/>
    <s v="FY26"/>
    <n v="0"/>
    <n v="0"/>
    <n v="1"/>
    <s v="Retained/Active"/>
  </r>
  <r>
    <s v="TXN-10235"/>
    <s v="CON-7295"/>
    <x v="0"/>
    <d v="2023-07-24T00:00:00"/>
    <n v="15"/>
    <s v="Outright Gift"/>
    <x v="0"/>
    <x v="3"/>
    <s v="Credit Card"/>
    <s v="FY24"/>
    <n v="1"/>
    <n v="1"/>
    <n v="1"/>
    <s v="Retained/Active"/>
  </r>
  <r>
    <s v="TXN-10236"/>
    <s v="CON-3511"/>
    <x v="0"/>
    <d v="2024-08-07T00:00:00"/>
    <n v="217.37"/>
    <s v="Pledge Payment"/>
    <x v="0"/>
    <x v="2"/>
    <s v="Credit Card"/>
    <s v="FY25"/>
    <n v="0"/>
    <n v="1"/>
    <n v="1"/>
    <s v="Retained/Active"/>
  </r>
  <r>
    <s v="TXN-10237"/>
    <s v="CON-6575"/>
    <x v="1"/>
    <d v="2025-09-12T00:00:00"/>
    <n v="45.51"/>
    <s v="Pledge Payment"/>
    <x v="0"/>
    <x v="3"/>
    <s v="Credit Card"/>
    <s v="FY26"/>
    <n v="1"/>
    <n v="1"/>
    <n v="1"/>
    <s v="Retained/Active"/>
  </r>
  <r>
    <s v="TXN-10238"/>
    <s v="CON-2843"/>
    <x v="1"/>
    <d v="2024-11-27T00:00:00"/>
    <n v="29.02"/>
    <s v="Recurring Gift"/>
    <x v="0"/>
    <x v="3"/>
    <s v="Credit Card"/>
    <s v="FY25"/>
    <n v="1"/>
    <n v="1"/>
    <n v="1"/>
    <s v="Retained/Active"/>
  </r>
  <r>
    <s v="TXN-10239"/>
    <s v="CON-7616"/>
    <x v="3"/>
    <d v="2025-07-01T00:00:00"/>
    <n v="277.88"/>
    <s v="Pledge Payment"/>
    <x v="0"/>
    <x v="2"/>
    <s v="EFT/ACH"/>
    <s v="FY26"/>
    <n v="0"/>
    <n v="1"/>
    <n v="1"/>
    <s v="Retained/Active"/>
  </r>
  <r>
    <s v="TXN-10240"/>
    <s v="CON-5548"/>
    <x v="2"/>
    <d v="2024-12-13T00:00:00"/>
    <n v="84.53"/>
    <s v="Outright Gift"/>
    <x v="0"/>
    <x v="1"/>
    <s v="EFT/ACH"/>
    <s v="FY25"/>
    <n v="1"/>
    <n v="1"/>
    <n v="1"/>
    <s v="Retained/Active"/>
  </r>
  <r>
    <s v="TXN-10241"/>
    <s v="CON-5433"/>
    <x v="0"/>
    <d v="2026-02-10T00:00:00"/>
    <n v="462.21"/>
    <s v="Pledge Payment"/>
    <x v="0"/>
    <x v="3"/>
    <s v="Credit Card"/>
    <s v="FY26"/>
    <n v="0"/>
    <n v="1"/>
    <n v="1"/>
    <s v="Retained/Active"/>
  </r>
  <r>
    <s v="TXN-10242"/>
    <s v="CON-7665"/>
    <x v="3"/>
    <d v="2023-11-29T00:00:00"/>
    <n v="43.57"/>
    <s v="Outright Gift"/>
    <x v="0"/>
    <x v="3"/>
    <s v="Credit Card"/>
    <s v="FY24"/>
    <n v="1"/>
    <n v="1"/>
    <n v="0"/>
    <s v="LYBUNT (Lapsed 1 Yr)"/>
  </r>
  <r>
    <s v="TXN-10243"/>
    <s v="CON-8099"/>
    <x v="1"/>
    <d v="2026-02-01T00:00:00"/>
    <n v="65.89"/>
    <s v="Outright Gift"/>
    <x v="0"/>
    <x v="0"/>
    <s v="EFT/ACH"/>
    <s v="FY26"/>
    <n v="1"/>
    <n v="1"/>
    <n v="1"/>
    <s v="Retained/Active"/>
  </r>
  <r>
    <s v="TXN-10244"/>
    <s v="CON-4556"/>
    <x v="4"/>
    <d v="2025-02-27T00:00:00"/>
    <n v="542.05999999999995"/>
    <s v="Outright Gift"/>
    <x v="0"/>
    <x v="1"/>
    <s v="Credit Card"/>
    <s v="FY25"/>
    <n v="1"/>
    <n v="1"/>
    <n v="1"/>
    <s v="Retained/Active"/>
  </r>
  <r>
    <s v="TXN-10245"/>
    <s v="CON-5555"/>
    <x v="0"/>
    <d v="2024-08-23T00:00:00"/>
    <n v="174.83"/>
    <s v="Outright Gift"/>
    <x v="1"/>
    <x v="2"/>
    <s v="Credit Card"/>
    <s v="FY25"/>
    <n v="1"/>
    <n v="1"/>
    <n v="1"/>
    <s v="Retained/Active"/>
  </r>
  <r>
    <s v="TXN-10246"/>
    <s v="CON-3141"/>
    <x v="0"/>
    <d v="2025-11-12T00:00:00"/>
    <n v="17.8"/>
    <s v="Outright Gift"/>
    <x v="0"/>
    <x v="1"/>
    <s v="EFT/ACH"/>
    <s v="FY26"/>
    <n v="1"/>
    <n v="0"/>
    <n v="1"/>
    <s v="Retained/Active"/>
  </r>
  <r>
    <s v="TXN-10247"/>
    <s v="CON-6463"/>
    <x v="0"/>
    <d v="2025-01-28T00:00:00"/>
    <n v="169.88"/>
    <s v="Outright Gift"/>
    <x v="0"/>
    <x v="4"/>
    <s v="Credit Card"/>
    <s v="FY25"/>
    <n v="0"/>
    <n v="1"/>
    <n v="1"/>
    <s v="Retained/Active"/>
  </r>
  <r>
    <s v="TXN-10248"/>
    <s v="CON-2081"/>
    <x v="1"/>
    <d v="2024-05-30T00:00:00"/>
    <n v="833.48"/>
    <s v="Recurring Gift"/>
    <x v="0"/>
    <x v="4"/>
    <s v="Credit Card"/>
    <s v="FY24"/>
    <n v="1"/>
    <n v="1"/>
    <n v="1"/>
    <s v="Retained/Active"/>
  </r>
  <r>
    <s v="TXN-10249"/>
    <s v="CON-2045"/>
    <x v="1"/>
    <d v="2026-01-17T00:00:00"/>
    <n v="65.23"/>
    <s v="Outright Gift"/>
    <x v="0"/>
    <x v="1"/>
    <s v="Credit Card"/>
    <s v="FY26"/>
    <n v="0"/>
    <n v="1"/>
    <n v="1"/>
    <s v="Retained/Active"/>
  </r>
  <r>
    <s v="TXN-10250"/>
    <s v="CON-2986"/>
    <x v="2"/>
    <d v="2024-04-20T00:00:00"/>
    <n v="264.39999999999998"/>
    <s v="Outright Gift"/>
    <x v="1"/>
    <x v="2"/>
    <s v="EFT/ACH"/>
    <s v="FY24"/>
    <n v="1"/>
    <n v="1"/>
    <n v="1"/>
    <s v="Retained/Active"/>
  </r>
  <r>
    <s v="TXN-10251"/>
    <s v="CON-4009"/>
    <x v="3"/>
    <d v="2025-07-24T00:00:00"/>
    <n v="40.28"/>
    <s v="Outright Gift"/>
    <x v="0"/>
    <x v="1"/>
    <s v="Credit Card"/>
    <s v="FY26"/>
    <n v="1"/>
    <n v="1"/>
    <n v="1"/>
    <s v="Retained/Active"/>
  </r>
  <r>
    <s v="TXN-10252"/>
    <s v="CON-9322"/>
    <x v="3"/>
    <d v="2024-01-02T00:00:00"/>
    <n v="101.72"/>
    <s v="Pledge Payment"/>
    <x v="0"/>
    <x v="2"/>
    <s v="Stock Transfer"/>
    <s v="FY24"/>
    <n v="1"/>
    <n v="0"/>
    <n v="0"/>
    <s v="SYBUNT (Lapsed Multi-Yr)"/>
  </r>
  <r>
    <s v="TXN-10253"/>
    <s v="CON-6596"/>
    <x v="1"/>
    <d v="2025-03-28T00:00:00"/>
    <n v="501.09"/>
    <s v="Outright Gift"/>
    <x v="0"/>
    <x v="1"/>
    <s v="EFT/ACH"/>
    <s v="FY25"/>
    <n v="1"/>
    <n v="1"/>
    <n v="1"/>
    <s v="Retained/Active"/>
  </r>
  <r>
    <s v="TXN-10254"/>
    <s v="CON-3975"/>
    <x v="0"/>
    <d v="2024-12-11T00:00:00"/>
    <n v="161.58000000000001"/>
    <s v="Estate/Planned Gift"/>
    <x v="0"/>
    <x v="2"/>
    <s v="Credit Card"/>
    <s v="FY25"/>
    <n v="1"/>
    <n v="1"/>
    <n v="1"/>
    <s v="Retained/Active"/>
  </r>
  <r>
    <s v="TXN-10255"/>
    <s v="CON-1956"/>
    <x v="1"/>
    <d v="2023-07-21T00:00:00"/>
    <n v="649.4"/>
    <s v="Recurring Gift"/>
    <x v="0"/>
    <x v="0"/>
    <s v="Credit Card"/>
    <s v="FY24"/>
    <n v="1"/>
    <n v="0"/>
    <n v="1"/>
    <s v="Retained/Active"/>
  </r>
  <r>
    <s v="TXN-10256"/>
    <s v="CON-5496"/>
    <x v="1"/>
    <d v="2025-12-27T00:00:00"/>
    <n v="211.22"/>
    <s v="Outright Gift"/>
    <x v="0"/>
    <x v="1"/>
    <s v="Credit Card"/>
    <s v="FY26"/>
    <n v="0"/>
    <n v="1"/>
    <n v="1"/>
    <s v="Retained/Active"/>
  </r>
  <r>
    <s v="TXN-10257"/>
    <s v="CON-6949"/>
    <x v="2"/>
    <d v="2025-11-13T00:00:00"/>
    <n v="2174.08"/>
    <s v="Pledge Payment"/>
    <x v="0"/>
    <x v="0"/>
    <s v="Credit Card"/>
    <s v="FY26"/>
    <n v="1"/>
    <n v="1"/>
    <n v="1"/>
    <s v="Retained/Active"/>
  </r>
  <r>
    <s v="TXN-10258"/>
    <s v="CON-6734"/>
    <x v="0"/>
    <d v="2025-09-01T00:00:00"/>
    <n v="15.89"/>
    <s v="Outright Gift"/>
    <x v="0"/>
    <x v="1"/>
    <s v="Check"/>
    <s v="FY26"/>
    <n v="1"/>
    <n v="1"/>
    <n v="1"/>
    <s v="Retained/Active"/>
  </r>
  <r>
    <s v="TXN-10259"/>
    <s v="CON-8408"/>
    <x v="1"/>
    <d v="2023-10-08T00:00:00"/>
    <n v="91.62"/>
    <s v="Outright Gift"/>
    <x v="0"/>
    <x v="0"/>
    <s v="EFT/ACH"/>
    <s v="FY24"/>
    <n v="1"/>
    <n v="1"/>
    <n v="0"/>
    <s v="LYBUNT (Lapsed 1 Yr)"/>
  </r>
  <r>
    <s v="TXN-10260"/>
    <s v="CON-4327"/>
    <x v="1"/>
    <d v="2025-07-21T00:00:00"/>
    <n v="29.67"/>
    <s v="Pledge Payment"/>
    <x v="0"/>
    <x v="1"/>
    <s v="Credit Card"/>
    <s v="FY26"/>
    <n v="1"/>
    <n v="1"/>
    <n v="1"/>
    <s v="Retained/Active"/>
  </r>
  <r>
    <s v="TXN-10261"/>
    <s v="CON-6237"/>
    <x v="4"/>
    <d v="2024-10-20T00:00:00"/>
    <n v="32.42"/>
    <s v="Outright Gift"/>
    <x v="0"/>
    <x v="0"/>
    <s v="EFT/ACH"/>
    <s v="FY25"/>
    <n v="1"/>
    <n v="1"/>
    <n v="1"/>
    <s v="Retained/Active"/>
  </r>
  <r>
    <s v="TXN-10262"/>
    <s v="CON-7439"/>
    <x v="1"/>
    <d v="2026-01-25T00:00:00"/>
    <n v="32.81"/>
    <s v="Outright Gift"/>
    <x v="0"/>
    <x v="3"/>
    <s v="Credit Card"/>
    <s v="FY26"/>
    <n v="1"/>
    <n v="1"/>
    <n v="1"/>
    <s v="Retained/Active"/>
  </r>
  <r>
    <s v="TXN-10263"/>
    <s v="CON-6530"/>
    <x v="0"/>
    <d v="2024-12-07T00:00:00"/>
    <n v="151.12"/>
    <s v="Outright Gift"/>
    <x v="0"/>
    <x v="3"/>
    <s v="EFT/ACH"/>
    <s v="FY25"/>
    <n v="1"/>
    <n v="1"/>
    <n v="1"/>
    <s v="Retained/Active"/>
  </r>
  <r>
    <s v="TXN-10264"/>
    <s v="CON-4170"/>
    <x v="0"/>
    <d v="2024-05-29T00:00:00"/>
    <n v="163.07"/>
    <s v="Outright Gift"/>
    <x v="0"/>
    <x v="3"/>
    <s v="EFT/ACH"/>
    <s v="FY24"/>
    <n v="1"/>
    <n v="1"/>
    <n v="1"/>
    <s v="Retained/Active"/>
  </r>
  <r>
    <s v="TXN-10265"/>
    <s v="CON-5973"/>
    <x v="1"/>
    <d v="2023-07-02T00:00:00"/>
    <n v="211.81"/>
    <s v="Recurring Gift"/>
    <x v="0"/>
    <x v="4"/>
    <s v="Credit Card"/>
    <s v="FY24"/>
    <n v="1"/>
    <n v="1"/>
    <n v="1"/>
    <s v="Retained/Active"/>
  </r>
  <r>
    <s v="TXN-10266"/>
    <s v="CON-4510"/>
    <x v="1"/>
    <d v="2024-07-09T00:00:00"/>
    <n v="28.22"/>
    <s v="Outright Gift"/>
    <x v="0"/>
    <x v="1"/>
    <s v="Credit Card"/>
    <s v="FY25"/>
    <n v="1"/>
    <n v="1"/>
    <n v="1"/>
    <s v="Retained/Active"/>
  </r>
  <r>
    <s v="TXN-10267"/>
    <s v="CON-8996"/>
    <x v="0"/>
    <d v="2024-04-18T00:00:00"/>
    <n v="79.72"/>
    <s v="Pledge Payment"/>
    <x v="1"/>
    <x v="1"/>
    <s v="EFT/ACH"/>
    <s v="FY24"/>
    <n v="1"/>
    <n v="0"/>
    <n v="1"/>
    <s v="Retained/Active"/>
  </r>
  <r>
    <s v="TXN-10268"/>
    <s v="CON-3491"/>
    <x v="3"/>
    <d v="2025-10-14T00:00:00"/>
    <n v="34.69"/>
    <s v="Outright Gift"/>
    <x v="1"/>
    <x v="0"/>
    <s v="EFT/ACH"/>
    <s v="FY26"/>
    <n v="1"/>
    <n v="0"/>
    <n v="1"/>
    <s v="Retained/Active"/>
  </r>
  <r>
    <s v="TXN-10269"/>
    <s v="CON-1699"/>
    <x v="0"/>
    <d v="2026-03-31T00:00:00"/>
    <n v="410.2"/>
    <s v="Pledge Payment"/>
    <x v="0"/>
    <x v="3"/>
    <s v="Credit Card"/>
    <s v="FY26"/>
    <n v="1"/>
    <n v="1"/>
    <n v="1"/>
    <s v="Retained/Active"/>
  </r>
  <r>
    <s v="TXN-10270"/>
    <s v="CON-2016"/>
    <x v="2"/>
    <d v="2025-01-03T00:00:00"/>
    <n v="39.200000000000003"/>
    <s v="Outright Gift"/>
    <x v="0"/>
    <x v="4"/>
    <s v="Credit Card"/>
    <s v="FY25"/>
    <n v="1"/>
    <n v="1"/>
    <n v="1"/>
    <s v="Retained/Active"/>
  </r>
  <r>
    <s v="TXN-10271"/>
    <s v="CON-9815"/>
    <x v="4"/>
    <d v="2024-05-13T00:00:00"/>
    <n v="92.04"/>
    <s v="Outright Gift"/>
    <x v="0"/>
    <x v="1"/>
    <s v="EFT/ACH"/>
    <s v="FY24"/>
    <n v="1"/>
    <n v="0"/>
    <n v="1"/>
    <s v="Retained/Active"/>
  </r>
  <r>
    <s v="TXN-10272"/>
    <s v="CON-4124"/>
    <x v="3"/>
    <d v="2024-07-15T00:00:00"/>
    <n v="251.74"/>
    <s v="Recurring Gift"/>
    <x v="0"/>
    <x v="0"/>
    <s v="Credit Card"/>
    <s v="FY25"/>
    <n v="1"/>
    <n v="1"/>
    <n v="1"/>
    <s v="Retained/Active"/>
  </r>
  <r>
    <s v="TXN-10273"/>
    <s v="CON-1537"/>
    <x v="0"/>
    <d v="2023-07-14T00:00:00"/>
    <n v="54.58"/>
    <s v="Outright Gift"/>
    <x v="0"/>
    <x v="1"/>
    <s v="Credit Card"/>
    <s v="FY24"/>
    <n v="1"/>
    <n v="1"/>
    <n v="0"/>
    <s v="LYBUNT (Lapsed 1 Yr)"/>
  </r>
  <r>
    <s v="TXN-10274"/>
    <s v="CON-6088"/>
    <x v="0"/>
    <d v="2024-11-15T00:00:00"/>
    <n v="299.48"/>
    <s v="Outright Gift"/>
    <x v="0"/>
    <x v="2"/>
    <s v="Credit Card"/>
    <s v="FY25"/>
    <n v="1"/>
    <n v="1"/>
    <n v="0"/>
    <s v="LYBUNT (Lapsed 1 Yr)"/>
  </r>
  <r>
    <s v="TXN-10275"/>
    <s v="CON-4510"/>
    <x v="2"/>
    <d v="2024-02-16T00:00:00"/>
    <n v="967.68"/>
    <s v="Outright Gift"/>
    <x v="1"/>
    <x v="2"/>
    <s v="Credit Card"/>
    <s v="FY24"/>
    <n v="1"/>
    <n v="1"/>
    <n v="1"/>
    <s v="Retained/Active"/>
  </r>
  <r>
    <s v="TXN-10276"/>
    <s v="CON-9996"/>
    <x v="2"/>
    <d v="2023-11-07T00:00:00"/>
    <n v="155.5"/>
    <s v="Pledge Payment"/>
    <x v="0"/>
    <x v="1"/>
    <s v="Credit Card"/>
    <s v="FY24"/>
    <n v="1"/>
    <n v="1"/>
    <n v="1"/>
    <s v="Retained/Active"/>
  </r>
  <r>
    <s v="TXN-10277"/>
    <s v="CON-8385"/>
    <x v="0"/>
    <d v="2025-10-15T00:00:00"/>
    <n v="392.33"/>
    <s v="Outright Gift"/>
    <x v="0"/>
    <x v="0"/>
    <s v="Stock Transfer"/>
    <s v="FY26"/>
    <n v="0"/>
    <n v="1"/>
    <n v="1"/>
    <s v="Retained/Active"/>
  </r>
  <r>
    <s v="TXN-10278"/>
    <s v="CON-3731"/>
    <x v="2"/>
    <d v="2025-12-07T00:00:00"/>
    <n v="15"/>
    <s v="Recurring Gift"/>
    <x v="0"/>
    <x v="2"/>
    <s v="EFT/ACH"/>
    <s v="FY26"/>
    <n v="1"/>
    <n v="1"/>
    <n v="1"/>
    <s v="Retained/Active"/>
  </r>
  <r>
    <s v="TXN-10279"/>
    <s v="CON-2679"/>
    <x v="1"/>
    <d v="2023-07-28T00:00:00"/>
    <n v="69.56"/>
    <s v="Outright Gift"/>
    <x v="0"/>
    <x v="2"/>
    <s v="Credit Card"/>
    <s v="FY24"/>
    <n v="1"/>
    <n v="1"/>
    <n v="1"/>
    <s v="Retained/Active"/>
  </r>
  <r>
    <s v="TXN-10280"/>
    <s v="CON-8206"/>
    <x v="0"/>
    <d v="2023-09-04T00:00:00"/>
    <n v="154.53"/>
    <s v="Outright Gift"/>
    <x v="0"/>
    <x v="1"/>
    <s v="Credit Card"/>
    <s v="FY24"/>
    <n v="1"/>
    <n v="1"/>
    <n v="1"/>
    <s v="Retained/Active"/>
  </r>
  <r>
    <s v="TXN-10281"/>
    <s v="CON-7265"/>
    <x v="0"/>
    <d v="2024-03-17T00:00:00"/>
    <n v="30.91"/>
    <s v="Pledge Payment"/>
    <x v="0"/>
    <x v="3"/>
    <s v="Credit Card"/>
    <s v="FY24"/>
    <n v="1"/>
    <n v="1"/>
    <n v="0"/>
    <s v="LYBUNT (Lapsed 1 Yr)"/>
  </r>
  <r>
    <s v="TXN-10282"/>
    <s v="CON-2986"/>
    <x v="1"/>
    <d v="2024-10-02T00:00:00"/>
    <n v="159.16999999999999"/>
    <s v="Pledge Payment"/>
    <x v="0"/>
    <x v="0"/>
    <s v="Credit Card"/>
    <s v="FY25"/>
    <n v="1"/>
    <n v="1"/>
    <n v="1"/>
    <s v="Retained/Active"/>
  </r>
  <r>
    <s v="TXN-10283"/>
    <s v="CON-5142"/>
    <x v="1"/>
    <d v="2024-04-26T00:00:00"/>
    <n v="481.99"/>
    <s v="Recurring Gift"/>
    <x v="0"/>
    <x v="3"/>
    <s v="Check"/>
    <s v="FY24"/>
    <n v="1"/>
    <n v="0"/>
    <n v="0"/>
    <s v="SYBUNT (Lapsed Multi-Yr)"/>
  </r>
  <r>
    <s v="TXN-10284"/>
    <s v="CON-6915"/>
    <x v="2"/>
    <d v="2026-01-04T00:00:00"/>
    <n v="15"/>
    <s v="Estate/Planned Gift"/>
    <x v="0"/>
    <x v="3"/>
    <s v="Credit Card"/>
    <s v="FY26"/>
    <n v="1"/>
    <n v="1"/>
    <n v="1"/>
    <s v="Retained/Active"/>
  </r>
  <r>
    <s v="TXN-10285"/>
    <s v="CON-2693"/>
    <x v="0"/>
    <d v="2024-04-12T00:00:00"/>
    <n v="25.9"/>
    <s v="Outright Gift"/>
    <x v="0"/>
    <x v="1"/>
    <s v="Stock Transfer"/>
    <s v="FY24"/>
    <n v="1"/>
    <n v="0"/>
    <n v="1"/>
    <s v="Retained/Active"/>
  </r>
  <r>
    <s v="TXN-10286"/>
    <s v="CON-4436"/>
    <x v="0"/>
    <d v="2026-04-29T00:00:00"/>
    <n v="154.51"/>
    <s v="Outright Gift"/>
    <x v="0"/>
    <x v="1"/>
    <s v="Credit Card"/>
    <s v="FY26"/>
    <n v="1"/>
    <n v="0"/>
    <n v="1"/>
    <s v="Retained/Active"/>
  </r>
  <r>
    <s v="TXN-10287"/>
    <s v="CON-3558"/>
    <x v="0"/>
    <d v="2025-03-21T00:00:00"/>
    <n v="221.08"/>
    <s v="Outright Gift"/>
    <x v="0"/>
    <x v="2"/>
    <s v="EFT/ACH"/>
    <s v="FY25"/>
    <n v="0"/>
    <n v="1"/>
    <n v="1"/>
    <s v="Retained/Active"/>
  </r>
  <r>
    <s v="TXN-10288"/>
    <s v="CON-4073"/>
    <x v="0"/>
    <d v="2024-03-26T00:00:00"/>
    <n v="317.19"/>
    <s v="Pledge Payment"/>
    <x v="0"/>
    <x v="1"/>
    <s v="Credit Card"/>
    <s v="FY24"/>
    <n v="1"/>
    <n v="1"/>
    <n v="1"/>
    <s v="Retained/Active"/>
  </r>
  <r>
    <s v="TXN-10289"/>
    <s v="CON-5737"/>
    <x v="1"/>
    <d v="2025-02-11T00:00:00"/>
    <n v="140.35"/>
    <s v="Recurring Gift"/>
    <x v="1"/>
    <x v="3"/>
    <s v="Credit Card"/>
    <s v="FY25"/>
    <n v="1"/>
    <n v="1"/>
    <n v="0"/>
    <s v="LYBUNT (Lapsed 1 Yr)"/>
  </r>
  <r>
    <s v="TXN-10290"/>
    <s v="CON-9680"/>
    <x v="2"/>
    <d v="2025-10-21T00:00:00"/>
    <n v="221.4"/>
    <s v="Outright Gift"/>
    <x v="0"/>
    <x v="2"/>
    <s v="Credit Card"/>
    <s v="FY26"/>
    <n v="0"/>
    <n v="1"/>
    <n v="1"/>
    <s v="Retained/Active"/>
  </r>
  <r>
    <s v="TXN-10291"/>
    <s v="CON-3027"/>
    <x v="3"/>
    <d v="2025-11-08T00:00:00"/>
    <n v="393.28"/>
    <s v="Outright Gift"/>
    <x v="1"/>
    <x v="3"/>
    <s v="Check"/>
    <s v="FY26"/>
    <n v="1"/>
    <n v="0"/>
    <n v="1"/>
    <s v="Retained/Active"/>
  </r>
  <r>
    <s v="TXN-10292"/>
    <s v="CON-6575"/>
    <x v="3"/>
    <d v="2023-11-10T00:00:00"/>
    <n v="70.900000000000006"/>
    <s v="Outright Gift"/>
    <x v="1"/>
    <x v="1"/>
    <s v="EFT/ACH"/>
    <s v="FY24"/>
    <n v="1"/>
    <n v="1"/>
    <n v="1"/>
    <s v="Retained/Active"/>
  </r>
  <r>
    <s v="TXN-10293"/>
    <s v="CON-6258"/>
    <x v="2"/>
    <d v="2026-02-26T00:00:00"/>
    <n v="55.08"/>
    <s v="Recurring Gift"/>
    <x v="0"/>
    <x v="1"/>
    <s v="Check"/>
    <s v="FY26"/>
    <n v="1"/>
    <n v="0"/>
    <n v="1"/>
    <s v="Retained/Active"/>
  </r>
  <r>
    <s v="TXN-10294"/>
    <s v="CON-3062"/>
    <x v="0"/>
    <d v="2024-11-24T00:00:00"/>
    <n v="97.61"/>
    <s v="Outright Gift"/>
    <x v="0"/>
    <x v="2"/>
    <s v="EFT/ACH"/>
    <s v="FY25"/>
    <n v="1"/>
    <n v="1"/>
    <n v="1"/>
    <s v="Retained/Active"/>
  </r>
  <r>
    <s v="TXN-10295"/>
    <s v="CON-3838"/>
    <x v="1"/>
    <d v="2024-05-08T00:00:00"/>
    <n v="157.49"/>
    <s v="Outright Gift"/>
    <x v="1"/>
    <x v="1"/>
    <s v="Check"/>
    <s v="FY24"/>
    <n v="1"/>
    <n v="0"/>
    <n v="1"/>
    <s v="Retained/Active"/>
  </r>
  <r>
    <s v="TXN-10296"/>
    <s v="CON-8270"/>
    <x v="0"/>
    <d v="2025-01-26T00:00:00"/>
    <n v="51.64"/>
    <s v="Outright Gift"/>
    <x v="0"/>
    <x v="2"/>
    <s v="Credit Card"/>
    <s v="FY25"/>
    <n v="1"/>
    <n v="1"/>
    <n v="1"/>
    <s v="Retained/Active"/>
  </r>
  <r>
    <s v="TXN-10297"/>
    <s v="CON-4943"/>
    <x v="1"/>
    <d v="2025-12-02T00:00:00"/>
    <n v="72.83"/>
    <s v="Recurring Gift"/>
    <x v="0"/>
    <x v="3"/>
    <s v="Credit Card"/>
    <s v="FY26"/>
    <n v="1"/>
    <n v="0"/>
    <n v="1"/>
    <s v="Retained/Active"/>
  </r>
  <r>
    <s v="TXN-10298"/>
    <s v="CON-2707"/>
    <x v="4"/>
    <d v="2025-05-17T00:00:00"/>
    <n v="203.77"/>
    <s v="Pledge Payment"/>
    <x v="1"/>
    <x v="0"/>
    <s v="EFT/ACH"/>
    <s v="FY25"/>
    <n v="1"/>
    <n v="1"/>
    <n v="1"/>
    <s v="Retained/Active"/>
  </r>
  <r>
    <s v="TXN-10299"/>
    <s v="CON-6759"/>
    <x v="1"/>
    <d v="2023-12-12T00:00:00"/>
    <n v="149.16999999999999"/>
    <s v="Pledge Payment"/>
    <x v="0"/>
    <x v="2"/>
    <s v="EFT/ACH"/>
    <s v="FY24"/>
    <n v="1"/>
    <n v="0"/>
    <n v="1"/>
    <s v="Retained/Active"/>
  </r>
  <r>
    <s v="TXN-10300"/>
    <s v="CON-9754"/>
    <x v="1"/>
    <d v="2024-04-30T00:00:00"/>
    <n v="95.49"/>
    <s v="Outright Gift"/>
    <x v="0"/>
    <x v="1"/>
    <s v="EFT/ACH"/>
    <s v="FY24"/>
    <n v="1"/>
    <n v="1"/>
    <n v="0"/>
    <s v="LYBUNT (Lapsed 1 Yr)"/>
  </r>
  <r>
    <s v="TXN-10301"/>
    <s v="CON-2931"/>
    <x v="3"/>
    <d v="2023-12-03T00:00:00"/>
    <n v="15"/>
    <s v="Outright Gift"/>
    <x v="0"/>
    <x v="1"/>
    <s v="Credit Card"/>
    <s v="FY24"/>
    <n v="1"/>
    <n v="1"/>
    <n v="1"/>
    <s v="Retained/Active"/>
  </r>
  <r>
    <s v="TXN-10302"/>
    <s v="CON-2184"/>
    <x v="4"/>
    <d v="2025-03-11T00:00:00"/>
    <n v="120.96"/>
    <s v="Pledge Payment"/>
    <x v="0"/>
    <x v="4"/>
    <s v="Credit Card"/>
    <s v="FY25"/>
    <n v="1"/>
    <n v="1"/>
    <n v="1"/>
    <s v="Retained/Active"/>
  </r>
  <r>
    <s v="TXN-10303"/>
    <s v="CON-2528"/>
    <x v="3"/>
    <d v="2026-02-11T00:00:00"/>
    <n v="34.43"/>
    <s v="Estate/Planned Gift"/>
    <x v="0"/>
    <x v="4"/>
    <s v="Check"/>
    <s v="FY26"/>
    <n v="1"/>
    <n v="1"/>
    <n v="1"/>
    <s v="Retained/Active"/>
  </r>
  <r>
    <s v="TXN-10304"/>
    <s v="CON-5869"/>
    <x v="1"/>
    <d v="2024-05-29T00:00:00"/>
    <n v="436.16"/>
    <s v="Outright Gift"/>
    <x v="0"/>
    <x v="0"/>
    <s v="EFT/ACH"/>
    <s v="FY24"/>
    <n v="1"/>
    <n v="0"/>
    <n v="1"/>
    <s v="Retained/Active"/>
  </r>
  <r>
    <s v="TXN-10305"/>
    <s v="CON-4104"/>
    <x v="1"/>
    <d v="2026-02-23T00:00:00"/>
    <n v="81.34"/>
    <s v="Outright Gift"/>
    <x v="0"/>
    <x v="4"/>
    <s v="Credit Card"/>
    <s v="FY26"/>
    <n v="0"/>
    <n v="1"/>
    <n v="1"/>
    <s v="Retained/Active"/>
  </r>
  <r>
    <s v="TXN-10306"/>
    <s v="CON-5859"/>
    <x v="0"/>
    <d v="2024-11-22T00:00:00"/>
    <n v="33.28"/>
    <s v="Outright Gift"/>
    <x v="0"/>
    <x v="0"/>
    <s v="EFT/ACH"/>
    <s v="FY25"/>
    <n v="0"/>
    <n v="1"/>
    <n v="0"/>
    <s v="LYBUNT (Lapsed 1 Yr)"/>
  </r>
  <r>
    <s v="TXN-10307"/>
    <s v="CON-9792"/>
    <x v="1"/>
    <d v="2026-05-09T00:00:00"/>
    <n v="112.17"/>
    <s v="Outright Gift"/>
    <x v="0"/>
    <x v="1"/>
    <s v="Check"/>
    <s v="FY26"/>
    <n v="1"/>
    <n v="1"/>
    <n v="1"/>
    <s v="Retained/Active"/>
  </r>
  <r>
    <s v="TXN-10308"/>
    <s v="CON-4763"/>
    <x v="1"/>
    <d v="2024-04-07T00:00:00"/>
    <n v="633.91"/>
    <s v="Recurring Gift"/>
    <x v="0"/>
    <x v="1"/>
    <s v="Credit Card"/>
    <s v="FY24"/>
    <n v="1"/>
    <n v="1"/>
    <n v="1"/>
    <s v="Retained/Active"/>
  </r>
  <r>
    <s v="TXN-10309"/>
    <s v="CON-2218"/>
    <x v="0"/>
    <d v="2025-09-04T00:00:00"/>
    <n v="275.91000000000003"/>
    <s v="Outright Gift"/>
    <x v="0"/>
    <x v="4"/>
    <s v="Check"/>
    <s v="FY26"/>
    <n v="1"/>
    <n v="1"/>
    <n v="1"/>
    <s v="Retained/Active"/>
  </r>
  <r>
    <s v="TXN-10310"/>
    <s v="CON-2636"/>
    <x v="4"/>
    <d v="2026-04-20T00:00:00"/>
    <n v="161.72"/>
    <s v="Outright Gift"/>
    <x v="0"/>
    <x v="1"/>
    <s v="Check"/>
    <s v="FY26"/>
    <n v="1"/>
    <n v="0"/>
    <n v="1"/>
    <s v="Retained/Active"/>
  </r>
  <r>
    <s v="TXN-10311"/>
    <s v="CON-3790"/>
    <x v="0"/>
    <d v="2023-10-27T00:00:00"/>
    <n v="21.67"/>
    <s v="Outright Gift"/>
    <x v="0"/>
    <x v="0"/>
    <s v="Check"/>
    <s v="FY24"/>
    <n v="1"/>
    <n v="1"/>
    <n v="1"/>
    <s v="Retained/Active"/>
  </r>
  <r>
    <s v="TXN-10312"/>
    <s v="CON-4436"/>
    <x v="2"/>
    <d v="2024-01-14T00:00:00"/>
    <n v="1000.32"/>
    <s v="Outright Gift"/>
    <x v="0"/>
    <x v="0"/>
    <s v="Check"/>
    <s v="FY24"/>
    <n v="1"/>
    <n v="0"/>
    <n v="1"/>
    <s v="Retained/Active"/>
  </r>
  <r>
    <s v="TXN-10313"/>
    <s v="CON-5070"/>
    <x v="2"/>
    <d v="2024-10-27T00:00:00"/>
    <n v="54.16"/>
    <s v="Outright Gift"/>
    <x v="1"/>
    <x v="2"/>
    <s v="Credit Card"/>
    <s v="FY25"/>
    <n v="1"/>
    <n v="1"/>
    <n v="1"/>
    <s v="Retained/Active"/>
  </r>
  <r>
    <s v="TXN-10314"/>
    <s v="CON-2409"/>
    <x v="0"/>
    <d v="2025-10-14T00:00:00"/>
    <n v="409.08"/>
    <s v="Outright Gift"/>
    <x v="0"/>
    <x v="0"/>
    <s v="Credit Card"/>
    <s v="FY26"/>
    <n v="0"/>
    <n v="1"/>
    <n v="1"/>
    <s v="Retained/Active"/>
  </r>
  <r>
    <s v="TXN-10315"/>
    <s v="CON-8683"/>
    <x v="2"/>
    <d v="2026-04-04T00:00:00"/>
    <n v="79.599999999999994"/>
    <s v="Outright Gift"/>
    <x v="0"/>
    <x v="1"/>
    <s v="Credit Card"/>
    <s v="FY26"/>
    <n v="1"/>
    <n v="1"/>
    <n v="1"/>
    <s v="Retained/Active"/>
  </r>
  <r>
    <s v="TXN-10316"/>
    <s v="CON-2021"/>
    <x v="1"/>
    <d v="2025-05-21T00:00:00"/>
    <n v="360.96"/>
    <s v="Pledge Payment"/>
    <x v="0"/>
    <x v="1"/>
    <s v="Credit Card"/>
    <s v="FY25"/>
    <n v="1"/>
    <n v="1"/>
    <n v="0"/>
    <s v="LYBUNT (Lapsed 1 Yr)"/>
  </r>
  <r>
    <s v="TXN-10317"/>
    <s v="CON-1098"/>
    <x v="1"/>
    <d v="2026-05-01T00:00:00"/>
    <n v="664.43"/>
    <s v="Outright Gift"/>
    <x v="1"/>
    <x v="2"/>
    <s v="Credit Card"/>
    <s v="FY26"/>
    <n v="0"/>
    <n v="1"/>
    <n v="1"/>
    <s v="Retained/Active"/>
  </r>
  <r>
    <s v="TXN-10318"/>
    <s v="CON-6188"/>
    <x v="2"/>
    <d v="2024-11-01T00:00:00"/>
    <n v="282.19"/>
    <s v="Outright Gift"/>
    <x v="0"/>
    <x v="2"/>
    <s v="Credit Card"/>
    <s v="FY25"/>
    <n v="0"/>
    <n v="1"/>
    <n v="0"/>
    <s v="LYBUNT (Lapsed 1 Yr)"/>
  </r>
  <r>
    <s v="TXN-10319"/>
    <s v="CON-8158"/>
    <x v="1"/>
    <d v="2024-04-01T00:00:00"/>
    <n v="324.61"/>
    <s v="Estate/Planned Gift"/>
    <x v="0"/>
    <x v="0"/>
    <s v="Credit Card"/>
    <s v="FY24"/>
    <n v="1"/>
    <n v="0"/>
    <n v="1"/>
    <s v="Retained/Active"/>
  </r>
  <r>
    <s v="TXN-10320"/>
    <s v="CON-5496"/>
    <x v="4"/>
    <d v="2025-05-23T00:00:00"/>
    <n v="106.91"/>
    <s v="Pledge Payment"/>
    <x v="0"/>
    <x v="2"/>
    <s v="Credit Card"/>
    <s v="FY25"/>
    <n v="0"/>
    <n v="1"/>
    <n v="1"/>
    <s v="Retained/Active"/>
  </r>
  <r>
    <s v="TXN-10321"/>
    <s v="CON-6801"/>
    <x v="1"/>
    <d v="2024-02-27T00:00:00"/>
    <n v="69.12"/>
    <s v="Pledge Payment"/>
    <x v="0"/>
    <x v="1"/>
    <s v="Credit Card"/>
    <s v="FY24"/>
    <n v="1"/>
    <n v="0"/>
    <n v="1"/>
    <s v="Retained/Active"/>
  </r>
  <r>
    <s v="TXN-10322"/>
    <s v="CON-6977"/>
    <x v="2"/>
    <d v="2023-11-03T00:00:00"/>
    <n v="145.44"/>
    <s v="Outright Gift"/>
    <x v="0"/>
    <x v="3"/>
    <s v="Check"/>
    <s v="FY24"/>
    <n v="1"/>
    <n v="0"/>
    <n v="1"/>
    <s v="Retained/Active"/>
  </r>
  <r>
    <s v="TXN-10323"/>
    <s v="CON-4446"/>
    <x v="0"/>
    <d v="2024-02-02T00:00:00"/>
    <n v="78.11"/>
    <s v="Outright Gift"/>
    <x v="0"/>
    <x v="0"/>
    <s v="Credit Card"/>
    <s v="FY24"/>
    <n v="1"/>
    <n v="1"/>
    <n v="0"/>
    <s v="LYBUNT (Lapsed 1 Yr)"/>
  </r>
  <r>
    <s v="TXN-10324"/>
    <s v="CON-4009"/>
    <x v="1"/>
    <d v="2024-11-06T00:00:00"/>
    <n v="3002.99"/>
    <s v="Outright Gift"/>
    <x v="0"/>
    <x v="1"/>
    <s v="EFT/ACH"/>
    <s v="FY25"/>
    <n v="1"/>
    <n v="1"/>
    <n v="1"/>
    <s v="Retained/Active"/>
  </r>
  <r>
    <s v="TXN-10325"/>
    <s v="CON-3385"/>
    <x v="1"/>
    <d v="2024-08-30T00:00:00"/>
    <n v="33.450000000000003"/>
    <s v="Outright Gift"/>
    <x v="1"/>
    <x v="0"/>
    <s v="Credit Card"/>
    <s v="FY25"/>
    <n v="0"/>
    <n v="1"/>
    <n v="1"/>
    <s v="Retained/Active"/>
  </r>
  <r>
    <s v="TXN-10326"/>
    <s v="CON-7197"/>
    <x v="2"/>
    <d v="2026-01-04T00:00:00"/>
    <n v="447.07"/>
    <s v="Outright Gift"/>
    <x v="0"/>
    <x v="3"/>
    <s v="Credit Card"/>
    <s v="FY26"/>
    <n v="0"/>
    <n v="1"/>
    <n v="1"/>
    <s v="Retained/Active"/>
  </r>
  <r>
    <s v="TXN-10327"/>
    <s v="CON-3491"/>
    <x v="3"/>
    <d v="2023-11-28T00:00:00"/>
    <n v="238.02"/>
    <s v="Recurring Gift"/>
    <x v="0"/>
    <x v="3"/>
    <s v="Check"/>
    <s v="FY24"/>
    <n v="1"/>
    <n v="0"/>
    <n v="1"/>
    <s v="Retained/Active"/>
  </r>
  <r>
    <s v="TXN-10328"/>
    <s v="CON-3849"/>
    <x v="3"/>
    <d v="2024-07-18T00:00:00"/>
    <n v="163.83000000000001"/>
    <s v="Outright Gift"/>
    <x v="0"/>
    <x v="1"/>
    <s v="Credit Card"/>
    <s v="FY25"/>
    <n v="1"/>
    <n v="1"/>
    <n v="1"/>
    <s v="Retained/Active"/>
  </r>
  <r>
    <s v="TXN-10329"/>
    <s v="CON-8892"/>
    <x v="0"/>
    <d v="2024-05-03T00:00:00"/>
    <n v="832.02"/>
    <s v="Outright Gift"/>
    <x v="1"/>
    <x v="2"/>
    <s v="Credit Card"/>
    <s v="FY24"/>
    <n v="1"/>
    <n v="0"/>
    <n v="0"/>
    <s v="SYBUNT (Lapsed Multi-Yr)"/>
  </r>
  <r>
    <s v="TXN-10330"/>
    <s v="CON-9684"/>
    <x v="3"/>
    <d v="2025-07-15T00:00:00"/>
    <n v="179.09"/>
    <s v="Outright Gift"/>
    <x v="0"/>
    <x v="1"/>
    <s v="Credit Card"/>
    <s v="FY26"/>
    <n v="1"/>
    <n v="1"/>
    <n v="1"/>
    <s v="Retained/Active"/>
  </r>
  <r>
    <s v="TXN-10331"/>
    <s v="CON-4840"/>
    <x v="2"/>
    <d v="2025-12-08T00:00:00"/>
    <n v="53.23"/>
    <s v="Outright Gift"/>
    <x v="1"/>
    <x v="1"/>
    <s v="Credit Card"/>
    <s v="FY26"/>
    <n v="1"/>
    <n v="0"/>
    <n v="1"/>
    <s v="Retained/Active"/>
  </r>
  <r>
    <s v="TXN-10332"/>
    <s v="CON-3511"/>
    <x v="2"/>
    <d v="2024-07-09T00:00:00"/>
    <n v="177.55"/>
    <s v="Pledge Payment"/>
    <x v="1"/>
    <x v="0"/>
    <s v="Credit Card"/>
    <s v="FY25"/>
    <n v="0"/>
    <n v="1"/>
    <n v="1"/>
    <s v="Retained/Active"/>
  </r>
  <r>
    <s v="TXN-10333"/>
    <s v="CON-5735"/>
    <x v="0"/>
    <d v="2026-04-27T00:00:00"/>
    <n v="95.76"/>
    <s v="Outright Gift"/>
    <x v="0"/>
    <x v="2"/>
    <s v="Credit Card"/>
    <s v="FY26"/>
    <n v="1"/>
    <n v="0"/>
    <n v="1"/>
    <s v="Retained/Active"/>
  </r>
  <r>
    <s v="TXN-10334"/>
    <s v="CON-2154"/>
    <x v="2"/>
    <d v="2023-11-06T00:00:00"/>
    <n v="233.75"/>
    <s v="Pledge Payment"/>
    <x v="0"/>
    <x v="2"/>
    <s v="Credit Card"/>
    <s v="FY24"/>
    <n v="1"/>
    <n v="1"/>
    <n v="1"/>
    <s v="Retained/Active"/>
  </r>
  <r>
    <s v="TXN-10335"/>
    <s v="CON-7709"/>
    <x v="3"/>
    <d v="2026-04-10T00:00:00"/>
    <n v="349.67"/>
    <s v="Estate/Planned Gift"/>
    <x v="0"/>
    <x v="1"/>
    <s v="Check"/>
    <s v="FY26"/>
    <n v="1"/>
    <n v="1"/>
    <n v="1"/>
    <s v="Retained/Active"/>
  </r>
  <r>
    <s v="TXN-10336"/>
    <s v="CON-2409"/>
    <x v="0"/>
    <d v="2025-04-29T00:00:00"/>
    <n v="39.770000000000003"/>
    <s v="Outright Gift"/>
    <x v="0"/>
    <x v="1"/>
    <s v="EFT/ACH"/>
    <s v="FY25"/>
    <n v="0"/>
    <n v="1"/>
    <n v="1"/>
    <s v="Retained/Active"/>
  </r>
  <r>
    <s v="TXN-10337"/>
    <s v="CON-9996"/>
    <x v="3"/>
    <d v="2024-11-28T00:00:00"/>
    <n v="574.75"/>
    <s v="Outright Gift"/>
    <x v="0"/>
    <x v="0"/>
    <s v="Credit Card"/>
    <s v="FY25"/>
    <n v="1"/>
    <n v="1"/>
    <n v="1"/>
    <s v="Retained/Active"/>
  </r>
  <r>
    <s v="TXN-10338"/>
    <s v="CON-8509"/>
    <x v="2"/>
    <d v="2023-09-24T00:00:00"/>
    <n v="87.24"/>
    <s v="Recurring Gift"/>
    <x v="0"/>
    <x v="1"/>
    <s v="Credit Card"/>
    <s v="FY24"/>
    <n v="1"/>
    <n v="0"/>
    <n v="1"/>
    <s v="Retained/Active"/>
  </r>
  <r>
    <s v="TXN-10339"/>
    <s v="CON-3975"/>
    <x v="1"/>
    <d v="2024-05-06T00:00:00"/>
    <n v="216.31"/>
    <s v="Pledge Payment"/>
    <x v="1"/>
    <x v="1"/>
    <s v="Credit Card"/>
    <s v="FY24"/>
    <n v="1"/>
    <n v="1"/>
    <n v="1"/>
    <s v="Retained/Active"/>
  </r>
  <r>
    <s v="TXN-10340"/>
    <s v="CON-2148"/>
    <x v="1"/>
    <d v="2024-08-30T00:00:00"/>
    <n v="271.01"/>
    <s v="Outright Gift"/>
    <x v="0"/>
    <x v="1"/>
    <s v="Credit Card"/>
    <s v="FY25"/>
    <n v="1"/>
    <n v="1"/>
    <n v="1"/>
    <s v="Retained/Active"/>
  </r>
  <r>
    <s v="TXN-10341"/>
    <s v="CON-6315"/>
    <x v="0"/>
    <d v="2023-10-22T00:00:00"/>
    <n v="195.9"/>
    <s v="Recurring Gift"/>
    <x v="1"/>
    <x v="0"/>
    <s v="Credit Card"/>
    <s v="FY24"/>
    <n v="1"/>
    <n v="0"/>
    <n v="1"/>
    <s v="Retained/Active"/>
  </r>
  <r>
    <s v="TXN-10342"/>
    <s v="CON-9096"/>
    <x v="0"/>
    <d v="2024-04-28T00:00:00"/>
    <n v="105.44"/>
    <s v="Outright Gift"/>
    <x v="0"/>
    <x v="1"/>
    <s v="Check"/>
    <s v="FY24"/>
    <n v="1"/>
    <n v="0"/>
    <n v="0"/>
    <s v="SYBUNT (Lapsed Multi-Yr)"/>
  </r>
  <r>
    <s v="TXN-10343"/>
    <s v="CON-7015"/>
    <x v="3"/>
    <d v="2025-07-13T00:00:00"/>
    <n v="64.38"/>
    <s v="Recurring Gift"/>
    <x v="0"/>
    <x v="0"/>
    <s v="Credit Card"/>
    <s v="FY26"/>
    <n v="1"/>
    <n v="0"/>
    <n v="1"/>
    <s v="Retained/Active"/>
  </r>
  <r>
    <s v="TXN-10344"/>
    <s v="CON-1854"/>
    <x v="1"/>
    <d v="2025-02-07T00:00:00"/>
    <n v="85.65"/>
    <s v="Outright Gift"/>
    <x v="1"/>
    <x v="1"/>
    <s v="Check"/>
    <s v="FY25"/>
    <n v="0"/>
    <n v="1"/>
    <n v="1"/>
    <s v="Retained/Active"/>
  </r>
  <r>
    <s v="TXN-10345"/>
    <s v="CON-2148"/>
    <x v="3"/>
    <d v="2026-03-13T00:00:00"/>
    <n v="929.57"/>
    <s v="Outright Gift"/>
    <x v="0"/>
    <x v="1"/>
    <s v="Credit Card"/>
    <s v="FY26"/>
    <n v="1"/>
    <n v="1"/>
    <n v="1"/>
    <s v="Retained/Active"/>
  </r>
  <r>
    <s v="TXN-10346"/>
    <s v="CON-5658"/>
    <x v="3"/>
    <d v="2024-06-09T00:00:00"/>
    <n v="39.42"/>
    <s v="Recurring Gift"/>
    <x v="0"/>
    <x v="2"/>
    <s v="Stock Transfer"/>
    <s v="FY24"/>
    <n v="1"/>
    <n v="0"/>
    <n v="0"/>
    <s v="SYBUNT (Lapsed Multi-Yr)"/>
  </r>
  <r>
    <s v="TXN-10347"/>
    <s v="CON-5911"/>
    <x v="1"/>
    <d v="2025-09-21T00:00:00"/>
    <n v="47.7"/>
    <s v="Outright Gift"/>
    <x v="0"/>
    <x v="1"/>
    <s v="EFT/ACH"/>
    <s v="FY26"/>
    <n v="0"/>
    <n v="1"/>
    <n v="1"/>
    <s v="Retained/Active"/>
  </r>
  <r>
    <s v="TXN-10348"/>
    <s v="CON-1502"/>
    <x v="3"/>
    <d v="2025-09-08T00:00:00"/>
    <n v="45.06"/>
    <s v="Outright Gift"/>
    <x v="0"/>
    <x v="2"/>
    <s v="EFT/ACH"/>
    <s v="FY26"/>
    <n v="0"/>
    <n v="1"/>
    <n v="1"/>
    <s v="Retained/Active"/>
  </r>
  <r>
    <s v="TXN-10349"/>
    <s v="CON-4943"/>
    <x v="4"/>
    <d v="2026-04-20T00:00:00"/>
    <n v="144.96"/>
    <s v="Outright Gift"/>
    <x v="0"/>
    <x v="1"/>
    <s v="Credit Card"/>
    <s v="FY26"/>
    <n v="1"/>
    <n v="0"/>
    <n v="1"/>
    <s v="Retained/Active"/>
  </r>
  <r>
    <s v="TXN-10350"/>
    <s v="CON-3568"/>
    <x v="2"/>
    <d v="2024-06-25T00:00:00"/>
    <n v="16.739999999999998"/>
    <s v="Estate/Planned Gift"/>
    <x v="0"/>
    <x v="0"/>
    <s v="Check"/>
    <s v="FY24"/>
    <n v="1"/>
    <n v="1"/>
    <n v="1"/>
    <s v="Retained/Active"/>
  </r>
  <r>
    <s v="TXN-10351"/>
    <s v="CON-6915"/>
    <x v="3"/>
    <d v="2026-04-05T00:00:00"/>
    <n v="20.91"/>
    <s v="Recurring Gift"/>
    <x v="0"/>
    <x v="1"/>
    <s v="Check"/>
    <s v="FY26"/>
    <n v="1"/>
    <n v="1"/>
    <n v="1"/>
    <s v="Retained/Active"/>
  </r>
  <r>
    <s v="TXN-10352"/>
    <s v="CON-1980"/>
    <x v="4"/>
    <d v="2025-06-03T00:00:00"/>
    <n v="86.55"/>
    <s v="Pledge Payment"/>
    <x v="1"/>
    <x v="1"/>
    <s v="EFT/ACH"/>
    <s v="FY25"/>
    <n v="1"/>
    <n v="1"/>
    <n v="1"/>
    <s v="Retained/Active"/>
  </r>
  <r>
    <s v="TXN-10353"/>
    <s v="CON-3744"/>
    <x v="2"/>
    <d v="2025-01-25T00:00:00"/>
    <n v="22.78"/>
    <s v="Outright Gift"/>
    <x v="0"/>
    <x v="0"/>
    <s v="Credit Card"/>
    <s v="FY25"/>
    <n v="0"/>
    <n v="1"/>
    <n v="1"/>
    <s v="Retained/Active"/>
  </r>
  <r>
    <s v="TXN-10354"/>
    <s v="CON-6592"/>
    <x v="0"/>
    <d v="2025-05-18T00:00:00"/>
    <n v="25.33"/>
    <s v="Recurring Gift"/>
    <x v="1"/>
    <x v="4"/>
    <s v="EFT/ACH"/>
    <s v="FY25"/>
    <n v="1"/>
    <n v="1"/>
    <n v="1"/>
    <s v="Retained/Active"/>
  </r>
  <r>
    <s v="TXN-10355"/>
    <s v="CON-3931"/>
    <x v="3"/>
    <d v="2025-08-19T00:00:00"/>
    <n v="23"/>
    <s v="Outright Gift"/>
    <x v="0"/>
    <x v="1"/>
    <s v="Credit Card"/>
    <s v="FY26"/>
    <n v="0"/>
    <n v="1"/>
    <n v="1"/>
    <s v="Retained/Active"/>
  </r>
  <r>
    <s v="TXN-10356"/>
    <s v="CON-6919"/>
    <x v="2"/>
    <d v="2025-02-04T00:00:00"/>
    <n v="40.42"/>
    <s v="Outright Gift"/>
    <x v="0"/>
    <x v="0"/>
    <s v="EFT/ACH"/>
    <s v="FY25"/>
    <n v="1"/>
    <n v="1"/>
    <n v="1"/>
    <s v="Retained/Active"/>
  </r>
  <r>
    <s v="TXN-10357"/>
    <s v="CON-3205"/>
    <x v="2"/>
    <d v="2025-02-08T00:00:00"/>
    <n v="314.39"/>
    <s v="Pledge Payment"/>
    <x v="0"/>
    <x v="2"/>
    <s v="Check"/>
    <s v="FY25"/>
    <n v="0"/>
    <n v="1"/>
    <n v="1"/>
    <s v="Retained/Active"/>
  </r>
  <r>
    <s v="TXN-10358"/>
    <s v="CON-4854"/>
    <x v="0"/>
    <d v="2024-10-31T00:00:00"/>
    <n v="420.91"/>
    <s v="Outright Gift"/>
    <x v="0"/>
    <x v="0"/>
    <s v="Credit Card"/>
    <s v="FY25"/>
    <n v="1"/>
    <n v="1"/>
    <n v="0"/>
    <s v="LYBUNT (Lapsed 1 Yr)"/>
  </r>
  <r>
    <s v="TXN-10359"/>
    <s v="CON-9529"/>
    <x v="3"/>
    <d v="2026-02-25T00:00:00"/>
    <n v="1472.48"/>
    <s v="Outright Gift"/>
    <x v="1"/>
    <x v="3"/>
    <s v="Credit Card"/>
    <s v="FY26"/>
    <n v="0"/>
    <n v="1"/>
    <n v="1"/>
    <s v="Retained/Active"/>
  </r>
  <r>
    <s v="TXN-10360"/>
    <s v="CON-2528"/>
    <x v="1"/>
    <d v="2024-11-05T00:00:00"/>
    <n v="1403.99"/>
    <s v="Outright Gift"/>
    <x v="0"/>
    <x v="1"/>
    <s v="Credit Card"/>
    <s v="FY25"/>
    <n v="1"/>
    <n v="1"/>
    <n v="1"/>
    <s v="Retained/Active"/>
  </r>
  <r>
    <s v="TXN-10361"/>
    <s v="CON-4354"/>
    <x v="4"/>
    <d v="2023-07-19T00:00:00"/>
    <n v="337.72"/>
    <s v="Outright Gift"/>
    <x v="0"/>
    <x v="4"/>
    <s v="EFT/ACH"/>
    <s v="FY24"/>
    <n v="1"/>
    <n v="1"/>
    <n v="0"/>
    <s v="LYBUNT (Lapsed 1 Yr)"/>
  </r>
  <r>
    <s v="TXN-10362"/>
    <s v="CON-4073"/>
    <x v="0"/>
    <d v="2024-07-31T00:00:00"/>
    <n v="462.19"/>
    <s v="Recurring Gift"/>
    <x v="0"/>
    <x v="0"/>
    <s v="Credit Card"/>
    <s v="FY25"/>
    <n v="1"/>
    <n v="1"/>
    <n v="1"/>
    <s v="Retained/Active"/>
  </r>
  <r>
    <s v="TXN-10363"/>
    <s v="CON-6759"/>
    <x v="1"/>
    <d v="2026-03-27T00:00:00"/>
    <n v="144.09"/>
    <s v="Outright Gift"/>
    <x v="0"/>
    <x v="1"/>
    <s v="Credit Card"/>
    <s v="FY26"/>
    <n v="1"/>
    <n v="0"/>
    <n v="1"/>
    <s v="Retained/Active"/>
  </r>
  <r>
    <s v="TXN-10364"/>
    <s v="CON-7892"/>
    <x v="0"/>
    <d v="2025-10-28T00:00:00"/>
    <n v="238.85"/>
    <s v="Pledge Payment"/>
    <x v="1"/>
    <x v="3"/>
    <s v="Credit Card"/>
    <s v="FY26"/>
    <n v="1"/>
    <n v="1"/>
    <n v="1"/>
    <s v="Retained/Active"/>
  </r>
  <r>
    <s v="TXN-10365"/>
    <s v="CON-6592"/>
    <x v="1"/>
    <d v="2025-09-29T00:00:00"/>
    <n v="1520.33"/>
    <s v="Outright Gift"/>
    <x v="1"/>
    <x v="0"/>
    <s v="EFT/ACH"/>
    <s v="FY26"/>
    <n v="1"/>
    <n v="1"/>
    <n v="1"/>
    <s v="Retained/Active"/>
  </r>
  <r>
    <s v="TXN-10366"/>
    <s v="CON-8041"/>
    <x v="2"/>
    <d v="2024-09-27T00:00:00"/>
    <n v="196.88"/>
    <s v="Outright Gift"/>
    <x v="0"/>
    <x v="0"/>
    <s v="Credit Card"/>
    <s v="FY25"/>
    <n v="1"/>
    <n v="1"/>
    <n v="0"/>
    <s v="LYBUNT (Lapsed 1 Yr)"/>
  </r>
  <r>
    <s v="TXN-10367"/>
    <s v="CON-5433"/>
    <x v="4"/>
    <d v="2025-06-24T00:00:00"/>
    <n v="544.14"/>
    <s v="Outright Gift"/>
    <x v="0"/>
    <x v="2"/>
    <s v="EFT/ACH"/>
    <s v="FY25"/>
    <n v="0"/>
    <n v="1"/>
    <n v="1"/>
    <s v="Retained/Active"/>
  </r>
  <r>
    <s v="TXN-10368"/>
    <s v="CON-2081"/>
    <x v="3"/>
    <d v="2025-06-10T00:00:00"/>
    <n v="36.07"/>
    <s v="Pledge Payment"/>
    <x v="0"/>
    <x v="0"/>
    <s v="Credit Card"/>
    <s v="FY25"/>
    <n v="1"/>
    <n v="1"/>
    <n v="1"/>
    <s v="Retained/Active"/>
  </r>
  <r>
    <s v="TXN-10369"/>
    <s v="CON-6134"/>
    <x v="1"/>
    <d v="2023-11-20T00:00:00"/>
    <n v="51.11"/>
    <s v="Pledge Payment"/>
    <x v="0"/>
    <x v="1"/>
    <s v="EFT/ACH"/>
    <s v="FY24"/>
    <n v="1"/>
    <n v="1"/>
    <n v="1"/>
    <s v="Retained/Active"/>
  </r>
  <r>
    <s v="TXN-10370"/>
    <s v="CON-7015"/>
    <x v="1"/>
    <d v="2026-01-02T00:00:00"/>
    <n v="182.31"/>
    <s v="Recurring Gift"/>
    <x v="1"/>
    <x v="2"/>
    <s v="Stock Transfer"/>
    <s v="FY26"/>
    <n v="1"/>
    <n v="0"/>
    <n v="1"/>
    <s v="Retained/Active"/>
  </r>
  <r>
    <s v="TXN-10371"/>
    <s v="CON-8994"/>
    <x v="3"/>
    <d v="2025-10-05T00:00:00"/>
    <n v="147.66"/>
    <s v="Pledge Payment"/>
    <x v="0"/>
    <x v="1"/>
    <s v="Credit Card"/>
    <s v="FY26"/>
    <n v="0"/>
    <n v="0"/>
    <n v="1"/>
    <s v="Retained/Active"/>
  </r>
  <r>
    <s v="TXN-10372"/>
    <s v="CON-9004"/>
    <x v="4"/>
    <d v="2025-02-24T00:00:00"/>
    <n v="54.28"/>
    <s v="Outright Gift"/>
    <x v="0"/>
    <x v="3"/>
    <s v="Credit Card"/>
    <s v="FY25"/>
    <n v="1"/>
    <n v="1"/>
    <n v="1"/>
    <s v="Retained/Active"/>
  </r>
  <r>
    <s v="TXN-10373"/>
    <s v="CON-7293"/>
    <x v="0"/>
    <d v="2024-04-30T00:00:00"/>
    <n v="2778.29"/>
    <s v="Pledge Payment"/>
    <x v="0"/>
    <x v="4"/>
    <s v="Check"/>
    <s v="FY24"/>
    <n v="1"/>
    <n v="0"/>
    <n v="0"/>
    <s v="SYBUNT (Lapsed Multi-Yr)"/>
  </r>
  <r>
    <s v="TXN-10374"/>
    <s v="CON-4104"/>
    <x v="0"/>
    <d v="2025-07-05T00:00:00"/>
    <n v="152.07"/>
    <s v="Recurring Gift"/>
    <x v="1"/>
    <x v="0"/>
    <s v="Credit Card"/>
    <s v="FY26"/>
    <n v="0"/>
    <n v="1"/>
    <n v="1"/>
    <s v="Retained/Active"/>
  </r>
  <r>
    <s v="TXN-10375"/>
    <s v="CON-6237"/>
    <x v="0"/>
    <d v="2024-04-16T00:00:00"/>
    <n v="68.34"/>
    <s v="Pledge Payment"/>
    <x v="0"/>
    <x v="0"/>
    <s v="Credit Card"/>
    <s v="FY24"/>
    <n v="1"/>
    <n v="1"/>
    <n v="1"/>
    <s v="Retained/Active"/>
  </r>
  <r>
    <s v="TXN-10376"/>
    <s v="CON-7905"/>
    <x v="3"/>
    <d v="2023-10-10T00:00:00"/>
    <n v="147.97999999999999"/>
    <s v="Outright Gift"/>
    <x v="0"/>
    <x v="1"/>
    <s v="Check"/>
    <s v="FY24"/>
    <n v="1"/>
    <n v="1"/>
    <n v="0"/>
    <s v="LYBUNT (Lapsed 1 Yr)"/>
  </r>
  <r>
    <s v="TXN-10377"/>
    <s v="CON-5426"/>
    <x v="2"/>
    <d v="2025-11-13T00:00:00"/>
    <n v="125.59"/>
    <s v="Outright Gift"/>
    <x v="0"/>
    <x v="1"/>
    <s v="Stock Transfer"/>
    <s v="FY26"/>
    <n v="0"/>
    <n v="1"/>
    <n v="1"/>
    <s v="Retained/Active"/>
  </r>
  <r>
    <s v="TXN-10378"/>
    <s v="CON-3744"/>
    <x v="0"/>
    <d v="2026-02-22T00:00:00"/>
    <n v="155.11000000000001"/>
    <s v="Pledge Payment"/>
    <x v="0"/>
    <x v="4"/>
    <s v="EFT/ACH"/>
    <s v="FY26"/>
    <n v="0"/>
    <n v="1"/>
    <n v="1"/>
    <s v="Retained/Active"/>
  </r>
  <r>
    <s v="TXN-10379"/>
    <s v="CON-9311"/>
    <x v="0"/>
    <d v="2026-02-28T00:00:00"/>
    <n v="15.3"/>
    <s v="Pledge Payment"/>
    <x v="0"/>
    <x v="1"/>
    <s v="Credit Card"/>
    <s v="FY26"/>
    <n v="1"/>
    <n v="1"/>
    <n v="1"/>
    <s v="Retained/Active"/>
  </r>
  <r>
    <s v="TXN-10380"/>
    <s v="CON-3744"/>
    <x v="3"/>
    <d v="2025-10-19T00:00:00"/>
    <n v="651.66999999999996"/>
    <s v="Outright Gift"/>
    <x v="0"/>
    <x v="0"/>
    <s v="Credit Card"/>
    <s v="FY26"/>
    <n v="0"/>
    <n v="1"/>
    <n v="1"/>
    <s v="Retained/Active"/>
  </r>
  <r>
    <s v="TXN-10381"/>
    <s v="CON-3931"/>
    <x v="1"/>
    <d v="2026-02-16T00:00:00"/>
    <n v="701.68"/>
    <s v="Recurring Gift"/>
    <x v="0"/>
    <x v="3"/>
    <s v="Credit Card"/>
    <s v="FY26"/>
    <n v="0"/>
    <n v="1"/>
    <n v="1"/>
    <s v="Retained/Active"/>
  </r>
  <r>
    <s v="TXN-10382"/>
    <s v="CON-4170"/>
    <x v="0"/>
    <d v="2026-01-27T00:00:00"/>
    <n v="821.73"/>
    <s v="Estate/Planned Gift"/>
    <x v="0"/>
    <x v="3"/>
    <s v="EFT/ACH"/>
    <s v="FY26"/>
    <n v="1"/>
    <n v="1"/>
    <n v="1"/>
    <s v="Retained/Active"/>
  </r>
  <r>
    <s v="TXN-10383"/>
    <s v="CON-8098"/>
    <x v="2"/>
    <d v="2026-04-22T00:00:00"/>
    <n v="185.5"/>
    <s v="Outright Gift"/>
    <x v="0"/>
    <x v="0"/>
    <s v="EFT/ACH"/>
    <s v="FY26"/>
    <n v="1"/>
    <n v="1"/>
    <n v="1"/>
    <s v="Retained/Active"/>
  </r>
  <r>
    <s v="TXN-10384"/>
    <s v="CON-7966"/>
    <x v="1"/>
    <d v="2023-09-23T00:00:00"/>
    <n v="287.5"/>
    <s v="Recurring Gift"/>
    <x v="0"/>
    <x v="0"/>
    <s v="Check"/>
    <s v="FY24"/>
    <n v="1"/>
    <n v="0"/>
    <n v="0"/>
    <s v="SYBUNT (Lapsed Multi-Yr)"/>
  </r>
  <r>
    <s v="TXN-10385"/>
    <s v="CON-8098"/>
    <x v="1"/>
    <d v="2024-05-23T00:00:00"/>
    <n v="39.409999999999997"/>
    <s v="Outright Gift"/>
    <x v="0"/>
    <x v="2"/>
    <s v="Credit Card"/>
    <s v="FY24"/>
    <n v="1"/>
    <n v="1"/>
    <n v="1"/>
    <s v="Retained/Active"/>
  </r>
  <r>
    <s v="TXN-10386"/>
    <s v="CON-6232"/>
    <x v="3"/>
    <d v="2025-09-23T00:00:00"/>
    <n v="358.8"/>
    <s v="Outright Gift"/>
    <x v="0"/>
    <x v="4"/>
    <s v="EFT/ACH"/>
    <s v="FY26"/>
    <n v="0"/>
    <n v="0"/>
    <n v="1"/>
    <s v="Retained/Active"/>
  </r>
  <r>
    <s v="TXN-10387"/>
    <s v="CON-7278"/>
    <x v="3"/>
    <d v="2024-09-26T00:00:00"/>
    <n v="168.57"/>
    <s v="Outright Gift"/>
    <x v="0"/>
    <x v="2"/>
    <s v="Credit Card"/>
    <s v="FY25"/>
    <n v="0"/>
    <n v="1"/>
    <n v="0"/>
    <s v="LYBUNT (Lapsed 1 Yr)"/>
  </r>
  <r>
    <s v="TXN-10388"/>
    <s v="CON-8554"/>
    <x v="3"/>
    <d v="2025-03-20T00:00:00"/>
    <n v="66.78"/>
    <s v="Outright Gift"/>
    <x v="0"/>
    <x v="0"/>
    <s v="Credit Card"/>
    <s v="FY25"/>
    <n v="1"/>
    <n v="1"/>
    <n v="1"/>
    <s v="Retained/Active"/>
  </r>
  <r>
    <s v="TXN-10389"/>
    <s v="CON-1995"/>
    <x v="3"/>
    <d v="2025-04-25T00:00:00"/>
    <n v="373.97"/>
    <s v="Recurring Gift"/>
    <x v="1"/>
    <x v="1"/>
    <s v="EFT/ACH"/>
    <s v="FY25"/>
    <n v="1"/>
    <n v="1"/>
    <n v="1"/>
    <s v="Retained/Active"/>
  </r>
  <r>
    <s v="TXN-10390"/>
    <s v="CON-7019"/>
    <x v="2"/>
    <d v="2023-07-12T00:00:00"/>
    <n v="393.27"/>
    <s v="Outright Gift"/>
    <x v="0"/>
    <x v="1"/>
    <s v="Credit Card"/>
    <s v="FY24"/>
    <n v="1"/>
    <n v="1"/>
    <n v="1"/>
    <s v="Retained/Active"/>
  </r>
  <r>
    <s v="TXN-10391"/>
    <s v="CON-4943"/>
    <x v="3"/>
    <d v="2024-04-29T00:00:00"/>
    <n v="131.47"/>
    <s v="Outright Gift"/>
    <x v="0"/>
    <x v="0"/>
    <s v="EFT/ACH"/>
    <s v="FY24"/>
    <n v="1"/>
    <n v="0"/>
    <n v="1"/>
    <s v="Retained/Active"/>
  </r>
  <r>
    <s v="TXN-10392"/>
    <s v="CON-3327"/>
    <x v="0"/>
    <d v="2026-03-01T00:00:00"/>
    <n v="214.84"/>
    <s v="Outright Gift"/>
    <x v="0"/>
    <x v="4"/>
    <s v="EFT/ACH"/>
    <s v="FY26"/>
    <n v="1"/>
    <n v="0"/>
    <n v="1"/>
    <s v="Retained/Active"/>
  </r>
  <r>
    <s v="TXN-10393"/>
    <s v="CON-6734"/>
    <x v="2"/>
    <d v="2025-08-21T00:00:00"/>
    <n v="31.78"/>
    <s v="Outright Gift"/>
    <x v="0"/>
    <x v="3"/>
    <s v="Stock Transfer"/>
    <s v="FY26"/>
    <n v="1"/>
    <n v="1"/>
    <n v="1"/>
    <s v="Retained/Active"/>
  </r>
  <r>
    <s v="TXN-10394"/>
    <s v="CON-4099"/>
    <x v="4"/>
    <d v="2023-08-12T00:00:00"/>
    <n v="611.64"/>
    <s v="Outright Gift"/>
    <x v="0"/>
    <x v="4"/>
    <s v="EFT/ACH"/>
    <s v="FY24"/>
    <n v="1"/>
    <n v="1"/>
    <n v="0"/>
    <s v="LYBUNT (Lapsed 1 Yr)"/>
  </r>
  <r>
    <s v="TXN-10395"/>
    <s v="CON-7528"/>
    <x v="1"/>
    <d v="2026-01-29T00:00:00"/>
    <n v="37.770000000000003"/>
    <s v="Pledge Payment"/>
    <x v="0"/>
    <x v="0"/>
    <s v="Check"/>
    <s v="FY26"/>
    <n v="0"/>
    <n v="1"/>
    <n v="1"/>
    <s v="Retained/Active"/>
  </r>
  <r>
    <s v="TXN-10396"/>
    <s v="CON-2841"/>
    <x v="0"/>
    <d v="2024-06-07T00:00:00"/>
    <n v="48.57"/>
    <s v="Outright Gift"/>
    <x v="0"/>
    <x v="2"/>
    <s v="Credit Card"/>
    <s v="FY24"/>
    <n v="1"/>
    <n v="1"/>
    <n v="0"/>
    <s v="LYBUNT (Lapsed 1 Yr)"/>
  </r>
  <r>
    <s v="TXN-10397"/>
    <s v="CON-9666"/>
    <x v="0"/>
    <d v="2024-11-09T00:00:00"/>
    <n v="131.76"/>
    <s v="Recurring Gift"/>
    <x v="0"/>
    <x v="3"/>
    <s v="Credit Card"/>
    <s v="FY25"/>
    <n v="0"/>
    <n v="1"/>
    <n v="0"/>
    <s v="LYBUNT (Lapsed 1 Yr)"/>
  </r>
  <r>
    <s v="TXN-10398"/>
    <s v="CON-9173"/>
    <x v="1"/>
    <d v="2024-06-28T00:00:00"/>
    <n v="517.42999999999995"/>
    <s v="Recurring Gift"/>
    <x v="0"/>
    <x v="2"/>
    <s v="Credit Card"/>
    <s v="FY24"/>
    <n v="1"/>
    <n v="0"/>
    <n v="1"/>
    <s v="Retained/Active"/>
  </r>
  <r>
    <s v="TXN-10399"/>
    <s v="CON-8270"/>
    <x v="1"/>
    <d v="2025-12-07T00:00:00"/>
    <n v="517.04999999999995"/>
    <s v="Outright Gift"/>
    <x v="0"/>
    <x v="1"/>
    <s v="Credit Card"/>
    <s v="FY26"/>
    <n v="1"/>
    <n v="1"/>
    <n v="1"/>
    <s v="Retained/Active"/>
  </r>
  <r>
    <s v="TXN-10400"/>
    <s v="CON-6915"/>
    <x v="3"/>
    <d v="2024-08-30T00:00:00"/>
    <n v="120.75"/>
    <s v="Recurring Gift"/>
    <x v="0"/>
    <x v="0"/>
    <s v="EFT/ACH"/>
    <s v="FY25"/>
    <n v="1"/>
    <n v="1"/>
    <n v="1"/>
    <s v="Retained/Active"/>
  </r>
  <r>
    <s v="TXN-10401"/>
    <s v="CON-9445"/>
    <x v="4"/>
    <d v="2026-03-31T00:00:00"/>
    <n v="331.93"/>
    <s v="Outright Gift"/>
    <x v="0"/>
    <x v="3"/>
    <s v="EFT/ACH"/>
    <s v="FY26"/>
    <n v="0"/>
    <n v="1"/>
    <n v="1"/>
    <s v="Retained/Active"/>
  </r>
  <r>
    <s v="TXN-10402"/>
    <s v="CON-1769"/>
    <x v="0"/>
    <d v="2023-07-21T00:00:00"/>
    <n v="15"/>
    <s v="Outright Gift"/>
    <x v="0"/>
    <x v="1"/>
    <s v="Credit Card"/>
    <s v="FY24"/>
    <n v="1"/>
    <n v="1"/>
    <n v="0"/>
    <s v="LYBUNT (Lapsed 1 Yr)"/>
  </r>
  <r>
    <s v="TXN-10403"/>
    <s v="CON-6222"/>
    <x v="1"/>
    <d v="2024-08-10T00:00:00"/>
    <n v="47.7"/>
    <s v="Outright Gift"/>
    <x v="0"/>
    <x v="4"/>
    <s v="Credit Card"/>
    <s v="FY25"/>
    <n v="0"/>
    <n v="1"/>
    <n v="0"/>
    <s v="LYBUNT (Lapsed 1 Yr)"/>
  </r>
  <r>
    <s v="TXN-10404"/>
    <s v="CON-8099"/>
    <x v="1"/>
    <d v="2025-03-10T00:00:00"/>
    <n v="48.98"/>
    <s v="Outright Gift"/>
    <x v="1"/>
    <x v="1"/>
    <s v="Credit Card"/>
    <s v="FY25"/>
    <n v="1"/>
    <n v="1"/>
    <n v="1"/>
    <s v="Retained/Active"/>
  </r>
  <r>
    <s v="TXN-10405"/>
    <s v="CON-2528"/>
    <x v="3"/>
    <d v="2026-04-10T00:00:00"/>
    <n v="618.86"/>
    <s v="Outright Gift"/>
    <x v="1"/>
    <x v="2"/>
    <s v="EFT/ACH"/>
    <s v="FY26"/>
    <n v="1"/>
    <n v="1"/>
    <n v="1"/>
    <s v="Retained/Active"/>
  </r>
  <r>
    <s v="TXN-10406"/>
    <s v="CON-3062"/>
    <x v="0"/>
    <d v="2024-05-31T00:00:00"/>
    <n v="284.58999999999997"/>
    <s v="Pledge Payment"/>
    <x v="0"/>
    <x v="2"/>
    <s v="EFT/ACH"/>
    <s v="FY24"/>
    <n v="1"/>
    <n v="1"/>
    <n v="1"/>
    <s v="Retained/Active"/>
  </r>
  <r>
    <s v="TXN-10407"/>
    <s v="CON-3049"/>
    <x v="0"/>
    <d v="2024-08-02T00:00:00"/>
    <n v="154.47999999999999"/>
    <s v="Outright Gift"/>
    <x v="0"/>
    <x v="2"/>
    <s v="EFT/ACH"/>
    <s v="FY25"/>
    <n v="1"/>
    <n v="1"/>
    <n v="0"/>
    <s v="LYBUNT (Lapsed 1 Yr)"/>
  </r>
  <r>
    <s v="TXN-10408"/>
    <s v="CON-5014"/>
    <x v="0"/>
    <d v="2025-08-31T00:00:00"/>
    <n v="175.26"/>
    <s v="Pledge Payment"/>
    <x v="1"/>
    <x v="0"/>
    <s v="Credit Card"/>
    <s v="FY26"/>
    <n v="1"/>
    <n v="1"/>
    <n v="1"/>
    <s v="Retained/Active"/>
  </r>
  <r>
    <s v="TXN-10409"/>
    <s v="CON-7331"/>
    <x v="0"/>
    <d v="2025-06-14T00:00:00"/>
    <n v="933.41"/>
    <s v="Outright Gift"/>
    <x v="0"/>
    <x v="4"/>
    <s v="Credit Card"/>
    <s v="FY25"/>
    <n v="0"/>
    <n v="1"/>
    <n v="0"/>
    <s v="LYBUNT (Lapsed 1 Yr)"/>
  </r>
  <r>
    <s v="TXN-10410"/>
    <s v="CON-1699"/>
    <x v="0"/>
    <d v="2023-08-20T00:00:00"/>
    <n v="97.39"/>
    <s v="Pledge Payment"/>
    <x v="0"/>
    <x v="2"/>
    <s v="EFT/ACH"/>
    <s v="FY24"/>
    <n v="1"/>
    <n v="1"/>
    <n v="1"/>
    <s v="Retained/Active"/>
  </r>
  <r>
    <s v="TXN-10411"/>
    <s v="CON-7015"/>
    <x v="3"/>
    <d v="2024-05-19T00:00:00"/>
    <n v="22.01"/>
    <s v="Outright Gift"/>
    <x v="1"/>
    <x v="1"/>
    <s v="EFT/ACH"/>
    <s v="FY24"/>
    <n v="1"/>
    <n v="0"/>
    <n v="1"/>
    <s v="Retained/Active"/>
  </r>
  <r>
    <s v="TXN-10412"/>
    <s v="CON-1775"/>
    <x v="2"/>
    <d v="2025-08-27T00:00:00"/>
    <n v="499.37"/>
    <s v="Outright Gift"/>
    <x v="1"/>
    <x v="2"/>
    <s v="Credit Card"/>
    <s v="FY26"/>
    <n v="1"/>
    <n v="1"/>
    <n v="1"/>
    <s v="Retained/Active"/>
  </r>
  <r>
    <s v="TXN-10413"/>
    <s v="CON-6116"/>
    <x v="2"/>
    <d v="2023-11-18T00:00:00"/>
    <n v="153.91"/>
    <s v="Outright Gift"/>
    <x v="0"/>
    <x v="1"/>
    <s v="EFT/ACH"/>
    <s v="FY24"/>
    <n v="1"/>
    <n v="0"/>
    <n v="0"/>
    <s v="SYBUNT (Lapsed Multi-Yr)"/>
  </r>
  <r>
    <s v="TXN-10414"/>
    <s v="CON-5061"/>
    <x v="0"/>
    <d v="2024-10-12T00:00:00"/>
    <n v="419.8"/>
    <s v="Outright Gift"/>
    <x v="0"/>
    <x v="1"/>
    <s v="Credit Card"/>
    <s v="FY25"/>
    <n v="0"/>
    <n v="1"/>
    <n v="1"/>
    <s v="Retained/Active"/>
  </r>
  <r>
    <s v="TXN-10415"/>
    <s v="CON-5973"/>
    <x v="2"/>
    <d v="2025-08-25T00:00:00"/>
    <n v="114.64"/>
    <s v="Outright Gift"/>
    <x v="0"/>
    <x v="0"/>
    <s v="EFT/ACH"/>
    <s v="FY26"/>
    <n v="1"/>
    <n v="1"/>
    <n v="1"/>
    <s v="Retained/Active"/>
  </r>
  <r>
    <s v="TXN-10416"/>
    <s v="CON-8989"/>
    <x v="2"/>
    <d v="2026-02-18T00:00:00"/>
    <n v="40.840000000000003"/>
    <s v="Recurring Gift"/>
    <x v="0"/>
    <x v="3"/>
    <s v="Check"/>
    <s v="FY26"/>
    <n v="1"/>
    <n v="0"/>
    <n v="1"/>
    <s v="Retained/Active"/>
  </r>
  <r>
    <s v="TXN-10417"/>
    <s v="CON-8027"/>
    <x v="1"/>
    <d v="2026-04-03T00:00:00"/>
    <n v="205.13"/>
    <s v="Outright Gift"/>
    <x v="0"/>
    <x v="0"/>
    <s v="EFT/ACH"/>
    <s v="FY26"/>
    <n v="1"/>
    <n v="0"/>
    <n v="1"/>
    <s v="Retained/Active"/>
  </r>
  <r>
    <s v="TXN-10418"/>
    <s v="CON-7910"/>
    <x v="2"/>
    <d v="2024-07-07T00:00:00"/>
    <n v="123.13"/>
    <s v="Pledge Payment"/>
    <x v="0"/>
    <x v="2"/>
    <s v="Credit Card"/>
    <s v="FY25"/>
    <n v="0"/>
    <n v="1"/>
    <n v="1"/>
    <s v="Retained/Active"/>
  </r>
  <r>
    <s v="TXN-10419"/>
    <s v="CON-7971"/>
    <x v="0"/>
    <d v="2024-11-05T00:00:00"/>
    <n v="154.54"/>
    <s v="Pledge Payment"/>
    <x v="0"/>
    <x v="0"/>
    <s v="Credit Card"/>
    <s v="FY25"/>
    <n v="1"/>
    <n v="1"/>
    <n v="1"/>
    <s v="Retained/Active"/>
  </r>
  <r>
    <s v="TXN-10420"/>
    <s v="CON-9226"/>
    <x v="3"/>
    <d v="2025-07-20T00:00:00"/>
    <n v="993.81"/>
    <s v="Recurring Gift"/>
    <x v="0"/>
    <x v="1"/>
    <s v="EFT/ACH"/>
    <s v="FY26"/>
    <n v="0"/>
    <n v="0"/>
    <n v="1"/>
    <s v="Retained/Active"/>
  </r>
  <r>
    <s v="TXN-10421"/>
    <s v="CON-1995"/>
    <x v="0"/>
    <d v="2024-04-16T00:00:00"/>
    <n v="29.13"/>
    <s v="Outright Gift"/>
    <x v="0"/>
    <x v="4"/>
    <s v="EFT/ACH"/>
    <s v="FY24"/>
    <n v="1"/>
    <n v="1"/>
    <n v="1"/>
    <s v="Retained/Active"/>
  </r>
  <r>
    <s v="TXN-10422"/>
    <s v="CON-7457"/>
    <x v="4"/>
    <d v="2023-10-14T00:00:00"/>
    <n v="176.21"/>
    <s v="Outright Gift"/>
    <x v="0"/>
    <x v="2"/>
    <s v="EFT/ACH"/>
    <s v="FY24"/>
    <n v="1"/>
    <n v="1"/>
    <n v="1"/>
    <s v="Retained/Active"/>
  </r>
  <r>
    <s v="TXN-10423"/>
    <s v="CON-3747"/>
    <x v="1"/>
    <d v="2025-04-30T00:00:00"/>
    <n v="41.9"/>
    <s v="Recurring Gift"/>
    <x v="0"/>
    <x v="4"/>
    <s v="EFT/ACH"/>
    <s v="FY25"/>
    <n v="0"/>
    <n v="1"/>
    <n v="1"/>
    <s v="Retained/Active"/>
  </r>
  <r>
    <s v="TXN-10424"/>
    <s v="CON-2816"/>
    <x v="3"/>
    <d v="2023-07-02T00:00:00"/>
    <n v="15"/>
    <s v="Pledge Payment"/>
    <x v="0"/>
    <x v="1"/>
    <s v="Credit Card"/>
    <s v="FY24"/>
    <n v="1"/>
    <n v="1"/>
    <n v="0"/>
    <s v="LYBUNT (Lapsed 1 Yr)"/>
  </r>
  <r>
    <s v="TXN-10425"/>
    <s v="CON-7893"/>
    <x v="2"/>
    <d v="2025-02-08T00:00:00"/>
    <n v="114.02"/>
    <s v="Outright Gift"/>
    <x v="1"/>
    <x v="1"/>
    <s v="Stock Transfer"/>
    <s v="FY25"/>
    <n v="1"/>
    <n v="1"/>
    <n v="1"/>
    <s v="Retained/Active"/>
  </r>
  <r>
    <s v="TXN-10426"/>
    <s v="CON-5426"/>
    <x v="3"/>
    <d v="2025-04-04T00:00:00"/>
    <n v="126.51"/>
    <s v="Outright Gift"/>
    <x v="0"/>
    <x v="3"/>
    <s v="EFT/ACH"/>
    <s v="FY25"/>
    <n v="0"/>
    <n v="1"/>
    <n v="1"/>
    <s v="Retained/Active"/>
  </r>
  <r>
    <s v="TXN-10427"/>
    <s v="CON-8721"/>
    <x v="0"/>
    <d v="2023-09-28T00:00:00"/>
    <n v="273.3"/>
    <s v="Outright Gift"/>
    <x v="0"/>
    <x v="2"/>
    <s v="Credit Card"/>
    <s v="FY24"/>
    <n v="1"/>
    <n v="0"/>
    <n v="1"/>
    <s v="Retained/Active"/>
  </r>
  <r>
    <s v="TXN-10428"/>
    <s v="CON-7799"/>
    <x v="0"/>
    <d v="2024-06-14T00:00:00"/>
    <n v="91.58"/>
    <s v="Outright Gift"/>
    <x v="1"/>
    <x v="1"/>
    <s v="EFT/ACH"/>
    <s v="FY24"/>
    <n v="1"/>
    <n v="0"/>
    <n v="1"/>
    <s v="Retained/Active"/>
  </r>
  <r>
    <s v="TXN-10429"/>
    <s v="CON-5555"/>
    <x v="3"/>
    <d v="2025-12-25T00:00:00"/>
    <n v="17.54"/>
    <s v="Pledge Payment"/>
    <x v="0"/>
    <x v="1"/>
    <s v="Credit Card"/>
    <s v="FY26"/>
    <n v="1"/>
    <n v="1"/>
    <n v="1"/>
    <s v="Retained/Active"/>
  </r>
  <r>
    <s v="TXN-10430"/>
    <s v="CON-9958"/>
    <x v="1"/>
    <d v="2023-12-06T00:00:00"/>
    <n v="41.71"/>
    <s v="Outright Gift"/>
    <x v="0"/>
    <x v="3"/>
    <s v="Credit Card"/>
    <s v="FY24"/>
    <n v="1"/>
    <n v="1"/>
    <n v="0"/>
    <s v="LYBUNT (Lapsed 1 Yr)"/>
  </r>
  <r>
    <s v="TXN-10431"/>
    <s v="CON-3385"/>
    <x v="1"/>
    <d v="2026-02-13T00:00:00"/>
    <n v="673.2"/>
    <s v="Outright Gift"/>
    <x v="1"/>
    <x v="0"/>
    <s v="Credit Card"/>
    <s v="FY26"/>
    <n v="0"/>
    <n v="1"/>
    <n v="1"/>
    <s v="Retained/Active"/>
  </r>
  <r>
    <s v="TXN-10432"/>
    <s v="CON-4009"/>
    <x v="2"/>
    <d v="2024-05-07T00:00:00"/>
    <n v="40.950000000000003"/>
    <s v="Outright Gift"/>
    <x v="0"/>
    <x v="2"/>
    <s v="EFT/ACH"/>
    <s v="FY24"/>
    <n v="1"/>
    <n v="1"/>
    <n v="1"/>
    <s v="Retained/Active"/>
  </r>
  <r>
    <s v="TXN-10433"/>
    <s v="CON-2678"/>
    <x v="0"/>
    <d v="2024-09-17T00:00:00"/>
    <n v="951.65"/>
    <s v="Outright Gift"/>
    <x v="0"/>
    <x v="1"/>
    <s v="Check"/>
    <s v="FY25"/>
    <n v="0"/>
    <n v="1"/>
    <n v="0"/>
    <s v="LYBUNT (Lapsed 1 Yr)"/>
  </r>
  <r>
    <s v="TXN-10434"/>
    <s v="CON-8989"/>
    <x v="0"/>
    <d v="2024-04-23T00:00:00"/>
    <n v="475.79"/>
    <s v="Pledge Payment"/>
    <x v="0"/>
    <x v="0"/>
    <s v="EFT/ACH"/>
    <s v="FY24"/>
    <n v="1"/>
    <n v="0"/>
    <n v="1"/>
    <s v="Retained/Active"/>
  </r>
  <r>
    <s v="TXN-10435"/>
    <s v="CON-5061"/>
    <x v="0"/>
    <d v="2026-02-06T00:00:00"/>
    <n v="80.39"/>
    <s v="Recurring Gift"/>
    <x v="0"/>
    <x v="4"/>
    <s v="Credit Card"/>
    <s v="FY26"/>
    <n v="0"/>
    <n v="1"/>
    <n v="1"/>
    <s v="Retained/Active"/>
  </r>
  <r>
    <s v="TXN-10436"/>
    <s v="CON-3433"/>
    <x v="0"/>
    <d v="2023-08-05T00:00:00"/>
    <n v="47.1"/>
    <s v="Outright Gift"/>
    <x v="0"/>
    <x v="1"/>
    <s v="Credit Card"/>
    <s v="FY24"/>
    <n v="1"/>
    <n v="1"/>
    <n v="1"/>
    <s v="Retained/Active"/>
  </r>
  <r>
    <s v="TXN-10437"/>
    <s v="CON-3734"/>
    <x v="3"/>
    <d v="2025-01-09T00:00:00"/>
    <n v="474.51"/>
    <s v="Recurring Gift"/>
    <x v="1"/>
    <x v="0"/>
    <s v="Credit Card"/>
    <s v="FY25"/>
    <n v="0"/>
    <n v="1"/>
    <n v="1"/>
    <s v="Retained/Active"/>
  </r>
  <r>
    <s v="TXN-10438"/>
    <s v="CON-3062"/>
    <x v="2"/>
    <d v="2025-12-07T00:00:00"/>
    <n v="88.84"/>
    <s v="Outright Gift"/>
    <x v="0"/>
    <x v="3"/>
    <s v="Credit Card"/>
    <s v="FY26"/>
    <n v="1"/>
    <n v="1"/>
    <n v="1"/>
    <s v="Retained/Active"/>
  </r>
  <r>
    <s v="TXN-10439"/>
    <s v="CON-7287"/>
    <x v="3"/>
    <d v="2023-11-18T00:00:00"/>
    <n v="16.29"/>
    <s v="Outright Gift"/>
    <x v="0"/>
    <x v="1"/>
    <s v="EFT/ACH"/>
    <s v="FY24"/>
    <n v="1"/>
    <n v="1"/>
    <n v="0"/>
    <s v="LYBUNT (Lapsed 1 Yr)"/>
  </r>
  <r>
    <s v="TXN-10440"/>
    <s v="CON-4506"/>
    <x v="4"/>
    <d v="2025-12-03T00:00:00"/>
    <n v="252.4"/>
    <s v="Outright Gift"/>
    <x v="0"/>
    <x v="0"/>
    <s v="Check"/>
    <s v="FY26"/>
    <n v="1"/>
    <n v="0"/>
    <n v="1"/>
    <s v="Retained/Active"/>
  </r>
  <r>
    <s v="TXN-10441"/>
    <s v="CON-6949"/>
    <x v="0"/>
    <d v="2025-06-25T00:00:00"/>
    <n v="209.02"/>
    <s v="Outright Gift"/>
    <x v="0"/>
    <x v="2"/>
    <s v="Credit Card"/>
    <s v="FY25"/>
    <n v="1"/>
    <n v="1"/>
    <n v="1"/>
    <s v="Retained/Active"/>
  </r>
  <r>
    <s v="TXN-10442"/>
    <s v="CON-4763"/>
    <x v="1"/>
    <d v="2026-05-15T00:00:00"/>
    <n v="533.26"/>
    <s v="Outright Gift"/>
    <x v="0"/>
    <x v="0"/>
    <s v="EFT/ACH"/>
    <s v="FY26"/>
    <n v="1"/>
    <n v="1"/>
    <n v="1"/>
    <s v="Retained/Active"/>
  </r>
  <r>
    <s v="TXN-10443"/>
    <s v="CON-3433"/>
    <x v="1"/>
    <d v="2024-12-02T00:00:00"/>
    <n v="191.42"/>
    <s v="Outright Gift"/>
    <x v="0"/>
    <x v="0"/>
    <s v="Check"/>
    <s v="FY25"/>
    <n v="1"/>
    <n v="1"/>
    <n v="1"/>
    <s v="Retained/Active"/>
  </r>
  <r>
    <s v="TXN-10444"/>
    <s v="CON-8125"/>
    <x v="0"/>
    <d v="2023-07-10T00:00:00"/>
    <n v="59.51"/>
    <s v="Recurring Gift"/>
    <x v="0"/>
    <x v="0"/>
    <s v="Credit Card"/>
    <s v="FY24"/>
    <n v="1"/>
    <n v="1"/>
    <n v="1"/>
    <s v="Retained/Active"/>
  </r>
  <r>
    <s v="TXN-10445"/>
    <s v="CON-6596"/>
    <x v="4"/>
    <d v="2026-03-10T00:00:00"/>
    <n v="633.07000000000005"/>
    <s v="Outright Gift"/>
    <x v="0"/>
    <x v="0"/>
    <s v="EFT/ACH"/>
    <s v="FY26"/>
    <n v="1"/>
    <n v="1"/>
    <n v="1"/>
    <s v="Retained/Active"/>
  </r>
  <r>
    <s v="TXN-10446"/>
    <s v="CON-2081"/>
    <x v="0"/>
    <d v="2024-07-12T00:00:00"/>
    <n v="718.44"/>
    <s v="Pledge Payment"/>
    <x v="0"/>
    <x v="2"/>
    <s v="EFT/ACH"/>
    <s v="FY25"/>
    <n v="1"/>
    <n v="1"/>
    <n v="1"/>
    <s v="Retained/Active"/>
  </r>
  <r>
    <s v="TXN-10447"/>
    <s v="CON-1466"/>
    <x v="0"/>
    <d v="2025-05-12T00:00:00"/>
    <n v="164.54"/>
    <s v="Outright Gift"/>
    <x v="0"/>
    <x v="2"/>
    <s v="EFT/ACH"/>
    <s v="FY25"/>
    <n v="0"/>
    <n v="1"/>
    <n v="0"/>
    <s v="LYBUNT (Lapsed 1 Yr)"/>
  </r>
  <r>
    <s v="TXN-10448"/>
    <s v="CON-6390"/>
    <x v="0"/>
    <d v="2025-02-03T00:00:00"/>
    <n v="131.41999999999999"/>
    <s v="Recurring Gift"/>
    <x v="0"/>
    <x v="1"/>
    <s v="Credit Card"/>
    <s v="FY25"/>
    <n v="1"/>
    <n v="1"/>
    <n v="0"/>
    <s v="LYBUNT (Lapsed 1 Yr)"/>
  </r>
  <r>
    <s v="TXN-10449"/>
    <s v="CON-6134"/>
    <x v="2"/>
    <d v="2023-11-29T00:00:00"/>
    <n v="21.75"/>
    <s v="Pledge Payment"/>
    <x v="0"/>
    <x v="2"/>
    <s v="EFT/ACH"/>
    <s v="FY24"/>
    <n v="1"/>
    <n v="1"/>
    <n v="1"/>
    <s v="Retained/Active"/>
  </r>
  <r>
    <s v="TXN-10450"/>
    <s v="CON-3961"/>
    <x v="2"/>
    <d v="2025-06-19T00:00:00"/>
    <n v="55.16"/>
    <s v="Outright Gift"/>
    <x v="0"/>
    <x v="4"/>
    <s v="EFT/ACH"/>
    <s v="FY25"/>
    <n v="0"/>
    <n v="1"/>
    <n v="0"/>
    <s v="LYBUNT (Lapsed 1 Yr)"/>
  </r>
  <r>
    <s v="TXN-10451"/>
    <s v="CON-9932"/>
    <x v="1"/>
    <d v="2025-11-05T00:00:00"/>
    <n v="326.69"/>
    <s v="Pledge Payment"/>
    <x v="0"/>
    <x v="0"/>
    <s v="Credit Card"/>
    <s v="FY26"/>
    <n v="0"/>
    <n v="1"/>
    <n v="1"/>
    <s v="Retained/Active"/>
  </r>
  <r>
    <s v="TXN-10452"/>
    <s v="CON-5973"/>
    <x v="4"/>
    <d v="2023-08-19T00:00:00"/>
    <n v="58.88"/>
    <s v="Outright Gift"/>
    <x v="0"/>
    <x v="2"/>
    <s v="Credit Card"/>
    <s v="FY24"/>
    <n v="1"/>
    <n v="1"/>
    <n v="1"/>
    <s v="Retained/Active"/>
  </r>
  <r>
    <s v="TXN-10453"/>
    <s v="CON-2069"/>
    <x v="0"/>
    <d v="2025-04-24T00:00:00"/>
    <n v="18.29"/>
    <s v="Pledge Payment"/>
    <x v="0"/>
    <x v="0"/>
    <s v="Credit Card"/>
    <s v="FY25"/>
    <n v="0"/>
    <n v="1"/>
    <n v="1"/>
    <s v="Retained/Active"/>
  </r>
  <r>
    <s v="TXN-10454"/>
    <s v="CON-7709"/>
    <x v="1"/>
    <d v="2024-12-12T00:00:00"/>
    <n v="11437.37"/>
    <s v="Outright Gift"/>
    <x v="1"/>
    <x v="3"/>
    <s v="Check"/>
    <s v="FY25"/>
    <n v="1"/>
    <n v="1"/>
    <n v="1"/>
    <s v="Retained/Active"/>
  </r>
  <r>
    <s v="TXN-10455"/>
    <s v="CON-5499"/>
    <x v="3"/>
    <d v="2025-11-03T00:00:00"/>
    <n v="18.13"/>
    <s v="Pledge Payment"/>
    <x v="0"/>
    <x v="4"/>
    <s v="Credit Card"/>
    <s v="FY26"/>
    <n v="1"/>
    <n v="1"/>
    <n v="1"/>
    <s v="Retained/Active"/>
  </r>
  <r>
    <s v="TXN-10456"/>
    <s v="CON-2081"/>
    <x v="1"/>
    <d v="2023-11-23T00:00:00"/>
    <n v="2284.21"/>
    <s v="Pledge Payment"/>
    <x v="0"/>
    <x v="1"/>
    <s v="Check"/>
    <s v="FY24"/>
    <n v="1"/>
    <n v="1"/>
    <n v="1"/>
    <s v="Retained/Active"/>
  </r>
  <r>
    <s v="TXN-10457"/>
    <s v="CON-6311"/>
    <x v="4"/>
    <d v="2025-12-31T00:00:00"/>
    <n v="81.48"/>
    <s v="Outright Gift"/>
    <x v="0"/>
    <x v="0"/>
    <s v="Credit Card"/>
    <s v="FY26"/>
    <n v="1"/>
    <n v="1"/>
    <n v="1"/>
    <s v="Retained/Active"/>
  </r>
  <r>
    <s v="TXN-10458"/>
    <s v="CON-3511"/>
    <x v="4"/>
    <d v="2026-03-19T00:00:00"/>
    <n v="108.86"/>
    <s v="Outright Gift"/>
    <x v="0"/>
    <x v="0"/>
    <s v="Credit Card"/>
    <s v="FY26"/>
    <n v="0"/>
    <n v="1"/>
    <n v="1"/>
    <s v="Retained/Active"/>
  </r>
  <r>
    <s v="TXN-10459"/>
    <s v="CON-8408"/>
    <x v="2"/>
    <d v="2024-02-27T00:00:00"/>
    <n v="50.71"/>
    <s v="Recurring Gift"/>
    <x v="0"/>
    <x v="0"/>
    <s v="Credit Card"/>
    <s v="FY24"/>
    <n v="1"/>
    <n v="1"/>
    <n v="0"/>
    <s v="LYBUNT (Lapsed 1 Yr)"/>
  </r>
  <r>
    <s v="TXN-10460"/>
    <s v="CON-3734"/>
    <x v="3"/>
    <d v="2025-01-31T00:00:00"/>
    <n v="336.19"/>
    <s v="Outright Gift"/>
    <x v="0"/>
    <x v="1"/>
    <s v="Credit Card"/>
    <s v="FY25"/>
    <n v="0"/>
    <n v="1"/>
    <n v="1"/>
    <s v="Retained/Active"/>
  </r>
  <r>
    <s v="TXN-10461"/>
    <s v="CON-9680"/>
    <x v="0"/>
    <d v="2025-05-17T00:00:00"/>
    <n v="18.7"/>
    <s v="Outright Gift"/>
    <x v="0"/>
    <x v="3"/>
    <s v="Credit Card"/>
    <s v="FY25"/>
    <n v="0"/>
    <n v="1"/>
    <n v="1"/>
    <s v="Retained/Active"/>
  </r>
  <r>
    <s v="TXN-10462"/>
    <s v="CON-9792"/>
    <x v="4"/>
    <d v="2024-10-25T00:00:00"/>
    <n v="15"/>
    <s v="Outright Gift"/>
    <x v="1"/>
    <x v="1"/>
    <s v="EFT/ACH"/>
    <s v="FY25"/>
    <n v="1"/>
    <n v="1"/>
    <n v="1"/>
    <s v="Retained/Active"/>
  </r>
  <r>
    <s v="TXN-10463"/>
    <s v="CON-3205"/>
    <x v="0"/>
    <d v="2025-05-03T00:00:00"/>
    <n v="985.57"/>
    <s v="Outright Gift"/>
    <x v="1"/>
    <x v="0"/>
    <s v="Credit Card"/>
    <s v="FY25"/>
    <n v="0"/>
    <n v="1"/>
    <n v="1"/>
    <s v="Retained/Active"/>
  </r>
  <r>
    <s v="TXN-10464"/>
    <s v="CON-6539"/>
    <x v="2"/>
    <d v="2025-03-22T00:00:00"/>
    <n v="42.73"/>
    <s v="Estate/Planned Gift"/>
    <x v="0"/>
    <x v="2"/>
    <s v="Credit Card"/>
    <s v="FY25"/>
    <n v="0"/>
    <n v="1"/>
    <n v="1"/>
    <s v="Retained/Active"/>
  </r>
  <r>
    <s v="TXN-10465"/>
    <s v="CON-6618"/>
    <x v="4"/>
    <d v="2025-04-21T00:00:00"/>
    <n v="320.51"/>
    <s v="Outright Gift"/>
    <x v="0"/>
    <x v="1"/>
    <s v="Credit Card"/>
    <s v="FY25"/>
    <n v="1"/>
    <n v="1"/>
    <n v="0"/>
    <s v="LYBUNT (Lapsed 1 Yr)"/>
  </r>
  <r>
    <s v="TXN-10466"/>
    <s v="CON-7892"/>
    <x v="4"/>
    <d v="2025-04-22T00:00:00"/>
    <n v="29.63"/>
    <s v="Outright Gift"/>
    <x v="0"/>
    <x v="4"/>
    <s v="EFT/ACH"/>
    <s v="FY25"/>
    <n v="1"/>
    <n v="1"/>
    <n v="1"/>
    <s v="Retained/Active"/>
  </r>
  <r>
    <s v="TXN-10467"/>
    <s v="CON-8455"/>
    <x v="3"/>
    <d v="2025-09-12T00:00:00"/>
    <n v="305.19"/>
    <s v="Pledge Payment"/>
    <x v="0"/>
    <x v="3"/>
    <s v="EFT/ACH"/>
    <s v="FY26"/>
    <n v="0"/>
    <n v="1"/>
    <n v="1"/>
    <s v="Retained/Active"/>
  </r>
  <r>
    <s v="TXN-10468"/>
    <s v="CON-3047"/>
    <x v="0"/>
    <d v="2024-08-22T00:00:00"/>
    <n v="1084.21"/>
    <s v="Recurring Gift"/>
    <x v="0"/>
    <x v="0"/>
    <s v="EFT/ACH"/>
    <s v="FY25"/>
    <n v="1"/>
    <n v="1"/>
    <n v="1"/>
    <s v="Retained/Active"/>
  </r>
  <r>
    <s v="TXN-10469"/>
    <s v="CON-6575"/>
    <x v="4"/>
    <d v="2026-03-14T00:00:00"/>
    <n v="61.24"/>
    <s v="Outright Gift"/>
    <x v="0"/>
    <x v="0"/>
    <s v="Stock Transfer"/>
    <s v="FY26"/>
    <n v="1"/>
    <n v="1"/>
    <n v="1"/>
    <s v="Retained/Active"/>
  </r>
  <r>
    <s v="TXN-10470"/>
    <s v="CON-7949"/>
    <x v="2"/>
    <d v="2025-04-10T00:00:00"/>
    <n v="15"/>
    <s v="Outright Gift"/>
    <x v="0"/>
    <x v="1"/>
    <s v="Credit Card"/>
    <s v="FY25"/>
    <n v="0"/>
    <n v="1"/>
    <n v="1"/>
    <s v="Retained/Active"/>
  </r>
  <r>
    <s v="TXN-10471"/>
    <s v="CON-7616"/>
    <x v="4"/>
    <d v="2026-02-23T00:00:00"/>
    <n v="1091.6400000000001"/>
    <s v="Recurring Gift"/>
    <x v="0"/>
    <x v="2"/>
    <s v="Credit Card"/>
    <s v="FY26"/>
    <n v="0"/>
    <n v="1"/>
    <n v="1"/>
    <s v="Retained/Active"/>
  </r>
  <r>
    <s v="TXN-10472"/>
    <s v="CON-3047"/>
    <x v="2"/>
    <d v="2025-02-09T00:00:00"/>
    <n v="405.09"/>
    <s v="Pledge Payment"/>
    <x v="0"/>
    <x v="1"/>
    <s v="Credit Card"/>
    <s v="FY25"/>
    <n v="1"/>
    <n v="1"/>
    <n v="1"/>
    <s v="Retained/Active"/>
  </r>
  <r>
    <s v="TXN-10473"/>
    <s v="CON-8916"/>
    <x v="0"/>
    <d v="2024-11-20T00:00:00"/>
    <n v="65.650000000000006"/>
    <s v="Outright Gift"/>
    <x v="0"/>
    <x v="2"/>
    <s v="Credit Card"/>
    <s v="FY25"/>
    <n v="1"/>
    <n v="1"/>
    <n v="0"/>
    <s v="LYBUNT (Lapsed 1 Yr)"/>
  </r>
  <r>
    <s v="TXN-10474"/>
    <s v="CON-8421"/>
    <x v="0"/>
    <d v="2024-09-13T00:00:00"/>
    <n v="91.53"/>
    <s v="Outright Gift"/>
    <x v="0"/>
    <x v="3"/>
    <s v="EFT/ACH"/>
    <s v="FY25"/>
    <n v="0"/>
    <n v="1"/>
    <n v="0"/>
    <s v="LYBUNT (Lapsed 1 Yr)"/>
  </r>
  <r>
    <s v="TXN-10475"/>
    <s v="CON-7863"/>
    <x v="2"/>
    <d v="2026-01-06T00:00:00"/>
    <n v="28.68"/>
    <s v="Outright Gift"/>
    <x v="0"/>
    <x v="1"/>
    <s v="Credit Card"/>
    <s v="FY26"/>
    <n v="0"/>
    <n v="1"/>
    <n v="1"/>
    <s v="Retained/Active"/>
  </r>
  <r>
    <s v="TXN-10476"/>
    <s v="CON-9445"/>
    <x v="3"/>
    <d v="2025-08-08T00:00:00"/>
    <n v="769.96"/>
    <s v="Outright Gift"/>
    <x v="0"/>
    <x v="3"/>
    <s v="Credit Card"/>
    <s v="FY26"/>
    <n v="0"/>
    <n v="1"/>
    <n v="1"/>
    <s v="Retained/Active"/>
  </r>
  <r>
    <s v="TXN-10477"/>
    <s v="CON-5488"/>
    <x v="0"/>
    <d v="2024-03-19T00:00:00"/>
    <n v="60.63"/>
    <s v="Outright Gift"/>
    <x v="0"/>
    <x v="1"/>
    <s v="Credit Card"/>
    <s v="FY24"/>
    <n v="1"/>
    <n v="1"/>
    <n v="1"/>
    <s v="Retained/Active"/>
  </r>
  <r>
    <s v="TXN-10478"/>
    <s v="CON-6530"/>
    <x v="2"/>
    <d v="2025-03-28T00:00:00"/>
    <n v="19.21"/>
    <s v="Recurring Gift"/>
    <x v="1"/>
    <x v="4"/>
    <s v="Stock Transfer"/>
    <s v="FY25"/>
    <n v="1"/>
    <n v="1"/>
    <n v="1"/>
    <s v="Retained/Active"/>
  </r>
  <r>
    <s v="TXN-10479"/>
    <s v="CON-6134"/>
    <x v="0"/>
    <d v="2024-10-01T00:00:00"/>
    <n v="160.41"/>
    <s v="Outright Gift"/>
    <x v="0"/>
    <x v="1"/>
    <s v="Check"/>
    <s v="FY25"/>
    <n v="1"/>
    <n v="1"/>
    <n v="1"/>
    <s v="Retained/Active"/>
  </r>
  <r>
    <s v="TXN-10480"/>
    <s v="CON-7295"/>
    <x v="3"/>
    <d v="2026-03-25T00:00:00"/>
    <n v="39.729999999999997"/>
    <s v="Pledge Payment"/>
    <x v="0"/>
    <x v="2"/>
    <s v="Credit Card"/>
    <s v="FY26"/>
    <n v="1"/>
    <n v="1"/>
    <n v="1"/>
    <s v="Retained/Active"/>
  </r>
  <r>
    <s v="TXN-10481"/>
    <s v="CON-6134"/>
    <x v="0"/>
    <d v="2025-05-30T00:00:00"/>
    <n v="31.85"/>
    <s v="Outright Gift"/>
    <x v="0"/>
    <x v="1"/>
    <s v="Credit Card"/>
    <s v="FY25"/>
    <n v="1"/>
    <n v="1"/>
    <n v="1"/>
    <s v="Retained/Active"/>
  </r>
  <r>
    <s v="TXN-10482"/>
    <s v="CON-2528"/>
    <x v="1"/>
    <d v="2024-04-27T00:00:00"/>
    <n v="69.47"/>
    <s v="Pledge Payment"/>
    <x v="0"/>
    <x v="3"/>
    <s v="Check"/>
    <s v="FY24"/>
    <n v="1"/>
    <n v="1"/>
    <n v="1"/>
    <s v="Retained/Active"/>
  </r>
  <r>
    <s v="TXN-10483"/>
    <s v="CON-6134"/>
    <x v="1"/>
    <d v="2025-01-04T00:00:00"/>
    <n v="135.94999999999999"/>
    <s v="Pledge Payment"/>
    <x v="0"/>
    <x v="0"/>
    <s v="Stock Transfer"/>
    <s v="FY25"/>
    <n v="1"/>
    <n v="1"/>
    <n v="1"/>
    <s v="Retained/Active"/>
  </r>
  <r>
    <s v="TXN-10484"/>
    <s v="CON-5893"/>
    <x v="1"/>
    <d v="2024-04-13T00:00:00"/>
    <n v="20.18"/>
    <s v="Outright Gift"/>
    <x v="0"/>
    <x v="1"/>
    <s v="Credit Card"/>
    <s v="FY24"/>
    <n v="1"/>
    <n v="1"/>
    <n v="1"/>
    <s v="Retained/Active"/>
  </r>
  <r>
    <s v="TXN-10485"/>
    <s v="CON-2931"/>
    <x v="0"/>
    <d v="2025-03-12T00:00:00"/>
    <n v="735.61"/>
    <s v="Outright Gift"/>
    <x v="0"/>
    <x v="0"/>
    <s v="Credit Card"/>
    <s v="FY25"/>
    <n v="1"/>
    <n v="1"/>
    <n v="1"/>
    <s v="Retained/Active"/>
  </r>
  <r>
    <s v="TXN-10486"/>
    <s v="CON-1098"/>
    <x v="1"/>
    <d v="2026-04-01T00:00:00"/>
    <n v="293.04000000000002"/>
    <s v="Outright Gift"/>
    <x v="0"/>
    <x v="0"/>
    <s v="Check"/>
    <s v="FY26"/>
    <n v="0"/>
    <n v="1"/>
    <n v="1"/>
    <s v="Retained/Active"/>
  </r>
  <r>
    <s v="TXN-10487"/>
    <s v="CON-3027"/>
    <x v="1"/>
    <d v="2023-08-05T00:00:00"/>
    <n v="75.569999999999993"/>
    <s v="Recurring Gift"/>
    <x v="0"/>
    <x v="2"/>
    <s v="EFT/ACH"/>
    <s v="FY24"/>
    <n v="1"/>
    <n v="0"/>
    <n v="1"/>
    <s v="Retained/Active"/>
  </r>
  <r>
    <s v="TXN-10488"/>
    <s v="CON-3612"/>
    <x v="4"/>
    <d v="2025-07-13T00:00:00"/>
    <n v="37.549999999999997"/>
    <s v="Recurring Gift"/>
    <x v="0"/>
    <x v="3"/>
    <s v="Credit Card"/>
    <s v="FY26"/>
    <n v="1"/>
    <n v="1"/>
    <n v="1"/>
    <s v="Retained/Active"/>
  </r>
  <r>
    <s v="TXN-10489"/>
    <s v="CON-6056"/>
    <x v="3"/>
    <d v="2024-06-17T00:00:00"/>
    <n v="108.2"/>
    <s v="Outright Gift"/>
    <x v="0"/>
    <x v="0"/>
    <s v="EFT/ACH"/>
    <s v="FY24"/>
    <n v="1"/>
    <n v="0"/>
    <n v="1"/>
    <s v="Retained/Active"/>
  </r>
  <r>
    <s v="TXN-10490"/>
    <s v="CON-7265"/>
    <x v="0"/>
    <d v="2023-09-11T00:00:00"/>
    <n v="391.22"/>
    <s v="Outright Gift"/>
    <x v="0"/>
    <x v="1"/>
    <s v="Check"/>
    <s v="FY24"/>
    <n v="1"/>
    <n v="1"/>
    <n v="0"/>
    <s v="LYBUNT (Lapsed 1 Yr)"/>
  </r>
  <r>
    <s v="TXN-10491"/>
    <s v="CON-9958"/>
    <x v="4"/>
    <d v="2025-04-08T00:00:00"/>
    <n v="319.88"/>
    <s v="Outright Gift"/>
    <x v="0"/>
    <x v="1"/>
    <s v="Check"/>
    <s v="FY25"/>
    <n v="1"/>
    <n v="1"/>
    <n v="0"/>
    <s v="LYBUNT (Lapsed 1 Yr)"/>
  </r>
  <r>
    <s v="TXN-10492"/>
    <s v="CON-1699"/>
    <x v="1"/>
    <d v="2024-08-28T00:00:00"/>
    <n v="481.09"/>
    <s v="Pledge Payment"/>
    <x v="0"/>
    <x v="0"/>
    <s v="EFT/ACH"/>
    <s v="FY25"/>
    <n v="1"/>
    <n v="1"/>
    <n v="1"/>
    <s v="Retained/Active"/>
  </r>
  <r>
    <s v="TXN-10493"/>
    <s v="CON-6625"/>
    <x v="2"/>
    <d v="2026-03-25T00:00:00"/>
    <n v="65.069999999999993"/>
    <s v="Outright Gift"/>
    <x v="0"/>
    <x v="0"/>
    <s v="EFT/ACH"/>
    <s v="FY26"/>
    <n v="1"/>
    <n v="1"/>
    <n v="1"/>
    <s v="Retained/Active"/>
  </r>
  <r>
    <s v="TXN-10494"/>
    <s v="CON-2154"/>
    <x v="2"/>
    <d v="2025-06-07T00:00:00"/>
    <n v="15"/>
    <s v="Outright Gift"/>
    <x v="0"/>
    <x v="0"/>
    <s v="Credit Card"/>
    <s v="FY25"/>
    <n v="1"/>
    <n v="1"/>
    <n v="1"/>
    <s v="Retained/Active"/>
  </r>
  <r>
    <s v="TXN-10495"/>
    <s v="CON-1537"/>
    <x v="0"/>
    <d v="2025-01-11T00:00:00"/>
    <n v="615.33000000000004"/>
    <s v="Outright Gift"/>
    <x v="0"/>
    <x v="1"/>
    <s v="Check"/>
    <s v="FY25"/>
    <n v="1"/>
    <n v="1"/>
    <n v="0"/>
    <s v="LYBUNT (Lapsed 1 Yr)"/>
  </r>
  <r>
    <s v="TXN-10496"/>
    <s v="CON-6949"/>
    <x v="0"/>
    <d v="2025-10-05T00:00:00"/>
    <n v="97.77"/>
    <s v="Outright Gift"/>
    <x v="1"/>
    <x v="0"/>
    <s v="Credit Card"/>
    <s v="FY26"/>
    <n v="1"/>
    <n v="1"/>
    <n v="1"/>
    <s v="Retained/Active"/>
  </r>
  <r>
    <s v="TXN-10497"/>
    <s v="CON-7197"/>
    <x v="0"/>
    <d v="2026-02-10T00:00:00"/>
    <n v="288.88"/>
    <s v="Pledge Payment"/>
    <x v="0"/>
    <x v="4"/>
    <s v="Check"/>
    <s v="FY26"/>
    <n v="0"/>
    <n v="1"/>
    <n v="1"/>
    <s v="Retained/Active"/>
  </r>
  <r>
    <s v="TXN-10498"/>
    <s v="CON-8404"/>
    <x v="0"/>
    <d v="2024-11-28T00:00:00"/>
    <n v="1064.22"/>
    <s v="Outright Gift"/>
    <x v="0"/>
    <x v="1"/>
    <s v="Credit Card"/>
    <s v="FY25"/>
    <n v="0"/>
    <n v="1"/>
    <n v="0"/>
    <s v="LYBUNT (Lapsed 1 Yr)"/>
  </r>
  <r>
    <s v="TXN-10499"/>
    <s v="CON-4327"/>
    <x v="2"/>
    <d v="2024-08-31T00:00:00"/>
    <n v="2877.66"/>
    <s v="Pledge Payment"/>
    <x v="0"/>
    <x v="0"/>
    <s v="Check"/>
    <s v="FY25"/>
    <n v="1"/>
    <n v="1"/>
    <n v="1"/>
    <s v="Retained/Active"/>
  </r>
  <r>
    <s v="TXN-10500"/>
    <s v="CON-2998"/>
    <x v="1"/>
    <d v="2023-12-07T00:00:00"/>
    <n v="52.21"/>
    <s v="Outright Gift"/>
    <x v="0"/>
    <x v="2"/>
    <s v="Credit Card"/>
    <s v="FY24"/>
    <n v="1"/>
    <n v="0"/>
    <n v="0"/>
    <s v="SYBUNT (Lapsed Multi-Yr)"/>
  </r>
  <r>
    <s v="TXN-10501"/>
    <s v="CON-3327"/>
    <x v="1"/>
    <d v="2023-11-26T00:00:00"/>
    <n v="144.63"/>
    <s v="Outright Gift"/>
    <x v="1"/>
    <x v="2"/>
    <s v="Credit Card"/>
    <s v="FY24"/>
    <n v="1"/>
    <n v="0"/>
    <n v="1"/>
    <s v="Retained/Active"/>
  </r>
  <r>
    <s v="TXN-10502"/>
    <s v="CON-9338"/>
    <x v="1"/>
    <d v="2025-08-14T00:00:00"/>
    <n v="718.3"/>
    <s v="Pledge Payment"/>
    <x v="0"/>
    <x v="1"/>
    <s v="Credit Card"/>
    <s v="FY26"/>
    <n v="1"/>
    <n v="1"/>
    <n v="1"/>
    <s v="Retained/Active"/>
  </r>
  <r>
    <s v="TXN-10503"/>
    <s v="CON-1878"/>
    <x v="0"/>
    <d v="2023-09-05T00:00:00"/>
    <n v="40.549999999999997"/>
    <s v="Estate/Planned Gift"/>
    <x v="1"/>
    <x v="2"/>
    <s v="EFT/ACH"/>
    <s v="FY24"/>
    <n v="1"/>
    <n v="0"/>
    <n v="0"/>
    <s v="SYBUNT (Lapsed Multi-Yr)"/>
  </r>
  <r>
    <s v="TXN-10504"/>
    <s v="CON-6977"/>
    <x v="0"/>
    <d v="2026-04-09T00:00:00"/>
    <n v="57.01"/>
    <s v="Pledge Payment"/>
    <x v="0"/>
    <x v="3"/>
    <s v="Check"/>
    <s v="FY26"/>
    <n v="1"/>
    <n v="0"/>
    <n v="1"/>
    <s v="Retained/Active"/>
  </r>
  <r>
    <s v="TXN-10505"/>
    <s v="CON-6191"/>
    <x v="1"/>
    <d v="2024-07-15T00:00:00"/>
    <n v="56.57"/>
    <s v="Outright Gift"/>
    <x v="0"/>
    <x v="1"/>
    <s v="EFT/ACH"/>
    <s v="FY25"/>
    <n v="1"/>
    <n v="1"/>
    <n v="1"/>
    <s v="Retained/Active"/>
  </r>
  <r>
    <s v="TXN-10506"/>
    <s v="CON-8027"/>
    <x v="3"/>
    <d v="2023-08-27T00:00:00"/>
    <n v="117.15"/>
    <s v="Outright Gift"/>
    <x v="0"/>
    <x v="0"/>
    <s v="Credit Card"/>
    <s v="FY24"/>
    <n v="1"/>
    <n v="0"/>
    <n v="1"/>
    <s v="Retained/Active"/>
  </r>
  <r>
    <s v="TXN-10507"/>
    <s v="CON-1853"/>
    <x v="0"/>
    <d v="2024-06-06T00:00:00"/>
    <n v="91.27"/>
    <s v="Recurring Gift"/>
    <x v="1"/>
    <x v="1"/>
    <s v="Credit Card"/>
    <s v="FY24"/>
    <n v="1"/>
    <n v="1"/>
    <n v="0"/>
    <s v="LYBUNT (Lapsed 1 Yr)"/>
  </r>
  <r>
    <s v="TXN-10508"/>
    <s v="CON-9716"/>
    <x v="1"/>
    <d v="2025-06-26T00:00:00"/>
    <n v="56.15"/>
    <s v="Outright Gift"/>
    <x v="0"/>
    <x v="0"/>
    <s v="Check"/>
    <s v="FY25"/>
    <n v="1"/>
    <n v="1"/>
    <n v="1"/>
    <s v="Retained/Active"/>
  </r>
  <r>
    <s v="TXN-10509"/>
    <s v="CON-8027"/>
    <x v="2"/>
    <d v="2025-08-08T00:00:00"/>
    <n v="34.619999999999997"/>
    <s v="Outright Gift"/>
    <x v="0"/>
    <x v="0"/>
    <s v="EFT/ACH"/>
    <s v="FY26"/>
    <n v="1"/>
    <n v="0"/>
    <n v="1"/>
    <s v="Retained/Active"/>
  </r>
  <r>
    <s v="TXN-10510"/>
    <s v="CON-4104"/>
    <x v="1"/>
    <d v="2025-03-05T00:00:00"/>
    <n v="349.16"/>
    <s v="Recurring Gift"/>
    <x v="1"/>
    <x v="2"/>
    <s v="EFT/ACH"/>
    <s v="FY25"/>
    <n v="0"/>
    <n v="1"/>
    <n v="1"/>
    <s v="Retained/Active"/>
  </r>
  <r>
    <s v="TXN-10511"/>
    <s v="CON-2495"/>
    <x v="2"/>
    <d v="2024-06-18T00:00:00"/>
    <n v="691.72"/>
    <s v="Recurring Gift"/>
    <x v="0"/>
    <x v="1"/>
    <s v="EFT/ACH"/>
    <s v="FY24"/>
    <n v="1"/>
    <n v="1"/>
    <n v="1"/>
    <s v="Retained/Active"/>
  </r>
  <r>
    <s v="TXN-10512"/>
    <s v="CON-8206"/>
    <x v="2"/>
    <d v="2023-10-24T00:00:00"/>
    <n v="835.08"/>
    <s v="Estate/Planned Gift"/>
    <x v="0"/>
    <x v="0"/>
    <s v="EFT/ACH"/>
    <s v="FY24"/>
    <n v="1"/>
    <n v="1"/>
    <n v="1"/>
    <s v="Retained/Active"/>
  </r>
  <r>
    <s v="TXN-10513"/>
    <s v="CON-2663"/>
    <x v="1"/>
    <d v="2025-04-22T00:00:00"/>
    <n v="65.010000000000005"/>
    <s v="Recurring Gift"/>
    <x v="0"/>
    <x v="0"/>
    <s v="Credit Card"/>
    <s v="FY25"/>
    <n v="1"/>
    <n v="1"/>
    <n v="1"/>
    <s v="Retained/Active"/>
  </r>
  <r>
    <s v="TXN-10514"/>
    <s v="CON-5911"/>
    <x v="1"/>
    <d v="2024-09-25T00:00:00"/>
    <n v="368.65"/>
    <s v="Recurring Gift"/>
    <x v="0"/>
    <x v="0"/>
    <s v="EFT/ACH"/>
    <s v="FY25"/>
    <n v="0"/>
    <n v="1"/>
    <n v="1"/>
    <s v="Retained/Active"/>
  </r>
  <r>
    <s v="TXN-10515"/>
    <s v="CON-8253"/>
    <x v="0"/>
    <d v="2024-04-12T00:00:00"/>
    <n v="165.21"/>
    <s v="Outright Gift"/>
    <x v="0"/>
    <x v="2"/>
    <s v="EFT/ACH"/>
    <s v="FY24"/>
    <n v="1"/>
    <n v="0"/>
    <n v="1"/>
    <s v="Retained/Active"/>
  </r>
  <r>
    <s v="TXN-10516"/>
    <s v="CON-9352"/>
    <x v="1"/>
    <d v="2026-04-12T00:00:00"/>
    <n v="57.87"/>
    <s v="Outright Gift"/>
    <x v="0"/>
    <x v="0"/>
    <s v="Check"/>
    <s v="FY26"/>
    <n v="0"/>
    <n v="1"/>
    <n v="1"/>
    <s v="Retained/Active"/>
  </r>
  <r>
    <s v="TXN-10517"/>
    <s v="CON-2899"/>
    <x v="1"/>
    <d v="2024-05-06T00:00:00"/>
    <n v="315.60000000000002"/>
    <s v="Outright Gift"/>
    <x v="0"/>
    <x v="4"/>
    <s v="Check"/>
    <s v="FY24"/>
    <n v="1"/>
    <n v="0"/>
    <n v="0"/>
    <s v="SYBUNT (Lapsed Multi-Yr)"/>
  </r>
  <r>
    <s v="TXN-10518"/>
    <s v="CON-9433"/>
    <x v="0"/>
    <d v="2024-01-24T00:00:00"/>
    <n v="54.51"/>
    <s v="Outright Gift"/>
    <x v="0"/>
    <x v="0"/>
    <s v="Credit Card"/>
    <s v="FY24"/>
    <n v="1"/>
    <n v="0"/>
    <n v="1"/>
    <s v="Retained/Active"/>
  </r>
  <r>
    <s v="TXN-10519"/>
    <s v="CON-7197"/>
    <x v="0"/>
    <d v="2025-03-09T00:00:00"/>
    <n v="74.510000000000005"/>
    <s v="Outright Gift"/>
    <x v="0"/>
    <x v="0"/>
    <s v="Credit Card"/>
    <s v="FY25"/>
    <n v="0"/>
    <n v="1"/>
    <n v="1"/>
    <s v="Retained/Active"/>
  </r>
  <r>
    <s v="TXN-10520"/>
    <s v="CON-4890"/>
    <x v="0"/>
    <d v="2024-09-18T00:00:00"/>
    <n v="20.29"/>
    <s v="Outright Gift"/>
    <x v="0"/>
    <x v="3"/>
    <s v="Credit Card"/>
    <s v="FY25"/>
    <n v="1"/>
    <n v="1"/>
    <n v="0"/>
    <s v="LYBUNT (Lapsed 1 Yr)"/>
  </r>
  <r>
    <s v="TXN-10521"/>
    <s v="CON-8400"/>
    <x v="2"/>
    <d v="2025-04-30T00:00:00"/>
    <n v="66.45"/>
    <s v="Outright Gift"/>
    <x v="0"/>
    <x v="1"/>
    <s v="Credit Card"/>
    <s v="FY25"/>
    <n v="1"/>
    <n v="1"/>
    <n v="1"/>
    <s v="Retained/Active"/>
  </r>
  <r>
    <s v="TXN-10522"/>
    <s v="CON-7265"/>
    <x v="2"/>
    <d v="2025-03-24T00:00:00"/>
    <n v="169.02"/>
    <s v="Outright Gift"/>
    <x v="0"/>
    <x v="1"/>
    <s v="EFT/ACH"/>
    <s v="FY25"/>
    <n v="1"/>
    <n v="1"/>
    <n v="0"/>
    <s v="LYBUNT (Lapsed 1 Yr)"/>
  </r>
  <r>
    <s v="TXN-10523"/>
    <s v="CON-8992"/>
    <x v="1"/>
    <d v="2023-08-24T00:00:00"/>
    <n v="934.13"/>
    <s v="Outright Gift"/>
    <x v="0"/>
    <x v="2"/>
    <s v="Check"/>
    <s v="FY24"/>
    <n v="1"/>
    <n v="1"/>
    <n v="0"/>
    <s v="LYBUNT (Lapsed 1 Yr)"/>
  </r>
  <r>
    <s v="TXN-10524"/>
    <s v="CON-5548"/>
    <x v="1"/>
    <d v="2025-12-28T00:00:00"/>
    <n v="76.739999999999995"/>
    <s v="Outright Gift"/>
    <x v="0"/>
    <x v="0"/>
    <s v="Credit Card"/>
    <s v="FY26"/>
    <n v="1"/>
    <n v="1"/>
    <n v="1"/>
    <s v="Retained/Active"/>
  </r>
  <r>
    <s v="TXN-10525"/>
    <s v="CON-9684"/>
    <x v="3"/>
    <d v="2026-05-01T00:00:00"/>
    <n v="31.51"/>
    <s v="Outright Gift"/>
    <x v="0"/>
    <x v="3"/>
    <s v="Credit Card"/>
    <s v="FY26"/>
    <n v="1"/>
    <n v="1"/>
    <n v="1"/>
    <s v="Retained/Active"/>
  </r>
  <r>
    <s v="TXN-10526"/>
    <s v="CON-6191"/>
    <x v="2"/>
    <d v="2025-04-17T00:00:00"/>
    <n v="851.14"/>
    <s v="Pledge Payment"/>
    <x v="0"/>
    <x v="4"/>
    <s v="Check"/>
    <s v="FY25"/>
    <n v="1"/>
    <n v="1"/>
    <n v="1"/>
    <s v="Retained/Active"/>
  </r>
  <r>
    <s v="TXN-10527"/>
    <s v="CON-2148"/>
    <x v="3"/>
    <d v="2026-03-06T00:00:00"/>
    <n v="63.06"/>
    <s v="Outright Gift"/>
    <x v="0"/>
    <x v="0"/>
    <s v="Check"/>
    <s v="FY26"/>
    <n v="1"/>
    <n v="1"/>
    <n v="1"/>
    <s v="Retained/Active"/>
  </r>
  <r>
    <s v="TXN-10528"/>
    <s v="CON-3693"/>
    <x v="0"/>
    <d v="2024-11-26T00:00:00"/>
    <n v="15"/>
    <s v="Outright Gift"/>
    <x v="0"/>
    <x v="0"/>
    <s v="Credit Card"/>
    <s v="FY25"/>
    <n v="1"/>
    <n v="1"/>
    <n v="1"/>
    <s v="Retained/Active"/>
  </r>
  <r>
    <s v="TXN-10529"/>
    <s v="CON-3790"/>
    <x v="2"/>
    <d v="2024-02-22T00:00:00"/>
    <n v="144.46"/>
    <s v="Pledge Payment"/>
    <x v="0"/>
    <x v="0"/>
    <s v="EFT/ACH"/>
    <s v="FY24"/>
    <n v="1"/>
    <n v="1"/>
    <n v="1"/>
    <s v="Retained/Active"/>
  </r>
  <r>
    <s v="TXN-10530"/>
    <s v="CON-2931"/>
    <x v="0"/>
    <d v="2024-06-12T00:00:00"/>
    <n v="79.66"/>
    <s v="Outright Gift"/>
    <x v="0"/>
    <x v="1"/>
    <s v="Credit Card"/>
    <s v="FY24"/>
    <n v="1"/>
    <n v="1"/>
    <n v="1"/>
    <s v="Retained/Active"/>
  </r>
  <r>
    <s v="TXN-10531"/>
    <s v="CON-9392"/>
    <x v="0"/>
    <d v="2025-03-18T00:00:00"/>
    <n v="2417.56"/>
    <s v="Outright Gift"/>
    <x v="0"/>
    <x v="2"/>
    <s v="Credit Card"/>
    <s v="FY25"/>
    <n v="1"/>
    <n v="1"/>
    <n v="0"/>
    <s v="LYBUNT (Lapsed 1 Yr)"/>
  </r>
  <r>
    <s v="TXN-10532"/>
    <s v="CON-8629"/>
    <x v="0"/>
    <d v="2025-03-21T00:00:00"/>
    <n v="225.42"/>
    <s v="Outright Gift"/>
    <x v="0"/>
    <x v="2"/>
    <s v="Credit Card"/>
    <s v="FY25"/>
    <n v="1"/>
    <n v="1"/>
    <n v="0"/>
    <s v="LYBUNT (Lapsed 1 Yr)"/>
  </r>
  <r>
    <s v="TXN-10533"/>
    <s v="CON-3811"/>
    <x v="0"/>
    <d v="2024-06-28T00:00:00"/>
    <n v="100.46"/>
    <s v="Outright Gift"/>
    <x v="0"/>
    <x v="0"/>
    <s v="Credit Card"/>
    <s v="FY24"/>
    <n v="1"/>
    <n v="1"/>
    <n v="1"/>
    <s v="Retained/Active"/>
  </r>
  <r>
    <s v="TXN-10534"/>
    <s v="CON-2148"/>
    <x v="1"/>
    <d v="2024-05-16T00:00:00"/>
    <n v="36.53"/>
    <s v="Recurring Gift"/>
    <x v="1"/>
    <x v="1"/>
    <s v="Credit Card"/>
    <s v="FY24"/>
    <n v="1"/>
    <n v="1"/>
    <n v="1"/>
    <s v="Retained/Active"/>
  </r>
  <r>
    <s v="TXN-10535"/>
    <s v="CON-3976"/>
    <x v="0"/>
    <d v="2024-04-11T00:00:00"/>
    <n v="186.65"/>
    <s v="Outright Gift"/>
    <x v="0"/>
    <x v="1"/>
    <s v="Check"/>
    <s v="FY24"/>
    <n v="1"/>
    <n v="1"/>
    <n v="0"/>
    <s v="LYBUNT (Lapsed 1 Yr)"/>
  </r>
  <r>
    <s v="TXN-10536"/>
    <s v="CON-3479"/>
    <x v="3"/>
    <d v="2023-11-26T00:00:00"/>
    <n v="807.32"/>
    <s v="Pledge Payment"/>
    <x v="0"/>
    <x v="1"/>
    <s v="EFT/ACH"/>
    <s v="FY24"/>
    <n v="1"/>
    <n v="0"/>
    <n v="0"/>
    <s v="SYBUNT (Lapsed Multi-Yr)"/>
  </r>
  <r>
    <s v="TXN-10537"/>
    <s v="CON-3747"/>
    <x v="4"/>
    <d v="2024-08-09T00:00:00"/>
    <n v="182.25"/>
    <s v="Outright Gift"/>
    <x v="0"/>
    <x v="3"/>
    <s v="Credit Card"/>
    <s v="FY25"/>
    <n v="0"/>
    <n v="1"/>
    <n v="1"/>
    <s v="Retained/Active"/>
  </r>
  <r>
    <s v="TXN-10538"/>
    <s v="CON-2707"/>
    <x v="0"/>
    <d v="2026-03-04T00:00:00"/>
    <n v="40.380000000000003"/>
    <s v="Outright Gift"/>
    <x v="0"/>
    <x v="1"/>
    <s v="Credit Card"/>
    <s v="FY26"/>
    <n v="1"/>
    <n v="1"/>
    <n v="1"/>
    <s v="Retained/Active"/>
  </r>
  <r>
    <s v="TXN-10539"/>
    <s v="CON-8455"/>
    <x v="0"/>
    <d v="2024-09-28T00:00:00"/>
    <n v="244.8"/>
    <s v="Outright Gift"/>
    <x v="0"/>
    <x v="3"/>
    <s v="Credit Card"/>
    <s v="FY25"/>
    <n v="0"/>
    <n v="1"/>
    <n v="1"/>
    <s v="Retained/Active"/>
  </r>
  <r>
    <s v="TXN-10540"/>
    <s v="CON-6915"/>
    <x v="1"/>
    <d v="2025-09-07T00:00:00"/>
    <n v="114.07"/>
    <s v="Outright Gift"/>
    <x v="0"/>
    <x v="2"/>
    <s v="EFT/ACH"/>
    <s v="FY26"/>
    <n v="1"/>
    <n v="1"/>
    <n v="1"/>
    <s v="Retained/Active"/>
  </r>
  <r>
    <s v="TXN-10541"/>
    <s v="CON-9173"/>
    <x v="2"/>
    <d v="2026-04-08T00:00:00"/>
    <n v="217.72"/>
    <s v="Outright Gift"/>
    <x v="0"/>
    <x v="2"/>
    <s v="Check"/>
    <s v="FY26"/>
    <n v="1"/>
    <n v="0"/>
    <n v="1"/>
    <s v="Retained/Active"/>
  </r>
  <r>
    <s v="TXN-10542"/>
    <s v="CON-3790"/>
    <x v="0"/>
    <d v="2025-08-22T00:00:00"/>
    <n v="76.61"/>
    <s v="Outright Gift"/>
    <x v="0"/>
    <x v="0"/>
    <s v="Credit Card"/>
    <s v="FY26"/>
    <n v="1"/>
    <n v="1"/>
    <n v="1"/>
    <s v="Retained/Active"/>
  </r>
  <r>
    <s v="TXN-10543"/>
    <s v="CON-3368"/>
    <x v="4"/>
    <d v="2024-10-02T00:00:00"/>
    <n v="74.31"/>
    <s v="Outright Gift"/>
    <x v="0"/>
    <x v="2"/>
    <s v="Credit Card"/>
    <s v="FY25"/>
    <n v="1"/>
    <n v="1"/>
    <n v="1"/>
    <s v="Retained/Active"/>
  </r>
  <r>
    <s v="TXN-10544"/>
    <s v="CON-4444"/>
    <x v="0"/>
    <d v="2025-07-07T00:00:00"/>
    <n v="70.59"/>
    <s v="Pledge Payment"/>
    <x v="0"/>
    <x v="2"/>
    <s v="EFT/ACH"/>
    <s v="FY26"/>
    <n v="1"/>
    <n v="1"/>
    <n v="1"/>
    <s v="Retained/Active"/>
  </r>
  <r>
    <s v="TXN-10545"/>
    <s v="CON-7616"/>
    <x v="0"/>
    <d v="2024-11-20T00:00:00"/>
    <n v="413.6"/>
    <s v="Outright Gift"/>
    <x v="0"/>
    <x v="2"/>
    <s v="EFT/ACH"/>
    <s v="FY25"/>
    <n v="0"/>
    <n v="1"/>
    <n v="1"/>
    <s v="Retained/Active"/>
  </r>
  <r>
    <s v="TXN-10546"/>
    <s v="CON-3255"/>
    <x v="2"/>
    <d v="2024-10-23T00:00:00"/>
    <n v="75.290000000000006"/>
    <s v="Recurring Gift"/>
    <x v="0"/>
    <x v="0"/>
    <s v="Credit Card"/>
    <s v="FY25"/>
    <n v="0"/>
    <n v="1"/>
    <n v="1"/>
    <s v="Retained/Active"/>
  </r>
  <r>
    <s v="TXN-10547"/>
    <s v="CON-4385"/>
    <x v="3"/>
    <d v="2023-10-22T00:00:00"/>
    <n v="66.84"/>
    <s v="Pledge Payment"/>
    <x v="0"/>
    <x v="0"/>
    <s v="EFT/ACH"/>
    <s v="FY24"/>
    <n v="1"/>
    <n v="1"/>
    <n v="0"/>
    <s v="LYBUNT (Lapsed 1 Yr)"/>
  </r>
  <r>
    <s v="TXN-10548"/>
    <s v="CON-8721"/>
    <x v="0"/>
    <d v="2025-07-18T00:00:00"/>
    <n v="35.71"/>
    <s v="Outright Gift"/>
    <x v="0"/>
    <x v="2"/>
    <s v="EFT/ACH"/>
    <s v="FY26"/>
    <n v="1"/>
    <n v="0"/>
    <n v="1"/>
    <s v="Retained/Active"/>
  </r>
  <r>
    <s v="TXN-10549"/>
    <s v="CON-2306"/>
    <x v="0"/>
    <d v="2024-06-25T00:00:00"/>
    <n v="219.25"/>
    <s v="Outright Gift"/>
    <x v="0"/>
    <x v="1"/>
    <s v="Credit Card"/>
    <s v="FY24"/>
    <n v="1"/>
    <n v="1"/>
    <n v="0"/>
    <s v="LYBUNT (Lapsed 1 Yr)"/>
  </r>
  <r>
    <s v="TXN-10550"/>
    <s v="CON-1775"/>
    <x v="4"/>
    <d v="2024-06-05T00:00:00"/>
    <n v="182.22"/>
    <s v="Outright Gift"/>
    <x v="1"/>
    <x v="0"/>
    <s v="Credit Card"/>
    <s v="FY24"/>
    <n v="1"/>
    <n v="1"/>
    <n v="1"/>
    <s v="Retained/Active"/>
  </r>
  <r>
    <s v="TXN-10551"/>
    <s v="CON-8270"/>
    <x v="1"/>
    <d v="2025-08-08T00:00:00"/>
    <n v="67.8"/>
    <s v="Pledge Payment"/>
    <x v="1"/>
    <x v="4"/>
    <s v="Credit Card"/>
    <s v="FY26"/>
    <n v="1"/>
    <n v="1"/>
    <n v="1"/>
    <s v="Retained/Active"/>
  </r>
  <r>
    <s v="TXN-10552"/>
    <s v="CON-4561"/>
    <x v="3"/>
    <d v="2025-07-30T00:00:00"/>
    <n v="48.32"/>
    <s v="Outright Gift"/>
    <x v="0"/>
    <x v="1"/>
    <s v="Check"/>
    <s v="FY26"/>
    <n v="1"/>
    <n v="1"/>
    <n v="1"/>
    <s v="Retained/Active"/>
  </r>
  <r>
    <s v="TXN-10553"/>
    <s v="CON-6864"/>
    <x v="1"/>
    <d v="2026-02-23T00:00:00"/>
    <n v="1392.74"/>
    <s v="Recurring Gift"/>
    <x v="0"/>
    <x v="1"/>
    <s v="Stock Transfer"/>
    <s v="FY26"/>
    <n v="0"/>
    <n v="1"/>
    <n v="1"/>
    <s v="Retained/Active"/>
  </r>
  <r>
    <s v="TXN-10554"/>
    <s v="CON-6625"/>
    <x v="3"/>
    <d v="2024-09-21T00:00:00"/>
    <n v="15"/>
    <s v="Outright Gift"/>
    <x v="0"/>
    <x v="1"/>
    <s v="Check"/>
    <s v="FY25"/>
    <n v="1"/>
    <n v="1"/>
    <n v="1"/>
    <s v="Retained/Active"/>
  </r>
  <r>
    <s v="TXN-10555"/>
    <s v="CON-6393"/>
    <x v="2"/>
    <d v="2025-10-12T00:00:00"/>
    <n v="230.7"/>
    <s v="Recurring Gift"/>
    <x v="0"/>
    <x v="2"/>
    <s v="EFT/ACH"/>
    <s v="FY26"/>
    <n v="1"/>
    <n v="0"/>
    <n v="1"/>
    <s v="Retained/Active"/>
  </r>
  <r>
    <s v="TXN-10556"/>
    <s v="CON-6854"/>
    <x v="0"/>
    <d v="2024-05-06T00:00:00"/>
    <n v="651.21"/>
    <s v="Outright Gift"/>
    <x v="0"/>
    <x v="1"/>
    <s v="EFT/ACH"/>
    <s v="FY24"/>
    <n v="1"/>
    <n v="1"/>
    <n v="0"/>
    <s v="LYBUNT (Lapsed 1 Yr)"/>
  </r>
  <r>
    <s v="TXN-10557"/>
    <s v="CON-9130"/>
    <x v="3"/>
    <d v="2024-03-18T00:00:00"/>
    <n v="15"/>
    <s v="Recurring Gift"/>
    <x v="0"/>
    <x v="2"/>
    <s v="EFT/ACH"/>
    <s v="FY24"/>
    <n v="1"/>
    <n v="0"/>
    <n v="1"/>
    <s v="Retained/Active"/>
  </r>
  <r>
    <s v="TXN-10558"/>
    <s v="CON-8392"/>
    <x v="1"/>
    <d v="2024-08-09T00:00:00"/>
    <n v="341.17"/>
    <s v="Outright Gift"/>
    <x v="1"/>
    <x v="1"/>
    <s v="Check"/>
    <s v="FY25"/>
    <n v="0"/>
    <n v="1"/>
    <n v="0"/>
    <s v="LYBUNT (Lapsed 1 Yr)"/>
  </r>
  <r>
    <s v="TXN-10559"/>
    <s v="CON-5465"/>
    <x v="1"/>
    <d v="2023-11-20T00:00:00"/>
    <n v="91.26"/>
    <s v="Outright Gift"/>
    <x v="0"/>
    <x v="1"/>
    <s v="Credit Card"/>
    <s v="FY24"/>
    <n v="1"/>
    <n v="0"/>
    <n v="1"/>
    <s v="Retained/Active"/>
  </r>
  <r>
    <s v="TXN-10560"/>
    <s v="CON-4769"/>
    <x v="2"/>
    <d v="2024-06-06T00:00:00"/>
    <n v="169.5"/>
    <s v="Outright Gift"/>
    <x v="0"/>
    <x v="2"/>
    <s v="Credit Card"/>
    <s v="FY24"/>
    <n v="1"/>
    <n v="0"/>
    <n v="1"/>
    <s v="Retained/Active"/>
  </r>
  <r>
    <s v="TXN-10561"/>
    <s v="CON-4436"/>
    <x v="0"/>
    <d v="2024-02-29T00:00:00"/>
    <n v="79.819999999999993"/>
    <s v="Outright Gift"/>
    <x v="0"/>
    <x v="1"/>
    <s v="EFT/ACH"/>
    <s v="FY24"/>
    <n v="1"/>
    <n v="0"/>
    <n v="1"/>
    <s v="Retained/Active"/>
  </r>
  <r>
    <s v="TXN-10562"/>
    <s v="CON-8280"/>
    <x v="2"/>
    <d v="2024-11-01T00:00:00"/>
    <n v="491.77"/>
    <s v="Estate/Planned Gift"/>
    <x v="0"/>
    <x v="4"/>
    <s v="EFT/ACH"/>
    <s v="FY25"/>
    <n v="1"/>
    <n v="1"/>
    <n v="1"/>
    <s v="Retained/Active"/>
  </r>
  <r>
    <s v="TXN-10563"/>
    <s v="CON-3141"/>
    <x v="1"/>
    <d v="2023-07-12T00:00:00"/>
    <n v="194.82"/>
    <s v="Outright Gift"/>
    <x v="0"/>
    <x v="1"/>
    <s v="Credit Card"/>
    <s v="FY24"/>
    <n v="1"/>
    <n v="0"/>
    <n v="1"/>
    <s v="Retained/Active"/>
  </r>
  <r>
    <s v="TXN-10564"/>
    <s v="CON-1202"/>
    <x v="1"/>
    <d v="2025-01-11T00:00:00"/>
    <n v="144.19999999999999"/>
    <s v="Outright Gift"/>
    <x v="0"/>
    <x v="0"/>
    <s v="EFT/ACH"/>
    <s v="FY25"/>
    <n v="1"/>
    <n v="1"/>
    <n v="0"/>
    <s v="LYBUNT (Lapsed 1 Yr)"/>
  </r>
  <r>
    <s v="TXN-10565"/>
    <s v="CON-9322"/>
    <x v="1"/>
    <d v="2023-08-11T00:00:00"/>
    <n v="37.770000000000003"/>
    <s v="Outright Gift"/>
    <x v="0"/>
    <x v="1"/>
    <s v="EFT/ACH"/>
    <s v="FY24"/>
    <n v="1"/>
    <n v="0"/>
    <n v="0"/>
    <s v="SYBUNT (Lapsed Multi-Yr)"/>
  </r>
  <r>
    <s v="TXN-10566"/>
    <s v="CON-6895"/>
    <x v="1"/>
    <d v="2025-05-08T00:00:00"/>
    <n v="1403.86"/>
    <s v="Outright Gift"/>
    <x v="0"/>
    <x v="0"/>
    <s v="Credit Card"/>
    <s v="FY25"/>
    <n v="1"/>
    <n v="1"/>
    <n v="1"/>
    <s v="Retained/Active"/>
  </r>
  <r>
    <s v="TXN-10567"/>
    <s v="CON-6592"/>
    <x v="0"/>
    <d v="2025-02-13T00:00:00"/>
    <n v="123.09"/>
    <s v="Outright Gift"/>
    <x v="1"/>
    <x v="4"/>
    <s v="EFT/ACH"/>
    <s v="FY25"/>
    <n v="1"/>
    <n v="1"/>
    <n v="1"/>
    <s v="Retained/Active"/>
  </r>
  <r>
    <s v="TXN-10568"/>
    <s v="CON-6172"/>
    <x v="3"/>
    <d v="2023-11-11T00:00:00"/>
    <n v="2384.5100000000002"/>
    <s v="Pledge Payment"/>
    <x v="0"/>
    <x v="3"/>
    <s v="Credit Card"/>
    <s v="FY24"/>
    <n v="1"/>
    <n v="1"/>
    <n v="0"/>
    <s v="LYBUNT (Lapsed 1 Yr)"/>
  </r>
  <r>
    <s v="TXN-10569"/>
    <s v="CON-4506"/>
    <x v="4"/>
    <d v="2026-04-26T00:00:00"/>
    <n v="1488.97"/>
    <s v="Outright Gift"/>
    <x v="0"/>
    <x v="1"/>
    <s v="Check"/>
    <s v="FY26"/>
    <n v="1"/>
    <n v="0"/>
    <n v="1"/>
    <s v="Retained/Active"/>
  </r>
  <r>
    <s v="TXN-10570"/>
    <s v="CON-7949"/>
    <x v="3"/>
    <d v="2026-02-02T00:00:00"/>
    <n v="15"/>
    <s v="Recurring Gift"/>
    <x v="0"/>
    <x v="0"/>
    <s v="Credit Card"/>
    <s v="FY26"/>
    <n v="0"/>
    <n v="1"/>
    <n v="1"/>
    <s v="Retained/Active"/>
  </r>
  <r>
    <s v="TXN-10571"/>
    <s v="CON-6855"/>
    <x v="1"/>
    <d v="2023-09-11T00:00:00"/>
    <n v="51.86"/>
    <s v="Outright Gift"/>
    <x v="0"/>
    <x v="2"/>
    <s v="EFT/ACH"/>
    <s v="FY24"/>
    <n v="1"/>
    <n v="1"/>
    <n v="1"/>
    <s v="Retained/Active"/>
  </r>
  <r>
    <s v="TXN-10572"/>
    <s v="CON-2059"/>
    <x v="0"/>
    <d v="2024-08-02T00:00:00"/>
    <n v="31.56"/>
    <s v="Outright Gift"/>
    <x v="0"/>
    <x v="1"/>
    <s v="Credit Card"/>
    <s v="FY25"/>
    <n v="0"/>
    <n v="1"/>
    <n v="1"/>
    <s v="Retained/Active"/>
  </r>
  <r>
    <s v="TXN-10573"/>
    <s v="CON-3695"/>
    <x v="1"/>
    <d v="2025-01-28T00:00:00"/>
    <n v="114.13"/>
    <s v="Pledge Payment"/>
    <x v="1"/>
    <x v="1"/>
    <s v="Credit Card"/>
    <s v="FY25"/>
    <n v="1"/>
    <n v="1"/>
    <n v="0"/>
    <s v="LYBUNT (Lapsed 1 Yr)"/>
  </r>
  <r>
    <s v="TXN-10574"/>
    <s v="CON-3950"/>
    <x v="0"/>
    <d v="2025-11-05T00:00:00"/>
    <n v="154.97999999999999"/>
    <s v="Pledge Payment"/>
    <x v="0"/>
    <x v="4"/>
    <s v="EFT/ACH"/>
    <s v="FY26"/>
    <n v="0"/>
    <n v="1"/>
    <n v="1"/>
    <s v="Retained/Active"/>
  </r>
  <r>
    <s v="TXN-10575"/>
    <s v="CON-7971"/>
    <x v="0"/>
    <d v="2023-11-07T00:00:00"/>
    <n v="163.84"/>
    <s v="Outright Gift"/>
    <x v="1"/>
    <x v="4"/>
    <s v="Credit Card"/>
    <s v="FY24"/>
    <n v="1"/>
    <n v="1"/>
    <n v="1"/>
    <s v="Retained/Active"/>
  </r>
  <r>
    <s v="TXN-10576"/>
    <s v="CON-6056"/>
    <x v="1"/>
    <d v="2026-01-16T00:00:00"/>
    <n v="478.36"/>
    <s v="Pledge Payment"/>
    <x v="0"/>
    <x v="4"/>
    <s v="Credit Card"/>
    <s v="FY26"/>
    <n v="1"/>
    <n v="0"/>
    <n v="1"/>
    <s v="Retained/Active"/>
  </r>
  <r>
    <s v="TXN-10577"/>
    <s v="CON-7614"/>
    <x v="1"/>
    <d v="2024-03-22T00:00:00"/>
    <n v="846.96"/>
    <s v="Outright Gift"/>
    <x v="0"/>
    <x v="2"/>
    <s v="Credit Card"/>
    <s v="FY24"/>
    <n v="1"/>
    <n v="1"/>
    <n v="0"/>
    <s v="LYBUNT (Lapsed 1 Yr)"/>
  </r>
  <r>
    <s v="TXN-10578"/>
    <s v="CON-3205"/>
    <x v="4"/>
    <d v="2025-08-31T00:00:00"/>
    <n v="427.41"/>
    <s v="Outright Gift"/>
    <x v="1"/>
    <x v="2"/>
    <s v="Check"/>
    <s v="FY26"/>
    <n v="0"/>
    <n v="1"/>
    <n v="1"/>
    <s v="Retained/Active"/>
  </r>
  <r>
    <s v="TXN-10579"/>
    <s v="CON-8022"/>
    <x v="0"/>
    <d v="2024-03-09T00:00:00"/>
    <n v="58.6"/>
    <s v="Recurring Gift"/>
    <x v="0"/>
    <x v="1"/>
    <s v="EFT/ACH"/>
    <s v="FY24"/>
    <n v="1"/>
    <n v="0"/>
    <n v="1"/>
    <s v="Retained/Active"/>
  </r>
  <r>
    <s v="TXN-10580"/>
    <s v="CON-8390"/>
    <x v="0"/>
    <d v="2025-09-29T00:00:00"/>
    <n v="43.96"/>
    <s v="Outright Gift"/>
    <x v="0"/>
    <x v="1"/>
    <s v="Credit Card"/>
    <s v="FY26"/>
    <n v="1"/>
    <n v="0"/>
    <n v="1"/>
    <s v="Retained/Active"/>
  </r>
  <r>
    <s v="TXN-10581"/>
    <s v="CON-6393"/>
    <x v="1"/>
    <d v="2023-12-11T00:00:00"/>
    <n v="121.95"/>
    <s v="Outright Gift"/>
    <x v="0"/>
    <x v="1"/>
    <s v="EFT/ACH"/>
    <s v="FY24"/>
    <n v="1"/>
    <n v="0"/>
    <n v="1"/>
    <s v="Retained/Active"/>
  </r>
  <r>
    <s v="TXN-10582"/>
    <s v="CON-9392"/>
    <x v="1"/>
    <d v="2023-10-03T00:00:00"/>
    <n v="211.44"/>
    <s v="Recurring Gift"/>
    <x v="0"/>
    <x v="2"/>
    <s v="Check"/>
    <s v="FY24"/>
    <n v="1"/>
    <n v="1"/>
    <n v="0"/>
    <s v="LYBUNT (Lapsed 1 Yr)"/>
  </r>
  <r>
    <s v="TXN-10583"/>
    <s v="CON-4104"/>
    <x v="3"/>
    <d v="2025-10-10T00:00:00"/>
    <n v="95.76"/>
    <s v="Estate/Planned Gift"/>
    <x v="0"/>
    <x v="2"/>
    <s v="EFT/ACH"/>
    <s v="FY26"/>
    <n v="0"/>
    <n v="1"/>
    <n v="1"/>
    <s v="Retained/Active"/>
  </r>
  <r>
    <s v="TXN-10584"/>
    <s v="CON-1154"/>
    <x v="1"/>
    <d v="2024-05-31T00:00:00"/>
    <n v="21.13"/>
    <s v="Outright Gift"/>
    <x v="1"/>
    <x v="3"/>
    <s v="Credit Card"/>
    <s v="FY24"/>
    <n v="1"/>
    <n v="1"/>
    <n v="0"/>
    <s v="LYBUNT (Lapsed 1 Yr)"/>
  </r>
  <r>
    <s v="TXN-10585"/>
    <s v="CON-9529"/>
    <x v="0"/>
    <d v="2025-09-29T00:00:00"/>
    <n v="294.91000000000003"/>
    <s v="Outright Gift"/>
    <x v="0"/>
    <x v="4"/>
    <s v="EFT/ACH"/>
    <s v="FY26"/>
    <n v="0"/>
    <n v="1"/>
    <n v="1"/>
    <s v="Retained/Active"/>
  </r>
  <r>
    <s v="TXN-10586"/>
    <s v="CON-9716"/>
    <x v="1"/>
    <d v="2024-02-23T00:00:00"/>
    <n v="72.97"/>
    <s v="Outright Gift"/>
    <x v="0"/>
    <x v="3"/>
    <s v="Credit Card"/>
    <s v="FY24"/>
    <n v="1"/>
    <n v="1"/>
    <n v="1"/>
    <s v="Retained/Active"/>
  </r>
  <r>
    <s v="TXN-10587"/>
    <s v="CON-1098"/>
    <x v="0"/>
    <d v="2024-07-15T00:00:00"/>
    <n v="70.16"/>
    <s v="Recurring Gift"/>
    <x v="1"/>
    <x v="4"/>
    <s v="Credit Card"/>
    <s v="FY25"/>
    <n v="0"/>
    <n v="1"/>
    <n v="1"/>
    <s v="Retained/Active"/>
  </r>
  <r>
    <s v="TXN-10588"/>
    <s v="CON-1574"/>
    <x v="1"/>
    <d v="2025-12-15T00:00:00"/>
    <n v="113.18"/>
    <s v="Recurring Gift"/>
    <x v="0"/>
    <x v="1"/>
    <s v="Credit Card"/>
    <s v="FY26"/>
    <n v="0"/>
    <n v="0"/>
    <n v="1"/>
    <s v="Retained/Active"/>
  </r>
  <r>
    <s v="TXN-10589"/>
    <s v="CON-8805"/>
    <x v="3"/>
    <d v="2024-10-25T00:00:00"/>
    <n v="88.96"/>
    <s v="Outright Gift"/>
    <x v="0"/>
    <x v="2"/>
    <s v="EFT/ACH"/>
    <s v="FY25"/>
    <n v="1"/>
    <n v="1"/>
    <n v="1"/>
    <s v="Retained/Active"/>
  </r>
  <r>
    <s v="TXN-10590"/>
    <s v="CON-4672"/>
    <x v="3"/>
    <d v="2025-12-18T00:00:00"/>
    <n v="75.459999999999994"/>
    <s v="Outright Gift"/>
    <x v="0"/>
    <x v="0"/>
    <s v="Credit Card"/>
    <s v="FY26"/>
    <n v="1"/>
    <n v="1"/>
    <n v="1"/>
    <s v="Retained/Active"/>
  </r>
  <r>
    <s v="TXN-10591"/>
    <s v="CON-2663"/>
    <x v="3"/>
    <d v="2026-05-14T00:00:00"/>
    <n v="23.01"/>
    <s v="Outright Gift"/>
    <x v="0"/>
    <x v="1"/>
    <s v="Check"/>
    <s v="FY26"/>
    <n v="1"/>
    <n v="1"/>
    <n v="1"/>
    <s v="Retained/Active"/>
  </r>
  <r>
    <s v="TXN-10592"/>
    <s v="CON-8208"/>
    <x v="0"/>
    <d v="2024-10-24T00:00:00"/>
    <n v="105.01"/>
    <s v="Pledge Payment"/>
    <x v="0"/>
    <x v="4"/>
    <s v="Credit Card"/>
    <s v="FY25"/>
    <n v="1"/>
    <n v="1"/>
    <n v="0"/>
    <s v="LYBUNT (Lapsed 1 Yr)"/>
  </r>
  <r>
    <s v="TXN-10593"/>
    <s v="CON-4556"/>
    <x v="3"/>
    <d v="2026-01-02T00:00:00"/>
    <n v="303.02999999999997"/>
    <s v="Pledge Payment"/>
    <x v="1"/>
    <x v="3"/>
    <s v="Credit Card"/>
    <s v="FY26"/>
    <n v="1"/>
    <n v="1"/>
    <n v="1"/>
    <s v="Retained/Active"/>
  </r>
  <r>
    <s v="TXN-10594"/>
    <s v="CON-8270"/>
    <x v="0"/>
    <d v="2026-03-20T00:00:00"/>
    <n v="171.41"/>
    <s v="Pledge Payment"/>
    <x v="0"/>
    <x v="1"/>
    <s v="Credit Card"/>
    <s v="FY26"/>
    <n v="1"/>
    <n v="1"/>
    <n v="1"/>
    <s v="Retained/Active"/>
  </r>
  <r>
    <s v="TXN-10595"/>
    <s v="CON-6442"/>
    <x v="0"/>
    <d v="2026-02-18T00:00:00"/>
    <n v="416.78"/>
    <s v="Estate/Planned Gift"/>
    <x v="0"/>
    <x v="1"/>
    <s v="Credit Card"/>
    <s v="FY26"/>
    <n v="1"/>
    <n v="1"/>
    <n v="1"/>
    <s v="Retained/Active"/>
  </r>
  <r>
    <s v="TXN-10596"/>
    <s v="CON-6625"/>
    <x v="2"/>
    <d v="2024-12-18T00:00:00"/>
    <n v="47.13"/>
    <s v="Outright Gift"/>
    <x v="0"/>
    <x v="2"/>
    <s v="Credit Card"/>
    <s v="FY25"/>
    <n v="1"/>
    <n v="1"/>
    <n v="1"/>
    <s v="Retained/Active"/>
  </r>
  <r>
    <s v="TXN-10597"/>
    <s v="CON-5297"/>
    <x v="1"/>
    <d v="2026-05-01T00:00:00"/>
    <n v="23.07"/>
    <s v="Outright Gift"/>
    <x v="0"/>
    <x v="2"/>
    <s v="Credit Card"/>
    <s v="FY26"/>
    <n v="0"/>
    <n v="0"/>
    <n v="1"/>
    <s v="Retained/Active"/>
  </r>
  <r>
    <s v="TXN-10598"/>
    <s v="CON-6625"/>
    <x v="1"/>
    <d v="2023-11-05T00:00:00"/>
    <n v="88.27"/>
    <s v="Outright Gift"/>
    <x v="0"/>
    <x v="4"/>
    <s v="Credit Card"/>
    <s v="FY24"/>
    <n v="1"/>
    <n v="1"/>
    <n v="1"/>
    <s v="Retained/Active"/>
  </r>
  <r>
    <s v="TXN-10599"/>
    <s v="CON-1876"/>
    <x v="2"/>
    <d v="2023-09-30T00:00:00"/>
    <n v="54.68"/>
    <s v="Outright Gift"/>
    <x v="0"/>
    <x v="1"/>
    <s v="Credit Card"/>
    <s v="FY24"/>
    <n v="1"/>
    <n v="1"/>
    <n v="1"/>
    <s v="Retained/Active"/>
  </r>
  <r>
    <s v="TXN-10600"/>
    <s v="CON-7002"/>
    <x v="1"/>
    <d v="2024-12-24T00:00:00"/>
    <n v="62.59"/>
    <s v="Outright Gift"/>
    <x v="0"/>
    <x v="1"/>
    <s v="Credit Card"/>
    <s v="FY25"/>
    <n v="1"/>
    <n v="1"/>
    <n v="0"/>
    <s v="LYBUNT (Lapsed 1 Yr)"/>
  </r>
  <r>
    <s v="TXN-10601"/>
    <s v="CON-8996"/>
    <x v="2"/>
    <d v="2025-10-23T00:00:00"/>
    <n v="160.02000000000001"/>
    <s v="Outright Gift"/>
    <x v="0"/>
    <x v="1"/>
    <s v="Credit Card"/>
    <s v="FY26"/>
    <n v="1"/>
    <n v="0"/>
    <n v="1"/>
    <s v="Retained/Active"/>
  </r>
  <r>
    <s v="TXN-10602"/>
    <s v="CON-1830"/>
    <x v="0"/>
    <d v="2026-03-15T00:00:00"/>
    <n v="63.18"/>
    <s v="Pledge Payment"/>
    <x v="0"/>
    <x v="1"/>
    <s v="EFT/ACH"/>
    <s v="FY26"/>
    <n v="0"/>
    <n v="1"/>
    <n v="1"/>
    <s v="Retained/Active"/>
  </r>
  <r>
    <s v="TXN-10603"/>
    <s v="CON-7197"/>
    <x v="3"/>
    <d v="2024-09-19T00:00:00"/>
    <n v="23.92"/>
    <s v="Recurring Gift"/>
    <x v="0"/>
    <x v="1"/>
    <s v="EFT/ACH"/>
    <s v="FY25"/>
    <n v="0"/>
    <n v="1"/>
    <n v="1"/>
    <s v="Retained/Active"/>
  </r>
  <r>
    <s v="TXN-10604"/>
    <s v="CON-8679"/>
    <x v="4"/>
    <d v="2024-07-24T00:00:00"/>
    <n v="58.75"/>
    <s v="Outright Gift"/>
    <x v="0"/>
    <x v="4"/>
    <s v="EFT/ACH"/>
    <s v="FY25"/>
    <n v="0"/>
    <n v="1"/>
    <n v="1"/>
    <s v="Retained/Active"/>
  </r>
  <r>
    <s v="TXN-10605"/>
    <s v="CON-6986"/>
    <x v="3"/>
    <d v="2025-05-02T00:00:00"/>
    <n v="189.06"/>
    <s v="Outright Gift"/>
    <x v="0"/>
    <x v="0"/>
    <s v="Credit Card"/>
    <s v="FY25"/>
    <n v="1"/>
    <n v="1"/>
    <n v="0"/>
    <s v="LYBUNT (Lapsed 1 Yr)"/>
  </r>
  <r>
    <s v="TXN-10606"/>
    <s v="CON-3975"/>
    <x v="0"/>
    <d v="2023-08-12T00:00:00"/>
    <n v="290.88"/>
    <s v="Outright Gift"/>
    <x v="0"/>
    <x v="0"/>
    <s v="EFT/ACH"/>
    <s v="FY24"/>
    <n v="1"/>
    <n v="1"/>
    <n v="1"/>
    <s v="Retained/Active"/>
  </r>
  <r>
    <s v="TXN-10607"/>
    <s v="CON-9319"/>
    <x v="1"/>
    <d v="2024-03-10T00:00:00"/>
    <n v="287.11"/>
    <s v="Pledge Payment"/>
    <x v="0"/>
    <x v="1"/>
    <s v="Check"/>
    <s v="FY24"/>
    <n v="1"/>
    <n v="0"/>
    <n v="1"/>
    <s v="Retained/Active"/>
  </r>
  <r>
    <s v="TXN-10608"/>
    <s v="CON-6534"/>
    <x v="0"/>
    <d v="2025-04-23T00:00:00"/>
    <n v="210.99"/>
    <s v="Pledge Payment"/>
    <x v="0"/>
    <x v="1"/>
    <s v="Credit Card"/>
    <s v="FY25"/>
    <n v="1"/>
    <n v="1"/>
    <n v="0"/>
    <s v="LYBUNT (Lapsed 1 Yr)"/>
  </r>
  <r>
    <s v="TXN-10609"/>
    <s v="CON-5737"/>
    <x v="1"/>
    <d v="2024-10-09T00:00:00"/>
    <n v="97.66"/>
    <s v="Outright Gift"/>
    <x v="0"/>
    <x v="3"/>
    <s v="Credit Card"/>
    <s v="FY25"/>
    <n v="1"/>
    <n v="1"/>
    <n v="0"/>
    <s v="LYBUNT (Lapsed 1 Yr)"/>
  </r>
  <r>
    <s v="TXN-10610"/>
    <s v="CON-6734"/>
    <x v="1"/>
    <d v="2024-04-12T00:00:00"/>
    <n v="205.69"/>
    <s v="Outright Gift"/>
    <x v="0"/>
    <x v="2"/>
    <s v="Credit Card"/>
    <s v="FY24"/>
    <n v="1"/>
    <n v="1"/>
    <n v="1"/>
    <s v="Retained/Active"/>
  </r>
  <r>
    <s v="TXN-10611"/>
    <s v="CON-5777"/>
    <x v="2"/>
    <d v="2026-04-06T00:00:00"/>
    <n v="115"/>
    <s v="Outright Gift"/>
    <x v="0"/>
    <x v="2"/>
    <s v="Credit Card"/>
    <s v="FY26"/>
    <n v="0"/>
    <n v="1"/>
    <n v="1"/>
    <s v="Retained/Active"/>
  </r>
  <r>
    <s v="TXN-10612"/>
    <s v="CON-5070"/>
    <x v="0"/>
    <d v="2025-08-16T00:00:00"/>
    <n v="140.76"/>
    <s v="Outright Gift"/>
    <x v="0"/>
    <x v="0"/>
    <s v="Credit Card"/>
    <s v="FY26"/>
    <n v="1"/>
    <n v="1"/>
    <n v="1"/>
    <s v="Retained/Active"/>
  </r>
  <r>
    <s v="TXN-10613"/>
    <s v="CON-3062"/>
    <x v="4"/>
    <d v="2024-06-09T00:00:00"/>
    <n v="35.83"/>
    <s v="Outright Gift"/>
    <x v="0"/>
    <x v="1"/>
    <s v="EFT/ACH"/>
    <s v="FY24"/>
    <n v="1"/>
    <n v="1"/>
    <n v="1"/>
    <s v="Retained/Active"/>
  </r>
  <r>
    <s v="TXN-10614"/>
    <s v="CON-8629"/>
    <x v="1"/>
    <d v="2025-04-02T00:00:00"/>
    <n v="128.63999999999999"/>
    <s v="Recurring Gift"/>
    <x v="0"/>
    <x v="0"/>
    <s v="Credit Card"/>
    <s v="FY25"/>
    <n v="1"/>
    <n v="1"/>
    <n v="0"/>
    <s v="LYBUNT (Lapsed 1 Yr)"/>
  </r>
  <r>
    <s v="TXN-10615"/>
    <s v="CON-4157"/>
    <x v="0"/>
    <d v="2024-07-16T00:00:00"/>
    <n v="198.79"/>
    <s v="Recurring Gift"/>
    <x v="0"/>
    <x v="1"/>
    <s v="Stock Transfer"/>
    <s v="FY25"/>
    <n v="1"/>
    <n v="1"/>
    <n v="1"/>
    <s v="Retained/Active"/>
  </r>
  <r>
    <s v="TXN-10616"/>
    <s v="CON-6892"/>
    <x v="1"/>
    <d v="2025-05-20T00:00:00"/>
    <n v="189.33"/>
    <s v="Outright Gift"/>
    <x v="1"/>
    <x v="3"/>
    <s v="Credit Card"/>
    <s v="FY25"/>
    <n v="1"/>
    <n v="1"/>
    <n v="1"/>
    <s v="Retained/Active"/>
  </r>
  <r>
    <s v="TXN-10617"/>
    <s v="CON-3200"/>
    <x v="4"/>
    <d v="2024-09-29T00:00:00"/>
    <n v="22.79"/>
    <s v="Pledge Payment"/>
    <x v="1"/>
    <x v="1"/>
    <s v="Credit Card"/>
    <s v="FY25"/>
    <n v="0"/>
    <n v="1"/>
    <n v="0"/>
    <s v="LYBUNT (Lapsed 1 Yr)"/>
  </r>
  <r>
    <s v="TXN-10618"/>
    <s v="CON-3612"/>
    <x v="3"/>
    <d v="2026-03-09T00:00:00"/>
    <n v="137.71"/>
    <s v="Recurring Gift"/>
    <x v="0"/>
    <x v="2"/>
    <s v="Stock Transfer"/>
    <s v="FY26"/>
    <n v="1"/>
    <n v="1"/>
    <n v="1"/>
    <s v="Retained/Active"/>
  </r>
  <r>
    <s v="TXN-10619"/>
    <s v="CON-6892"/>
    <x v="3"/>
    <d v="2023-09-21T00:00:00"/>
    <n v="18.600000000000001"/>
    <s v="Outright Gift"/>
    <x v="0"/>
    <x v="1"/>
    <s v="Check"/>
    <s v="FY24"/>
    <n v="1"/>
    <n v="1"/>
    <n v="1"/>
    <s v="Retained/Active"/>
  </r>
  <r>
    <s v="TXN-10620"/>
    <s v="CON-6442"/>
    <x v="4"/>
    <d v="2023-11-26T00:00:00"/>
    <n v="152.29"/>
    <s v="Outright Gift"/>
    <x v="0"/>
    <x v="2"/>
    <s v="Credit Card"/>
    <s v="FY24"/>
    <n v="1"/>
    <n v="1"/>
    <n v="1"/>
    <s v="Retained/Active"/>
  </r>
  <r>
    <s v="TXN-10621"/>
    <s v="CON-7002"/>
    <x v="0"/>
    <d v="2024-01-06T00:00:00"/>
    <n v="48.83"/>
    <s v="Recurring Gift"/>
    <x v="0"/>
    <x v="4"/>
    <s v="EFT/ACH"/>
    <s v="FY24"/>
    <n v="1"/>
    <n v="1"/>
    <n v="0"/>
    <s v="LYBUNT (Lapsed 1 Yr)"/>
  </r>
  <r>
    <s v="TXN-10622"/>
    <s v="CON-1569"/>
    <x v="0"/>
    <d v="2025-11-29T00:00:00"/>
    <n v="1115.81"/>
    <s v="Outright Gift"/>
    <x v="0"/>
    <x v="2"/>
    <s v="Check"/>
    <s v="FY26"/>
    <n v="1"/>
    <n v="0"/>
    <n v="1"/>
    <s v="Retained/Active"/>
  </r>
  <r>
    <s v="TXN-10623"/>
    <s v="CON-2028"/>
    <x v="0"/>
    <d v="2024-03-19T00:00:00"/>
    <n v="141.88"/>
    <s v="Recurring Gift"/>
    <x v="0"/>
    <x v="0"/>
    <s v="Credit Card"/>
    <s v="FY24"/>
    <n v="1"/>
    <n v="1"/>
    <n v="1"/>
    <s v="Retained/Active"/>
  </r>
  <r>
    <s v="TXN-10624"/>
    <s v="CON-3433"/>
    <x v="2"/>
    <d v="2024-08-03T00:00:00"/>
    <n v="344.3"/>
    <s v="Estate/Planned Gift"/>
    <x v="0"/>
    <x v="4"/>
    <s v="Credit Card"/>
    <s v="FY25"/>
    <n v="1"/>
    <n v="1"/>
    <n v="1"/>
    <s v="Retained/Active"/>
  </r>
  <r>
    <s v="TXN-10625"/>
    <s v="CON-2184"/>
    <x v="0"/>
    <d v="2025-08-02T00:00:00"/>
    <n v="1889.63"/>
    <s v="Pledge Payment"/>
    <x v="0"/>
    <x v="2"/>
    <s v="Check"/>
    <s v="FY26"/>
    <n v="1"/>
    <n v="1"/>
    <n v="1"/>
    <s v="Retained/Active"/>
  </r>
  <r>
    <s v="TXN-10626"/>
    <s v="CON-5218"/>
    <x v="0"/>
    <d v="2025-02-28T00:00:00"/>
    <n v="41.99"/>
    <s v="Recurring Gift"/>
    <x v="1"/>
    <x v="1"/>
    <s v="Credit Card"/>
    <s v="FY25"/>
    <n v="0"/>
    <n v="1"/>
    <n v="0"/>
    <s v="LYBUNT (Lapsed 1 Yr)"/>
  </r>
  <r>
    <s v="TXN-10627"/>
    <s v="CON-7374"/>
    <x v="4"/>
    <d v="2025-08-23T00:00:00"/>
    <n v="214.09"/>
    <s v="Pledge Payment"/>
    <x v="0"/>
    <x v="1"/>
    <s v="Credit Card"/>
    <s v="FY26"/>
    <n v="0"/>
    <n v="0"/>
    <n v="1"/>
    <s v="Retained/Active"/>
  </r>
  <r>
    <s v="TXN-10628"/>
    <s v="CON-8079"/>
    <x v="4"/>
    <d v="2023-10-09T00:00:00"/>
    <n v="26.01"/>
    <s v="Pledge Payment"/>
    <x v="0"/>
    <x v="2"/>
    <s v="Credit Card"/>
    <s v="FY24"/>
    <n v="1"/>
    <n v="1"/>
    <n v="0"/>
    <s v="LYBUNT (Lapsed 1 Yr)"/>
  </r>
  <r>
    <s v="TXN-10629"/>
    <s v="CON-3558"/>
    <x v="3"/>
    <d v="2025-09-27T00:00:00"/>
    <n v="190.26"/>
    <s v="Outright Gift"/>
    <x v="0"/>
    <x v="2"/>
    <s v="Credit Card"/>
    <s v="FY26"/>
    <n v="0"/>
    <n v="1"/>
    <n v="1"/>
    <s v="Retained/Active"/>
  </r>
  <r>
    <s v="TXN-10630"/>
    <s v="CON-2016"/>
    <x v="3"/>
    <d v="2025-09-27T00:00:00"/>
    <n v="1206.43"/>
    <s v="Outright Gift"/>
    <x v="0"/>
    <x v="1"/>
    <s v="Check"/>
    <s v="FY26"/>
    <n v="1"/>
    <n v="1"/>
    <n v="1"/>
    <s v="Retained/Active"/>
  </r>
  <r>
    <s v="TXN-10631"/>
    <s v="CON-8526"/>
    <x v="2"/>
    <d v="2024-08-23T00:00:00"/>
    <n v="53.72"/>
    <s v="Outright Gift"/>
    <x v="0"/>
    <x v="1"/>
    <s v="Credit Card"/>
    <s v="FY25"/>
    <n v="0"/>
    <n v="1"/>
    <n v="1"/>
    <s v="Retained/Active"/>
  </r>
  <r>
    <s v="TXN-10632"/>
    <s v="CON-4304"/>
    <x v="1"/>
    <d v="2023-11-01T00:00:00"/>
    <n v="38.409999999999997"/>
    <s v="Pledge Payment"/>
    <x v="0"/>
    <x v="4"/>
    <s v="Check"/>
    <s v="FY24"/>
    <n v="1"/>
    <n v="1"/>
    <n v="1"/>
    <s v="Retained/Active"/>
  </r>
  <r>
    <s v="TXN-10633"/>
    <s v="CON-6575"/>
    <x v="1"/>
    <d v="2024-08-25T00:00:00"/>
    <n v="107.93"/>
    <s v="Outright Gift"/>
    <x v="0"/>
    <x v="1"/>
    <s v="Credit Card"/>
    <s v="FY25"/>
    <n v="1"/>
    <n v="1"/>
    <n v="1"/>
    <s v="Retained/Active"/>
  </r>
  <r>
    <s v="TXN-10634"/>
    <s v="CON-3255"/>
    <x v="2"/>
    <d v="2025-08-06T00:00:00"/>
    <n v="1736.39"/>
    <s v="Outright Gift"/>
    <x v="0"/>
    <x v="0"/>
    <s v="Credit Card"/>
    <s v="FY26"/>
    <n v="0"/>
    <n v="1"/>
    <n v="1"/>
    <s v="Retained/Active"/>
  </r>
  <r>
    <s v="TXN-10635"/>
    <s v="CON-8560"/>
    <x v="2"/>
    <d v="2024-10-25T00:00:00"/>
    <n v="331.08"/>
    <s v="Outright Gift"/>
    <x v="0"/>
    <x v="1"/>
    <s v="Credit Card"/>
    <s v="FY25"/>
    <n v="1"/>
    <n v="1"/>
    <n v="0"/>
    <s v="LYBUNT (Lapsed 1 Yr)"/>
  </r>
  <r>
    <s v="TXN-10636"/>
    <s v="CON-2028"/>
    <x v="1"/>
    <d v="2024-11-30T00:00:00"/>
    <n v="37.47"/>
    <s v="Pledge Payment"/>
    <x v="1"/>
    <x v="3"/>
    <s v="EFT/ACH"/>
    <s v="FY25"/>
    <n v="1"/>
    <n v="1"/>
    <n v="1"/>
    <s v="Retained/Active"/>
  </r>
  <r>
    <s v="TXN-10637"/>
    <s v="CON-2028"/>
    <x v="4"/>
    <d v="2023-12-02T00:00:00"/>
    <n v="805.59"/>
    <s v="Estate/Planned Gift"/>
    <x v="1"/>
    <x v="1"/>
    <s v="Check"/>
    <s v="FY24"/>
    <n v="1"/>
    <n v="1"/>
    <n v="1"/>
    <s v="Retained/Active"/>
  </r>
  <r>
    <s v="TXN-10638"/>
    <s v="CON-9792"/>
    <x v="1"/>
    <d v="2023-09-30T00:00:00"/>
    <n v="15"/>
    <s v="Estate/Planned Gift"/>
    <x v="0"/>
    <x v="2"/>
    <s v="Credit Card"/>
    <s v="FY24"/>
    <n v="1"/>
    <n v="1"/>
    <n v="1"/>
    <s v="Retained/Active"/>
  </r>
  <r>
    <s v="TXN-10639"/>
    <s v="CON-9338"/>
    <x v="0"/>
    <d v="2026-03-08T00:00:00"/>
    <n v="1953.79"/>
    <s v="Outright Gift"/>
    <x v="0"/>
    <x v="1"/>
    <s v="Credit Card"/>
    <s v="FY26"/>
    <n v="1"/>
    <n v="1"/>
    <n v="1"/>
    <s v="Retained/Active"/>
  </r>
  <r>
    <s v="TXN-10640"/>
    <s v="CON-3693"/>
    <x v="2"/>
    <d v="2024-09-27T00:00:00"/>
    <n v="369.96"/>
    <s v="Recurring Gift"/>
    <x v="0"/>
    <x v="2"/>
    <s v="EFT/ACH"/>
    <s v="FY25"/>
    <n v="1"/>
    <n v="1"/>
    <n v="1"/>
    <s v="Retained/Active"/>
  </r>
  <r>
    <s v="TXN-10641"/>
    <s v="CON-7863"/>
    <x v="1"/>
    <d v="2025-02-17T00:00:00"/>
    <n v="1203.06"/>
    <s v="Pledge Payment"/>
    <x v="0"/>
    <x v="3"/>
    <s v="EFT/ACH"/>
    <s v="FY25"/>
    <n v="0"/>
    <n v="1"/>
    <n v="1"/>
    <s v="Retained/Active"/>
  </r>
  <r>
    <s v="TXN-10642"/>
    <s v="CON-7617"/>
    <x v="1"/>
    <d v="2024-11-21T00:00:00"/>
    <n v="15"/>
    <s v="Outright Gift"/>
    <x v="0"/>
    <x v="0"/>
    <s v="Credit Card"/>
    <s v="FY25"/>
    <n v="1"/>
    <n v="1"/>
    <n v="1"/>
    <s v="Retained/Active"/>
  </r>
  <r>
    <s v="TXN-10643"/>
    <s v="CON-5218"/>
    <x v="0"/>
    <d v="2024-07-20T00:00:00"/>
    <n v="151.44999999999999"/>
    <s v="Outright Gift"/>
    <x v="0"/>
    <x v="0"/>
    <s v="EFT/ACH"/>
    <s v="FY25"/>
    <n v="0"/>
    <n v="1"/>
    <n v="0"/>
    <s v="LYBUNT (Lapsed 1 Yr)"/>
  </r>
  <r>
    <s v="TXN-10644"/>
    <s v="CON-3612"/>
    <x v="3"/>
    <d v="2024-08-08T00:00:00"/>
    <n v="102.1"/>
    <s v="Outright Gift"/>
    <x v="0"/>
    <x v="0"/>
    <s v="EFT/ACH"/>
    <s v="FY25"/>
    <n v="1"/>
    <n v="1"/>
    <n v="1"/>
    <s v="Retained/Active"/>
  </r>
  <r>
    <s v="TXN-10645"/>
    <s v="CON-6311"/>
    <x v="0"/>
    <d v="2024-03-02T00:00:00"/>
    <n v="32.82"/>
    <s v="Recurring Gift"/>
    <x v="0"/>
    <x v="1"/>
    <s v="Credit Card"/>
    <s v="FY24"/>
    <n v="1"/>
    <n v="1"/>
    <n v="1"/>
    <s v="Retained/Active"/>
  </r>
  <r>
    <s v="TXN-10646"/>
    <s v="CON-6134"/>
    <x v="2"/>
    <d v="2025-07-11T00:00:00"/>
    <n v="22.54"/>
    <s v="Outright Gift"/>
    <x v="0"/>
    <x v="3"/>
    <s v="Credit Card"/>
    <s v="FY26"/>
    <n v="1"/>
    <n v="1"/>
    <n v="1"/>
    <s v="Retained/Active"/>
  </r>
  <r>
    <s v="TXN-10647"/>
    <s v="CON-7585"/>
    <x v="2"/>
    <d v="2025-04-21T00:00:00"/>
    <n v="234.91"/>
    <s v="Outright Gift"/>
    <x v="1"/>
    <x v="1"/>
    <s v="Credit Card"/>
    <s v="FY25"/>
    <n v="1"/>
    <n v="1"/>
    <n v="0"/>
    <s v="LYBUNT (Lapsed 1 Yr)"/>
  </r>
  <r>
    <s v="TXN-10648"/>
    <s v="CON-4327"/>
    <x v="1"/>
    <d v="2025-04-10T00:00:00"/>
    <n v="264.29000000000002"/>
    <s v="Pledge Payment"/>
    <x v="0"/>
    <x v="2"/>
    <s v="EFT/ACH"/>
    <s v="FY25"/>
    <n v="1"/>
    <n v="1"/>
    <n v="1"/>
    <s v="Retained/Active"/>
  </r>
  <r>
    <s v="TXN-10649"/>
    <s v="CON-6539"/>
    <x v="4"/>
    <d v="2025-12-17T00:00:00"/>
    <n v="658.5"/>
    <s v="Outright Gift"/>
    <x v="0"/>
    <x v="1"/>
    <s v="EFT/ACH"/>
    <s v="FY26"/>
    <n v="0"/>
    <n v="1"/>
    <n v="1"/>
    <s v="Retained/Active"/>
  </r>
  <r>
    <s v="TXN-10650"/>
    <s v="CON-7585"/>
    <x v="1"/>
    <d v="2023-09-03T00:00:00"/>
    <n v="63.15"/>
    <s v="Outright Gift"/>
    <x v="0"/>
    <x v="1"/>
    <s v="Credit Card"/>
    <s v="FY24"/>
    <n v="1"/>
    <n v="1"/>
    <n v="0"/>
    <s v="LYBUNT (Lapsed 1 Yr)"/>
  </r>
  <r>
    <s v="TXN-10651"/>
    <s v="CON-6393"/>
    <x v="4"/>
    <d v="2026-05-02T00:00:00"/>
    <n v="101.08"/>
    <s v="Pledge Payment"/>
    <x v="1"/>
    <x v="1"/>
    <s v="Credit Card"/>
    <s v="FY26"/>
    <n v="1"/>
    <n v="0"/>
    <n v="1"/>
    <s v="Retained/Active"/>
  </r>
  <r>
    <s v="TXN-10652"/>
    <s v="CON-3454"/>
    <x v="0"/>
    <d v="2024-01-29T00:00:00"/>
    <n v="20.14"/>
    <s v="Outright Gift"/>
    <x v="0"/>
    <x v="0"/>
    <s v="Credit Card"/>
    <s v="FY24"/>
    <n v="1"/>
    <n v="1"/>
    <n v="0"/>
    <s v="LYBUNT (Lapsed 1 Yr)"/>
  </r>
  <r>
    <s v="TXN-10653"/>
    <s v="CON-4327"/>
    <x v="4"/>
    <d v="2024-02-27T00:00:00"/>
    <n v="900.56"/>
    <s v="Pledge Payment"/>
    <x v="0"/>
    <x v="0"/>
    <s v="Check"/>
    <s v="FY24"/>
    <n v="1"/>
    <n v="1"/>
    <n v="1"/>
    <s v="Retained/Active"/>
  </r>
  <r>
    <s v="TXN-10654"/>
    <s v="CON-9050"/>
    <x v="1"/>
    <d v="2024-11-04T00:00:00"/>
    <n v="133.01"/>
    <s v="Outright Gift"/>
    <x v="0"/>
    <x v="2"/>
    <s v="Credit Card"/>
    <s v="FY25"/>
    <n v="0"/>
    <n v="1"/>
    <n v="1"/>
    <s v="Retained/Active"/>
  </r>
  <r>
    <s v="TXN-10655"/>
    <s v="CON-7546"/>
    <x v="0"/>
    <d v="2024-06-02T00:00:00"/>
    <n v="310.87"/>
    <s v="Pledge Payment"/>
    <x v="0"/>
    <x v="1"/>
    <s v="Credit Card"/>
    <s v="FY24"/>
    <n v="1"/>
    <n v="1"/>
    <n v="0"/>
    <s v="LYBUNT (Lapsed 1 Yr)"/>
  </r>
  <r>
    <s v="TXN-10656"/>
    <s v="CON-6618"/>
    <x v="1"/>
    <d v="2023-12-20T00:00:00"/>
    <n v="325.47000000000003"/>
    <s v="Pledge Payment"/>
    <x v="0"/>
    <x v="1"/>
    <s v="Credit Card"/>
    <s v="FY24"/>
    <n v="1"/>
    <n v="1"/>
    <n v="0"/>
    <s v="LYBUNT (Lapsed 1 Yr)"/>
  </r>
  <r>
    <s v="TXN-10657"/>
    <s v="CON-8992"/>
    <x v="1"/>
    <d v="2025-05-02T00:00:00"/>
    <n v="809.84"/>
    <s v="Outright Gift"/>
    <x v="0"/>
    <x v="2"/>
    <s v="Credit Card"/>
    <s v="FY25"/>
    <n v="1"/>
    <n v="1"/>
    <n v="0"/>
    <s v="LYBUNT (Lapsed 1 Yr)"/>
  </r>
  <r>
    <s v="TXN-10658"/>
    <s v="CON-9322"/>
    <x v="2"/>
    <d v="2023-12-11T00:00:00"/>
    <n v="41.23"/>
    <s v="Outright Gift"/>
    <x v="1"/>
    <x v="3"/>
    <s v="Credit Card"/>
    <s v="FY24"/>
    <n v="1"/>
    <n v="0"/>
    <n v="0"/>
    <s v="SYBUNT (Lapsed Multi-Yr)"/>
  </r>
  <r>
    <s v="TXN-10659"/>
    <s v="CON-6734"/>
    <x v="1"/>
    <d v="2024-10-07T00:00:00"/>
    <n v="300.93"/>
    <s v="Pledge Payment"/>
    <x v="0"/>
    <x v="1"/>
    <s v="Credit Card"/>
    <s v="FY25"/>
    <n v="1"/>
    <n v="1"/>
    <n v="1"/>
    <s v="Retained/Active"/>
  </r>
  <r>
    <s v="TXN-10660"/>
    <s v="CON-2757"/>
    <x v="2"/>
    <d v="2026-03-21T00:00:00"/>
    <n v="117.62"/>
    <s v="Pledge Payment"/>
    <x v="1"/>
    <x v="2"/>
    <s v="Credit Card"/>
    <s v="FY26"/>
    <n v="0"/>
    <n v="0"/>
    <n v="1"/>
    <s v="Retained/Active"/>
  </r>
  <r>
    <s v="TXN-10661"/>
    <s v="CON-6919"/>
    <x v="1"/>
    <d v="2024-11-08T00:00:00"/>
    <n v="1876.91"/>
    <s v="Pledge Payment"/>
    <x v="0"/>
    <x v="0"/>
    <s v="EFT/ACH"/>
    <s v="FY25"/>
    <n v="1"/>
    <n v="1"/>
    <n v="1"/>
    <s v="Retained/Active"/>
  </r>
  <r>
    <s v="TXN-10662"/>
    <s v="CON-8079"/>
    <x v="0"/>
    <d v="2025-05-30T00:00:00"/>
    <n v="41.07"/>
    <s v="Recurring Gift"/>
    <x v="0"/>
    <x v="2"/>
    <s v="Credit Card"/>
    <s v="FY25"/>
    <n v="1"/>
    <n v="1"/>
    <n v="0"/>
    <s v="LYBUNT (Lapsed 1 Yr)"/>
  </r>
  <r>
    <s v="TXN-10663"/>
    <s v="CON-3790"/>
    <x v="3"/>
    <d v="2024-07-29T00:00:00"/>
    <n v="557.16"/>
    <s v="Outright Gift"/>
    <x v="1"/>
    <x v="3"/>
    <s v="Credit Card"/>
    <s v="FY25"/>
    <n v="1"/>
    <n v="1"/>
    <n v="1"/>
    <s v="Retained/Active"/>
  </r>
  <r>
    <s v="TXN-10664"/>
    <s v="CON-7709"/>
    <x v="0"/>
    <d v="2025-06-02T00:00:00"/>
    <n v="191.61"/>
    <s v="Outright Gift"/>
    <x v="0"/>
    <x v="3"/>
    <s v="EFT/ACH"/>
    <s v="FY25"/>
    <n v="1"/>
    <n v="1"/>
    <n v="1"/>
    <s v="Retained/Active"/>
  </r>
  <r>
    <s v="TXN-10665"/>
    <s v="CON-7665"/>
    <x v="2"/>
    <d v="2024-05-03T00:00:00"/>
    <n v="178.97"/>
    <s v="Recurring Gift"/>
    <x v="0"/>
    <x v="2"/>
    <s v="Credit Card"/>
    <s v="FY24"/>
    <n v="1"/>
    <n v="1"/>
    <n v="0"/>
    <s v="LYBUNT (Lapsed 1 Yr)"/>
  </r>
  <r>
    <s v="TXN-10666"/>
    <s v="CON-4581"/>
    <x v="2"/>
    <d v="2023-12-30T00:00:00"/>
    <n v="130.35"/>
    <s v="Outright Gift"/>
    <x v="0"/>
    <x v="1"/>
    <s v="EFT/ACH"/>
    <s v="FY24"/>
    <n v="1"/>
    <n v="1"/>
    <n v="0"/>
    <s v="LYBUNT (Lapsed 1 Yr)"/>
  </r>
  <r>
    <s v="TXN-10667"/>
    <s v="CON-4009"/>
    <x v="3"/>
    <d v="2025-03-20T00:00:00"/>
    <n v="699.71"/>
    <s v="Outright Gift"/>
    <x v="0"/>
    <x v="3"/>
    <s v="Credit Card"/>
    <s v="FY25"/>
    <n v="1"/>
    <n v="1"/>
    <n v="1"/>
    <s v="Retained/Active"/>
  </r>
  <r>
    <s v="TXN-10668"/>
    <s v="CON-7295"/>
    <x v="0"/>
    <d v="2024-11-21T00:00:00"/>
    <n v="171.23"/>
    <s v="Outright Gift"/>
    <x v="0"/>
    <x v="0"/>
    <s v="Credit Card"/>
    <s v="FY25"/>
    <n v="1"/>
    <n v="1"/>
    <n v="1"/>
    <s v="Retained/Active"/>
  </r>
  <r>
    <s v="TXN-10669"/>
    <s v="CON-6949"/>
    <x v="2"/>
    <d v="2024-12-27T00:00:00"/>
    <n v="16.75"/>
    <s v="Outright Gift"/>
    <x v="0"/>
    <x v="1"/>
    <s v="Credit Card"/>
    <s v="FY25"/>
    <n v="1"/>
    <n v="1"/>
    <n v="1"/>
    <s v="Retained/Active"/>
  </r>
  <r>
    <s v="TXN-10670"/>
    <s v="CON-7287"/>
    <x v="4"/>
    <d v="2025-03-15T00:00:00"/>
    <n v="593.1"/>
    <s v="Outright Gift"/>
    <x v="0"/>
    <x v="0"/>
    <s v="Credit Card"/>
    <s v="FY25"/>
    <n v="1"/>
    <n v="1"/>
    <n v="0"/>
    <s v="LYBUNT (Lapsed 1 Yr)"/>
  </r>
  <r>
    <s v="TXN-10671"/>
    <s v="CON-3931"/>
    <x v="2"/>
    <d v="2025-02-13T00:00:00"/>
    <n v="467.34"/>
    <s v="Estate/Planned Gift"/>
    <x v="0"/>
    <x v="4"/>
    <s v="Check"/>
    <s v="FY25"/>
    <n v="0"/>
    <n v="1"/>
    <n v="1"/>
    <s v="Retained/Active"/>
  </r>
  <r>
    <s v="TXN-10672"/>
    <s v="CON-6311"/>
    <x v="0"/>
    <d v="2025-07-13T00:00:00"/>
    <n v="260.68"/>
    <s v="Outright Gift"/>
    <x v="0"/>
    <x v="3"/>
    <s v="Credit Card"/>
    <s v="FY26"/>
    <n v="1"/>
    <n v="1"/>
    <n v="1"/>
    <s v="Retained/Active"/>
  </r>
  <r>
    <s v="TXN-10673"/>
    <s v="CON-7585"/>
    <x v="2"/>
    <d v="2025-01-04T00:00:00"/>
    <n v="28.02"/>
    <s v="Outright Gift"/>
    <x v="0"/>
    <x v="1"/>
    <s v="Credit Card"/>
    <s v="FY25"/>
    <n v="1"/>
    <n v="1"/>
    <n v="0"/>
    <s v="LYBUNT (Lapsed 1 Yr)"/>
  </r>
  <r>
    <s v="TXN-10674"/>
    <s v="CON-6450"/>
    <x v="2"/>
    <d v="2023-07-21T00:00:00"/>
    <n v="34.29"/>
    <s v="Estate/Planned Gift"/>
    <x v="0"/>
    <x v="2"/>
    <s v="Credit Card"/>
    <s v="FY24"/>
    <n v="1"/>
    <n v="1"/>
    <n v="0"/>
    <s v="LYBUNT (Lapsed 1 Yr)"/>
  </r>
  <r>
    <s v="TXN-10675"/>
    <s v="CON-6895"/>
    <x v="2"/>
    <d v="2025-01-04T00:00:00"/>
    <n v="15"/>
    <s v="Estate/Planned Gift"/>
    <x v="1"/>
    <x v="3"/>
    <s v="Credit Card"/>
    <s v="FY25"/>
    <n v="1"/>
    <n v="1"/>
    <n v="1"/>
    <s v="Retained/Active"/>
  </r>
  <r>
    <s v="TXN-10676"/>
    <s v="CON-7585"/>
    <x v="1"/>
    <d v="2024-07-31T00:00:00"/>
    <n v="221.06"/>
    <s v="Outright Gift"/>
    <x v="0"/>
    <x v="1"/>
    <s v="Credit Card"/>
    <s v="FY25"/>
    <n v="1"/>
    <n v="1"/>
    <n v="0"/>
    <s v="LYBUNT (Lapsed 1 Yr)"/>
  </r>
  <r>
    <s v="TXN-10677"/>
    <s v="CON-1775"/>
    <x v="1"/>
    <d v="2025-03-16T00:00:00"/>
    <n v="21.02"/>
    <s v="Outright Gift"/>
    <x v="0"/>
    <x v="0"/>
    <s v="Credit Card"/>
    <s v="FY25"/>
    <n v="1"/>
    <n v="1"/>
    <n v="1"/>
    <s v="Retained/Active"/>
  </r>
  <r>
    <s v="TXN-10678"/>
    <s v="CON-3368"/>
    <x v="3"/>
    <d v="2023-10-13T00:00:00"/>
    <n v="15"/>
    <s v="Recurring Gift"/>
    <x v="0"/>
    <x v="2"/>
    <s v="Credit Card"/>
    <s v="FY24"/>
    <n v="1"/>
    <n v="1"/>
    <n v="1"/>
    <s v="Retained/Active"/>
  </r>
  <r>
    <s v="TXN-10679"/>
    <s v="CON-5146"/>
    <x v="0"/>
    <d v="2024-01-08T00:00:00"/>
    <n v="637.46"/>
    <s v="Pledge Payment"/>
    <x v="1"/>
    <x v="0"/>
    <s v="Check"/>
    <s v="FY24"/>
    <n v="1"/>
    <n v="0"/>
    <n v="0"/>
    <s v="SYBUNT (Lapsed Multi-Yr)"/>
  </r>
  <r>
    <s v="TXN-10680"/>
    <s v="CON-2707"/>
    <x v="2"/>
    <d v="2023-07-17T00:00:00"/>
    <n v="329.85"/>
    <s v="Pledge Payment"/>
    <x v="0"/>
    <x v="1"/>
    <s v="Credit Card"/>
    <s v="FY24"/>
    <n v="1"/>
    <n v="1"/>
    <n v="1"/>
    <s v="Retained/Active"/>
  </r>
  <r>
    <s v="TXN-10681"/>
    <s v="CON-2059"/>
    <x v="0"/>
    <d v="2024-07-27T00:00:00"/>
    <n v="78.8"/>
    <s v="Recurring Gift"/>
    <x v="0"/>
    <x v="2"/>
    <s v="EFT/ACH"/>
    <s v="FY25"/>
    <n v="0"/>
    <n v="1"/>
    <n v="1"/>
    <s v="Retained/Active"/>
  </r>
  <r>
    <s v="TXN-10682"/>
    <s v="CON-4104"/>
    <x v="0"/>
    <d v="2024-08-28T00:00:00"/>
    <n v="102.08"/>
    <s v="Pledge Payment"/>
    <x v="0"/>
    <x v="4"/>
    <s v="Check"/>
    <s v="FY25"/>
    <n v="0"/>
    <n v="1"/>
    <n v="1"/>
    <s v="Retained/Active"/>
  </r>
  <r>
    <s v="TXN-10683"/>
    <s v="CON-2484"/>
    <x v="1"/>
    <d v="2023-11-06T00:00:00"/>
    <n v="15"/>
    <s v="Outright Gift"/>
    <x v="0"/>
    <x v="2"/>
    <s v="Credit Card"/>
    <s v="FY24"/>
    <n v="1"/>
    <n v="0"/>
    <n v="1"/>
    <s v="Retained/Active"/>
  </r>
  <r>
    <s v="TXN-10684"/>
    <s v="CON-9352"/>
    <x v="1"/>
    <d v="2025-01-22T00:00:00"/>
    <n v="400.12"/>
    <s v="Pledge Payment"/>
    <x v="0"/>
    <x v="2"/>
    <s v="Check"/>
    <s v="FY25"/>
    <n v="0"/>
    <n v="1"/>
    <n v="1"/>
    <s v="Retained/Active"/>
  </r>
  <r>
    <s v="TXN-10685"/>
    <s v="CON-2816"/>
    <x v="4"/>
    <d v="2023-07-29T00:00:00"/>
    <n v="49.38"/>
    <s v="Outright Gift"/>
    <x v="0"/>
    <x v="0"/>
    <s v="EFT/ACH"/>
    <s v="FY24"/>
    <n v="1"/>
    <n v="1"/>
    <n v="0"/>
    <s v="LYBUNT (Lapsed 1 Yr)"/>
  </r>
  <r>
    <s v="TXN-10686"/>
    <s v="CON-1699"/>
    <x v="3"/>
    <d v="2026-04-29T00:00:00"/>
    <n v="186.68"/>
    <s v="Pledge Payment"/>
    <x v="0"/>
    <x v="1"/>
    <s v="Credit Card"/>
    <s v="FY26"/>
    <n v="1"/>
    <n v="1"/>
    <n v="1"/>
    <s v="Retained/Active"/>
  </r>
  <r>
    <s v="TXN-10687"/>
    <s v="CON-4863"/>
    <x v="2"/>
    <d v="2024-02-27T00:00:00"/>
    <n v="15"/>
    <s v="Pledge Payment"/>
    <x v="1"/>
    <x v="2"/>
    <s v="Stock Transfer"/>
    <s v="FY24"/>
    <n v="1"/>
    <n v="0"/>
    <n v="0"/>
    <s v="SYBUNT (Lapsed Multi-Yr)"/>
  </r>
  <r>
    <s v="TXN-10688"/>
    <s v="CON-6088"/>
    <x v="0"/>
    <d v="2024-02-17T00:00:00"/>
    <n v="433.04"/>
    <s v="Outright Gift"/>
    <x v="0"/>
    <x v="1"/>
    <s v="Credit Card"/>
    <s v="FY24"/>
    <n v="1"/>
    <n v="1"/>
    <n v="0"/>
    <s v="LYBUNT (Lapsed 1 Yr)"/>
  </r>
  <r>
    <s v="TXN-10689"/>
    <s v="CON-9529"/>
    <x v="2"/>
    <d v="2025-08-27T00:00:00"/>
    <n v="45.66"/>
    <s v="Outright Gift"/>
    <x v="0"/>
    <x v="3"/>
    <s v="Credit Card"/>
    <s v="FY26"/>
    <n v="0"/>
    <n v="1"/>
    <n v="1"/>
    <s v="Retained/Active"/>
  </r>
  <r>
    <s v="TXN-10690"/>
    <s v="CON-4748"/>
    <x v="2"/>
    <d v="2025-06-14T00:00:00"/>
    <n v="20.309999999999999"/>
    <s v="Outright Gift"/>
    <x v="0"/>
    <x v="1"/>
    <s v="EFT/ACH"/>
    <s v="FY25"/>
    <n v="1"/>
    <n v="1"/>
    <n v="1"/>
    <s v="Retained/Active"/>
  </r>
  <r>
    <s v="TXN-10691"/>
    <s v="CON-2685"/>
    <x v="2"/>
    <d v="2025-07-28T00:00:00"/>
    <n v="78.14"/>
    <s v="Outright Gift"/>
    <x v="1"/>
    <x v="0"/>
    <s v="Credit Card"/>
    <s v="FY26"/>
    <n v="1"/>
    <n v="0"/>
    <n v="1"/>
    <s v="Retained/Active"/>
  </r>
  <r>
    <s v="TXN-10692"/>
    <s v="CON-9050"/>
    <x v="1"/>
    <d v="2025-09-09T00:00:00"/>
    <n v="55.96"/>
    <s v="Pledge Payment"/>
    <x v="0"/>
    <x v="0"/>
    <s v="Credit Card"/>
    <s v="FY26"/>
    <n v="0"/>
    <n v="1"/>
    <n v="1"/>
    <s v="Retained/Active"/>
  </r>
  <r>
    <s v="TXN-10693"/>
    <s v="CON-6919"/>
    <x v="2"/>
    <d v="2025-08-14T00:00:00"/>
    <n v="491.05"/>
    <s v="Outright Gift"/>
    <x v="0"/>
    <x v="4"/>
    <s v="Credit Card"/>
    <s v="FY26"/>
    <n v="1"/>
    <n v="1"/>
    <n v="1"/>
    <s v="Retained/Active"/>
  </r>
  <r>
    <s v="TXN-10694"/>
    <s v="CON-9311"/>
    <x v="3"/>
    <d v="2025-06-25T00:00:00"/>
    <n v="70.349999999999994"/>
    <s v="Pledge Payment"/>
    <x v="0"/>
    <x v="1"/>
    <s v="EFT/ACH"/>
    <s v="FY25"/>
    <n v="1"/>
    <n v="1"/>
    <n v="1"/>
    <s v="Retained/Active"/>
  </r>
  <r>
    <s v="TXN-10695"/>
    <s v="CON-6393"/>
    <x v="4"/>
    <d v="2024-01-16T00:00:00"/>
    <n v="714.37"/>
    <s v="Outright Gift"/>
    <x v="0"/>
    <x v="1"/>
    <s v="EFT/ACH"/>
    <s v="FY24"/>
    <n v="1"/>
    <n v="0"/>
    <n v="1"/>
    <s v="Retained/Active"/>
  </r>
  <r>
    <s v="TXN-10696"/>
    <s v="CON-3693"/>
    <x v="1"/>
    <d v="2026-01-30T00:00:00"/>
    <n v="186.64"/>
    <s v="Pledge Payment"/>
    <x v="0"/>
    <x v="1"/>
    <s v="EFT/ACH"/>
    <s v="FY26"/>
    <n v="1"/>
    <n v="1"/>
    <n v="1"/>
    <s v="Retained/Active"/>
  </r>
  <r>
    <s v="TXN-10697"/>
    <s v="CON-2734"/>
    <x v="2"/>
    <d v="2023-09-17T00:00:00"/>
    <n v="388.65"/>
    <s v="Recurring Gift"/>
    <x v="0"/>
    <x v="3"/>
    <s v="Stock Transfer"/>
    <s v="FY24"/>
    <n v="1"/>
    <n v="0"/>
    <n v="0"/>
    <s v="SYBUNT (Lapsed Multi-Yr)"/>
  </r>
  <r>
    <s v="TXN-10698"/>
    <s v="CON-3558"/>
    <x v="2"/>
    <d v="2026-02-10T00:00:00"/>
    <n v="121.17"/>
    <s v="Pledge Payment"/>
    <x v="0"/>
    <x v="1"/>
    <s v="Credit Card"/>
    <s v="FY26"/>
    <n v="0"/>
    <n v="1"/>
    <n v="1"/>
    <s v="Retained/Active"/>
  </r>
  <r>
    <s v="TXN-10699"/>
    <s v="CON-4009"/>
    <x v="0"/>
    <d v="2025-11-02T00:00:00"/>
    <n v="635.03"/>
    <s v="Outright Gift"/>
    <x v="0"/>
    <x v="1"/>
    <s v="Credit Card"/>
    <s v="FY26"/>
    <n v="1"/>
    <n v="1"/>
    <n v="1"/>
    <s v="Retained/Active"/>
  </r>
  <r>
    <s v="TXN-10700"/>
    <s v="CON-6222"/>
    <x v="1"/>
    <d v="2024-10-09T00:00:00"/>
    <n v="27.12"/>
    <s v="Estate/Planned Gift"/>
    <x v="0"/>
    <x v="1"/>
    <s v="EFT/ACH"/>
    <s v="FY25"/>
    <n v="0"/>
    <n v="1"/>
    <n v="0"/>
    <s v="LYBUNT (Lapsed 1 Yr)"/>
  </r>
  <r>
    <s v="TXN-10701"/>
    <s v="CON-2686"/>
    <x v="0"/>
    <d v="2025-01-31T00:00:00"/>
    <n v="140.85"/>
    <s v="Outright Gift"/>
    <x v="0"/>
    <x v="2"/>
    <s v="EFT/ACH"/>
    <s v="FY25"/>
    <n v="1"/>
    <n v="1"/>
    <n v="1"/>
    <s v="Retained/Active"/>
  </r>
  <r>
    <s v="TXN-10702"/>
    <s v="CON-9932"/>
    <x v="0"/>
    <d v="2026-01-25T00:00:00"/>
    <n v="72.58"/>
    <s v="Outright Gift"/>
    <x v="0"/>
    <x v="1"/>
    <s v="Credit Card"/>
    <s v="FY26"/>
    <n v="0"/>
    <n v="1"/>
    <n v="1"/>
    <s v="Retained/Active"/>
  </r>
  <r>
    <s v="TXN-10703"/>
    <s v="CON-6881"/>
    <x v="0"/>
    <d v="2024-09-21T00:00:00"/>
    <n v="746.67"/>
    <s v="Outright Gift"/>
    <x v="0"/>
    <x v="1"/>
    <s v="Credit Card"/>
    <s v="FY25"/>
    <n v="1"/>
    <n v="1"/>
    <n v="1"/>
    <s v="Retained/Active"/>
  </r>
  <r>
    <s v="TXN-10704"/>
    <s v="CON-3049"/>
    <x v="2"/>
    <d v="2023-09-25T00:00:00"/>
    <n v="852.99"/>
    <s v="Outright Gift"/>
    <x v="0"/>
    <x v="1"/>
    <s v="Check"/>
    <s v="FY24"/>
    <n v="1"/>
    <n v="1"/>
    <n v="0"/>
    <s v="LYBUNT (Lapsed 1 Yr)"/>
  </r>
  <r>
    <s v="TXN-10705"/>
    <s v="CON-7776"/>
    <x v="2"/>
    <d v="2023-10-09T00:00:00"/>
    <n v="121.58"/>
    <s v="Estate/Planned Gift"/>
    <x v="0"/>
    <x v="0"/>
    <s v="Stock Transfer"/>
    <s v="FY24"/>
    <n v="1"/>
    <n v="1"/>
    <n v="1"/>
    <s v="Retained/Active"/>
  </r>
  <r>
    <s v="TXN-10706"/>
    <s v="CON-2028"/>
    <x v="2"/>
    <d v="2026-04-27T00:00:00"/>
    <n v="22.67"/>
    <s v="Outright Gift"/>
    <x v="0"/>
    <x v="2"/>
    <s v="EFT/ACH"/>
    <s v="FY26"/>
    <n v="1"/>
    <n v="1"/>
    <n v="1"/>
    <s v="Retained/Active"/>
  </r>
  <r>
    <s v="TXN-10707"/>
    <s v="CON-9155"/>
    <x v="4"/>
    <d v="2025-10-22T00:00:00"/>
    <n v="211.71"/>
    <s v="Pledge Payment"/>
    <x v="0"/>
    <x v="0"/>
    <s v="Credit Card"/>
    <s v="FY26"/>
    <n v="0"/>
    <n v="1"/>
    <n v="1"/>
    <s v="Retained/Active"/>
  </r>
  <r>
    <s v="TXN-10708"/>
    <s v="CON-6134"/>
    <x v="0"/>
    <d v="2023-09-25T00:00:00"/>
    <n v="15"/>
    <s v="Pledge Payment"/>
    <x v="0"/>
    <x v="4"/>
    <s v="Stock Transfer"/>
    <s v="FY24"/>
    <n v="1"/>
    <n v="1"/>
    <n v="1"/>
    <s v="Retained/Active"/>
  </r>
  <r>
    <s v="TXN-10709"/>
    <s v="CON-2028"/>
    <x v="1"/>
    <d v="2023-08-12T00:00:00"/>
    <n v="1006.25"/>
    <s v="Outright Gift"/>
    <x v="0"/>
    <x v="4"/>
    <s v="Check"/>
    <s v="FY24"/>
    <n v="1"/>
    <n v="1"/>
    <n v="1"/>
    <s v="Retained/Active"/>
  </r>
  <r>
    <s v="TXN-10710"/>
    <s v="CON-6986"/>
    <x v="2"/>
    <d v="2024-08-11T00:00:00"/>
    <n v="65.69"/>
    <s v="Pledge Payment"/>
    <x v="0"/>
    <x v="0"/>
    <s v="Credit Card"/>
    <s v="FY25"/>
    <n v="1"/>
    <n v="1"/>
    <n v="0"/>
    <s v="LYBUNT (Lapsed 1 Yr)"/>
  </r>
  <r>
    <s v="TXN-10711"/>
    <s v="CON-6249"/>
    <x v="1"/>
    <d v="2025-04-24T00:00:00"/>
    <n v="116.78"/>
    <s v="Outright Gift"/>
    <x v="0"/>
    <x v="2"/>
    <s v="Check"/>
    <s v="FY25"/>
    <n v="0"/>
    <n v="1"/>
    <n v="1"/>
    <s v="Retained/Active"/>
  </r>
  <r>
    <s v="TXN-10712"/>
    <s v="CON-5465"/>
    <x v="0"/>
    <d v="2026-05-06T00:00:00"/>
    <n v="50.14"/>
    <s v="Outright Gift"/>
    <x v="0"/>
    <x v="2"/>
    <s v="Check"/>
    <s v="FY26"/>
    <n v="1"/>
    <n v="0"/>
    <n v="1"/>
    <s v="Retained/Active"/>
  </r>
  <r>
    <s v="TXN-10713"/>
    <s v="CON-3368"/>
    <x v="1"/>
    <d v="2023-11-25T00:00:00"/>
    <n v="37.630000000000003"/>
    <s v="Outright Gift"/>
    <x v="1"/>
    <x v="3"/>
    <s v="Check"/>
    <s v="FY24"/>
    <n v="1"/>
    <n v="1"/>
    <n v="1"/>
    <s v="Retained/Active"/>
  </r>
  <r>
    <s v="TXN-10714"/>
    <s v="CON-6915"/>
    <x v="1"/>
    <d v="2024-04-02T00:00:00"/>
    <n v="316.87"/>
    <s v="Recurring Gift"/>
    <x v="0"/>
    <x v="0"/>
    <s v="Check"/>
    <s v="FY24"/>
    <n v="1"/>
    <n v="1"/>
    <n v="1"/>
    <s v="Retained/Active"/>
  </r>
  <r>
    <s v="TXN-10715"/>
    <s v="CON-4672"/>
    <x v="3"/>
    <d v="2024-02-17T00:00:00"/>
    <n v="98.87"/>
    <s v="Estate/Planned Gift"/>
    <x v="1"/>
    <x v="0"/>
    <s v="EFT/ACH"/>
    <s v="FY24"/>
    <n v="1"/>
    <n v="1"/>
    <n v="1"/>
    <s v="Retained/Active"/>
  </r>
  <r>
    <s v="TXN-10716"/>
    <s v="CON-6854"/>
    <x v="0"/>
    <d v="2024-06-30T00:00:00"/>
    <n v="128.41"/>
    <s v="Outright Gift"/>
    <x v="0"/>
    <x v="0"/>
    <s v="EFT/ACH"/>
    <s v="FY24"/>
    <n v="1"/>
    <n v="1"/>
    <n v="0"/>
    <s v="LYBUNT (Lapsed 1 Yr)"/>
  </r>
  <r>
    <s v="TXN-10717"/>
    <s v="CON-7002"/>
    <x v="0"/>
    <d v="2024-09-08T00:00:00"/>
    <n v="32.950000000000003"/>
    <s v="Outright Gift"/>
    <x v="1"/>
    <x v="3"/>
    <s v="Credit Card"/>
    <s v="FY25"/>
    <n v="1"/>
    <n v="1"/>
    <n v="0"/>
    <s v="LYBUNT (Lapsed 1 Yr)"/>
  </r>
  <r>
    <s v="TXN-10718"/>
    <s v="CON-2678"/>
    <x v="1"/>
    <d v="2024-08-02T00:00:00"/>
    <n v="369.77"/>
    <s v="Pledge Payment"/>
    <x v="0"/>
    <x v="1"/>
    <s v="EFT/ACH"/>
    <s v="FY25"/>
    <n v="0"/>
    <n v="1"/>
    <n v="0"/>
    <s v="LYBUNT (Lapsed 1 Yr)"/>
  </r>
  <r>
    <s v="TXN-10719"/>
    <s v="CON-1502"/>
    <x v="2"/>
    <d v="2024-11-10T00:00:00"/>
    <n v="422.05"/>
    <s v="Outright Gift"/>
    <x v="0"/>
    <x v="1"/>
    <s v="EFT/ACH"/>
    <s v="FY25"/>
    <n v="0"/>
    <n v="1"/>
    <n v="1"/>
    <s v="Retained/Active"/>
  </r>
  <r>
    <s v="TXN-10720"/>
    <s v="CON-4099"/>
    <x v="0"/>
    <d v="2024-12-21T00:00:00"/>
    <n v="92.61"/>
    <s v="Recurring Gift"/>
    <x v="0"/>
    <x v="0"/>
    <s v="Stock Transfer"/>
    <s v="FY25"/>
    <n v="1"/>
    <n v="1"/>
    <n v="0"/>
    <s v="LYBUNT (Lapsed 1 Yr)"/>
  </r>
  <r>
    <s v="TXN-10721"/>
    <s v="CON-7102"/>
    <x v="2"/>
    <d v="2025-01-13T00:00:00"/>
    <n v="631.63"/>
    <s v="Outright Gift"/>
    <x v="0"/>
    <x v="1"/>
    <s v="Credit Card"/>
    <s v="FY25"/>
    <n v="0"/>
    <n v="1"/>
    <n v="1"/>
    <s v="Retained/Active"/>
  </r>
  <r>
    <s v="TXN-10722"/>
    <s v="CON-4343"/>
    <x v="0"/>
    <d v="2024-09-14T00:00:00"/>
    <n v="106.13"/>
    <s v="Outright Gift"/>
    <x v="1"/>
    <x v="0"/>
    <s v="EFT/ACH"/>
    <s v="FY25"/>
    <n v="0"/>
    <n v="1"/>
    <n v="1"/>
    <s v="Retained/Active"/>
  </r>
  <r>
    <s v="TXN-10723"/>
    <s v="CON-7484"/>
    <x v="1"/>
    <d v="2025-08-11T00:00:00"/>
    <n v="334.85"/>
    <s v="Recurring Gift"/>
    <x v="0"/>
    <x v="1"/>
    <s v="Credit Card"/>
    <s v="FY26"/>
    <n v="0"/>
    <n v="1"/>
    <n v="1"/>
    <s v="Retained/Active"/>
  </r>
  <r>
    <s v="TXN-10724"/>
    <s v="CON-4943"/>
    <x v="0"/>
    <d v="2024-06-14T00:00:00"/>
    <n v="15"/>
    <s v="Outright Gift"/>
    <x v="0"/>
    <x v="1"/>
    <s v="EFT/ACH"/>
    <s v="FY24"/>
    <n v="1"/>
    <n v="0"/>
    <n v="1"/>
    <s v="Retained/Active"/>
  </r>
  <r>
    <s v="TXN-10725"/>
    <s v="CON-4005"/>
    <x v="1"/>
    <d v="2024-12-01T00:00:00"/>
    <n v="192.38"/>
    <s v="Recurring Gift"/>
    <x v="0"/>
    <x v="4"/>
    <s v="EFT/ACH"/>
    <s v="FY25"/>
    <n v="1"/>
    <n v="1"/>
    <n v="1"/>
    <s v="Retained/Active"/>
  </r>
  <r>
    <s v="TXN-10726"/>
    <s v="CON-6442"/>
    <x v="0"/>
    <d v="2023-11-15T00:00:00"/>
    <n v="85.38"/>
    <s v="Recurring Gift"/>
    <x v="0"/>
    <x v="0"/>
    <s v="Credit Card"/>
    <s v="FY24"/>
    <n v="1"/>
    <n v="1"/>
    <n v="1"/>
    <s v="Retained/Active"/>
  </r>
  <r>
    <s v="TXN-10727"/>
    <s v="CON-2895"/>
    <x v="0"/>
    <d v="2026-03-18T00:00:00"/>
    <n v="148.74"/>
    <s v="Outright Gift"/>
    <x v="0"/>
    <x v="2"/>
    <s v="Credit Card"/>
    <s v="FY26"/>
    <n v="0"/>
    <n v="0"/>
    <n v="1"/>
    <s v="Retained/Active"/>
  </r>
  <r>
    <s v="TXN-10728"/>
    <s v="CON-5061"/>
    <x v="4"/>
    <d v="2024-07-02T00:00:00"/>
    <n v="140.31"/>
    <s v="Outright Gift"/>
    <x v="0"/>
    <x v="1"/>
    <s v="Credit Card"/>
    <s v="FY25"/>
    <n v="0"/>
    <n v="1"/>
    <n v="1"/>
    <s v="Retained/Active"/>
  </r>
  <r>
    <s v="TXN-10729"/>
    <s v="CON-8996"/>
    <x v="1"/>
    <d v="2024-06-24T00:00:00"/>
    <n v="143.08000000000001"/>
    <s v="Estate/Planned Gift"/>
    <x v="0"/>
    <x v="1"/>
    <s v="Credit Card"/>
    <s v="FY24"/>
    <n v="1"/>
    <n v="0"/>
    <n v="1"/>
    <s v="Retained/Active"/>
  </r>
  <r>
    <s v="TXN-10730"/>
    <s v="CON-7893"/>
    <x v="2"/>
    <d v="2026-01-06T00:00:00"/>
    <n v="270.54000000000002"/>
    <s v="Recurring Gift"/>
    <x v="0"/>
    <x v="3"/>
    <s v="EFT/ACH"/>
    <s v="FY26"/>
    <n v="1"/>
    <n v="1"/>
    <n v="1"/>
    <s v="Retained/Active"/>
  </r>
  <r>
    <s v="TXN-10731"/>
    <s v="CON-2686"/>
    <x v="1"/>
    <d v="2024-05-24T00:00:00"/>
    <n v="58.28"/>
    <s v="Outright Gift"/>
    <x v="1"/>
    <x v="2"/>
    <s v="Credit Card"/>
    <s v="FY24"/>
    <n v="1"/>
    <n v="1"/>
    <n v="1"/>
    <s v="Retained/Active"/>
  </r>
  <r>
    <s v="TXN-10732"/>
    <s v="CON-6056"/>
    <x v="0"/>
    <d v="2026-02-16T00:00:00"/>
    <n v="254.63"/>
    <s v="Recurring Gift"/>
    <x v="0"/>
    <x v="0"/>
    <s v="Credit Card"/>
    <s v="FY26"/>
    <n v="1"/>
    <n v="0"/>
    <n v="1"/>
    <s v="Retained/Active"/>
  </r>
  <r>
    <s v="TXN-10733"/>
    <s v="CON-6222"/>
    <x v="0"/>
    <d v="2024-10-05T00:00:00"/>
    <n v="603.22"/>
    <s v="Outright Gift"/>
    <x v="0"/>
    <x v="4"/>
    <s v="Credit Card"/>
    <s v="FY25"/>
    <n v="0"/>
    <n v="1"/>
    <n v="0"/>
    <s v="LYBUNT (Lapsed 1 Yr)"/>
  </r>
  <r>
    <s v="TXN-10734"/>
    <s v="CON-1206"/>
    <x v="4"/>
    <d v="2026-01-31T00:00:00"/>
    <n v="19.43"/>
    <s v="Outright Gift"/>
    <x v="0"/>
    <x v="4"/>
    <s v="Credit Card"/>
    <s v="FY26"/>
    <n v="0"/>
    <n v="0"/>
    <n v="1"/>
    <s v="Retained/Active"/>
  </r>
  <r>
    <s v="TXN-10735"/>
    <s v="CON-3327"/>
    <x v="1"/>
    <d v="2026-02-17T00:00:00"/>
    <n v="44.05"/>
    <s v="Recurring Gift"/>
    <x v="0"/>
    <x v="4"/>
    <s v="EFT/ACH"/>
    <s v="FY26"/>
    <n v="1"/>
    <n v="0"/>
    <n v="1"/>
    <s v="Retained/Active"/>
  </r>
  <r>
    <s v="TXN-10736"/>
    <s v="CON-6801"/>
    <x v="1"/>
    <d v="2025-10-13T00:00:00"/>
    <n v="46.52"/>
    <s v="Outright Gift"/>
    <x v="0"/>
    <x v="0"/>
    <s v="Credit Card"/>
    <s v="FY26"/>
    <n v="1"/>
    <n v="0"/>
    <n v="1"/>
    <s v="Retained/Active"/>
  </r>
  <r>
    <s v="TXN-10737"/>
    <s v="CON-8270"/>
    <x v="0"/>
    <d v="2023-12-16T00:00:00"/>
    <n v="29.38"/>
    <s v="Recurring Gift"/>
    <x v="0"/>
    <x v="1"/>
    <s v="Check"/>
    <s v="FY24"/>
    <n v="1"/>
    <n v="1"/>
    <n v="1"/>
    <s v="Retained/Active"/>
  </r>
  <r>
    <s v="TXN-10738"/>
    <s v="CON-7971"/>
    <x v="1"/>
    <d v="2024-02-02T00:00:00"/>
    <n v="65.56"/>
    <s v="Outright Gift"/>
    <x v="0"/>
    <x v="2"/>
    <s v="Credit Card"/>
    <s v="FY24"/>
    <n v="1"/>
    <n v="1"/>
    <n v="1"/>
    <s v="Retained/Active"/>
  </r>
  <r>
    <s v="TXN-10739"/>
    <s v="CON-4843"/>
    <x v="1"/>
    <d v="2024-07-12T00:00:00"/>
    <n v="465.47"/>
    <s v="Pledge Payment"/>
    <x v="1"/>
    <x v="2"/>
    <s v="Credit Card"/>
    <s v="FY25"/>
    <n v="0"/>
    <n v="1"/>
    <n v="0"/>
    <s v="LYBUNT (Lapsed 1 Yr)"/>
  </r>
  <r>
    <s v="TXN-10740"/>
    <s v="CON-2081"/>
    <x v="2"/>
    <d v="2023-10-27T00:00:00"/>
    <n v="797.8"/>
    <s v="Outright Gift"/>
    <x v="0"/>
    <x v="1"/>
    <s v="Credit Card"/>
    <s v="FY24"/>
    <n v="1"/>
    <n v="1"/>
    <n v="1"/>
    <s v="Retained/Active"/>
  </r>
  <r>
    <s v="TXN-10741"/>
    <s v="CON-8390"/>
    <x v="1"/>
    <d v="2024-01-06T00:00:00"/>
    <n v="139.49"/>
    <s v="Outright Gift"/>
    <x v="0"/>
    <x v="2"/>
    <s v="EFT/ACH"/>
    <s v="FY24"/>
    <n v="1"/>
    <n v="0"/>
    <n v="1"/>
    <s v="Retained/Active"/>
  </r>
  <r>
    <s v="TXN-10742"/>
    <s v="CON-1663"/>
    <x v="1"/>
    <d v="2025-08-05T00:00:00"/>
    <n v="79.72"/>
    <s v="Pledge Payment"/>
    <x v="1"/>
    <x v="1"/>
    <s v="EFT/ACH"/>
    <s v="FY26"/>
    <n v="1"/>
    <n v="0"/>
    <n v="1"/>
    <s v="Retained/Active"/>
  </r>
  <r>
    <s v="TXN-10743"/>
    <s v="CON-8560"/>
    <x v="2"/>
    <d v="2024-07-04T00:00:00"/>
    <n v="345.09"/>
    <s v="Outright Gift"/>
    <x v="0"/>
    <x v="0"/>
    <s v="Check"/>
    <s v="FY25"/>
    <n v="1"/>
    <n v="1"/>
    <n v="0"/>
    <s v="LYBUNT (Lapsed 1 Yr)"/>
  </r>
  <r>
    <s v="TXN-10744"/>
    <s v="CON-2663"/>
    <x v="0"/>
    <d v="2023-11-26T00:00:00"/>
    <n v="15"/>
    <s v="Outright Gift"/>
    <x v="0"/>
    <x v="1"/>
    <s v="EFT/ACH"/>
    <s v="FY24"/>
    <n v="1"/>
    <n v="1"/>
    <n v="1"/>
    <s v="Retained/Active"/>
  </r>
  <r>
    <s v="TXN-10745"/>
    <s v="CON-9680"/>
    <x v="1"/>
    <d v="2025-04-12T00:00:00"/>
    <n v="30.82"/>
    <s v="Outright Gift"/>
    <x v="0"/>
    <x v="2"/>
    <s v="Credit Card"/>
    <s v="FY25"/>
    <n v="0"/>
    <n v="1"/>
    <n v="1"/>
    <s v="Retained/Active"/>
  </r>
  <r>
    <s v="TXN-10746"/>
    <s v="CON-6801"/>
    <x v="0"/>
    <d v="2025-08-08T00:00:00"/>
    <n v="15"/>
    <s v="Outright Gift"/>
    <x v="0"/>
    <x v="1"/>
    <s v="EFT/ACH"/>
    <s v="FY26"/>
    <n v="1"/>
    <n v="0"/>
    <n v="1"/>
    <s v="Retained/Active"/>
  </r>
  <r>
    <s v="TXN-10747"/>
    <s v="CON-1863"/>
    <x v="2"/>
    <d v="2024-07-08T00:00:00"/>
    <n v="30.4"/>
    <s v="Recurring Gift"/>
    <x v="0"/>
    <x v="3"/>
    <s v="Check"/>
    <s v="FY25"/>
    <n v="0"/>
    <n v="1"/>
    <n v="1"/>
    <s v="Retained/Active"/>
  </r>
  <r>
    <s v="TXN-10748"/>
    <s v="CON-4763"/>
    <x v="0"/>
    <d v="2025-08-19T00:00:00"/>
    <n v="44.83"/>
    <s v="Outright Gift"/>
    <x v="0"/>
    <x v="0"/>
    <s v="Credit Card"/>
    <s v="FY26"/>
    <n v="1"/>
    <n v="1"/>
    <n v="1"/>
    <s v="Retained/Active"/>
  </r>
  <r>
    <s v="TXN-10749"/>
    <s v="CON-9319"/>
    <x v="0"/>
    <d v="2023-12-07T00:00:00"/>
    <n v="829.64"/>
    <s v="Outright Gift"/>
    <x v="0"/>
    <x v="2"/>
    <s v="Credit Card"/>
    <s v="FY24"/>
    <n v="1"/>
    <n v="0"/>
    <n v="1"/>
    <s v="Retained/Active"/>
  </r>
  <r>
    <s v="TXN-10750"/>
    <s v="CON-2016"/>
    <x v="1"/>
    <d v="2024-06-15T00:00:00"/>
    <n v="15"/>
    <s v="Outright Gift"/>
    <x v="1"/>
    <x v="4"/>
    <s v="EFT/ACH"/>
    <s v="FY24"/>
    <n v="1"/>
    <n v="1"/>
    <n v="1"/>
    <s v="Retained/Active"/>
  </r>
  <r>
    <s v="TXN-10751"/>
    <s v="CON-6699"/>
    <x v="2"/>
    <d v="2025-12-08T00:00:00"/>
    <n v="70.69"/>
    <s v="Outright Gift"/>
    <x v="0"/>
    <x v="2"/>
    <s v="Credit Card"/>
    <s v="FY26"/>
    <n v="0"/>
    <n v="1"/>
    <n v="1"/>
    <s v="Retained/Active"/>
  </r>
  <r>
    <s v="TXN-10752"/>
    <s v="CON-3047"/>
    <x v="0"/>
    <d v="2024-12-04T00:00:00"/>
    <n v="271.89999999999998"/>
    <s v="Outright Gift"/>
    <x v="1"/>
    <x v="4"/>
    <s v="Stock Transfer"/>
    <s v="FY25"/>
    <n v="1"/>
    <n v="1"/>
    <n v="1"/>
    <s v="Retained/Active"/>
  </r>
  <r>
    <s v="TXN-10753"/>
    <s v="CON-4561"/>
    <x v="2"/>
    <d v="2024-12-03T00:00:00"/>
    <n v="207.25"/>
    <s v="Outright Gift"/>
    <x v="1"/>
    <x v="1"/>
    <s v="Credit Card"/>
    <s v="FY25"/>
    <n v="1"/>
    <n v="1"/>
    <n v="1"/>
    <s v="Retained/Active"/>
  </r>
  <r>
    <s v="TXN-10754"/>
    <s v="CON-9684"/>
    <x v="3"/>
    <d v="2025-08-21T00:00:00"/>
    <n v="812.62"/>
    <s v="Outright Gift"/>
    <x v="0"/>
    <x v="1"/>
    <s v="Credit Card"/>
    <s v="FY26"/>
    <n v="1"/>
    <n v="1"/>
    <n v="1"/>
    <s v="Retained/Active"/>
  </r>
  <r>
    <s v="TXN-10755"/>
    <s v="CON-7709"/>
    <x v="2"/>
    <d v="2024-03-29T00:00:00"/>
    <n v="149.81"/>
    <s v="Pledge Payment"/>
    <x v="0"/>
    <x v="1"/>
    <s v="Stock Transfer"/>
    <s v="FY24"/>
    <n v="1"/>
    <n v="1"/>
    <n v="1"/>
    <s v="Retained/Active"/>
  </r>
  <r>
    <s v="TXN-10756"/>
    <s v="CON-4506"/>
    <x v="0"/>
    <d v="2026-01-21T00:00:00"/>
    <n v="197.66"/>
    <s v="Recurring Gift"/>
    <x v="0"/>
    <x v="1"/>
    <s v="Check"/>
    <s v="FY26"/>
    <n v="1"/>
    <n v="0"/>
    <n v="1"/>
    <s v="Retained/Active"/>
  </r>
  <r>
    <s v="TXN-10757"/>
    <s v="CON-7617"/>
    <x v="0"/>
    <d v="2023-12-30T00:00:00"/>
    <n v="15"/>
    <s v="Outright Gift"/>
    <x v="0"/>
    <x v="3"/>
    <s v="Credit Card"/>
    <s v="FY24"/>
    <n v="1"/>
    <n v="1"/>
    <n v="1"/>
    <s v="Retained/Active"/>
  </r>
  <r>
    <s v="TXN-10758"/>
    <s v="CON-9155"/>
    <x v="0"/>
    <d v="2024-10-30T00:00:00"/>
    <n v="33.619999999999997"/>
    <s v="Outright Gift"/>
    <x v="0"/>
    <x v="1"/>
    <s v="Check"/>
    <s v="FY25"/>
    <n v="0"/>
    <n v="1"/>
    <n v="1"/>
    <s v="Retained/Active"/>
  </r>
  <r>
    <s v="TXN-10759"/>
    <s v="CON-6315"/>
    <x v="1"/>
    <d v="2025-10-23T00:00:00"/>
    <n v="15"/>
    <s v="Outright Gift"/>
    <x v="1"/>
    <x v="0"/>
    <s v="Credit Card"/>
    <s v="FY26"/>
    <n v="1"/>
    <n v="0"/>
    <n v="1"/>
    <s v="Retained/Active"/>
  </r>
  <r>
    <s v="TXN-10760"/>
    <s v="CON-7420"/>
    <x v="1"/>
    <d v="2023-11-01T00:00:00"/>
    <n v="255.8"/>
    <s v="Outright Gift"/>
    <x v="0"/>
    <x v="0"/>
    <s v="Credit Card"/>
    <s v="FY24"/>
    <n v="1"/>
    <n v="1"/>
    <n v="0"/>
    <s v="LYBUNT (Lapsed 1 Yr)"/>
  </r>
  <r>
    <s v="TXN-10761"/>
    <s v="CON-4242"/>
    <x v="3"/>
    <d v="2026-03-11T00:00:00"/>
    <n v="191.2"/>
    <s v="Outright Gift"/>
    <x v="0"/>
    <x v="0"/>
    <s v="Check"/>
    <s v="FY26"/>
    <n v="0"/>
    <n v="1"/>
    <n v="1"/>
    <s v="Retained/Active"/>
  </r>
  <r>
    <s v="TXN-10762"/>
    <s v="CON-9308"/>
    <x v="0"/>
    <d v="2025-08-28T00:00:00"/>
    <n v="182.66"/>
    <s v="Outright Gift"/>
    <x v="0"/>
    <x v="0"/>
    <s v="Credit Card"/>
    <s v="FY26"/>
    <n v="1"/>
    <n v="1"/>
    <n v="1"/>
    <s v="Retained/Active"/>
  </r>
  <r>
    <s v="TXN-10763"/>
    <s v="CON-5496"/>
    <x v="0"/>
    <d v="2024-08-17T00:00:00"/>
    <n v="38.630000000000003"/>
    <s v="Outright Gift"/>
    <x v="0"/>
    <x v="2"/>
    <s v="Credit Card"/>
    <s v="FY25"/>
    <n v="0"/>
    <n v="1"/>
    <n v="1"/>
    <s v="Retained/Active"/>
  </r>
  <r>
    <s v="TXN-10764"/>
    <s v="CON-5218"/>
    <x v="2"/>
    <d v="2025-05-16T00:00:00"/>
    <n v="34.299999999999997"/>
    <s v="Outright Gift"/>
    <x v="0"/>
    <x v="1"/>
    <s v="Credit Card"/>
    <s v="FY25"/>
    <n v="0"/>
    <n v="1"/>
    <n v="0"/>
    <s v="LYBUNT (Lapsed 1 Yr)"/>
  </r>
  <r>
    <s v="TXN-10765"/>
    <s v="CON-3327"/>
    <x v="2"/>
    <d v="2023-10-21T00:00:00"/>
    <n v="159.54"/>
    <s v="Outright Gift"/>
    <x v="0"/>
    <x v="1"/>
    <s v="EFT/ACH"/>
    <s v="FY24"/>
    <n v="1"/>
    <n v="0"/>
    <n v="1"/>
    <s v="Retained/Active"/>
  </r>
  <r>
    <s v="TXN-10766"/>
    <s v="CON-2495"/>
    <x v="1"/>
    <d v="2025-12-04T00:00:00"/>
    <n v="50.9"/>
    <s v="Outright Gift"/>
    <x v="0"/>
    <x v="2"/>
    <s v="Credit Card"/>
    <s v="FY26"/>
    <n v="1"/>
    <n v="1"/>
    <n v="1"/>
    <s v="Retained/Active"/>
  </r>
  <r>
    <s v="TXN-10767"/>
    <s v="CON-3047"/>
    <x v="3"/>
    <d v="2023-10-30T00:00:00"/>
    <n v="32.25"/>
    <s v="Outright Gift"/>
    <x v="0"/>
    <x v="2"/>
    <s v="EFT/ACH"/>
    <s v="FY24"/>
    <n v="1"/>
    <n v="1"/>
    <n v="1"/>
    <s v="Retained/Active"/>
  </r>
  <r>
    <s v="TXN-10768"/>
    <s v="CON-9958"/>
    <x v="1"/>
    <d v="2023-08-08T00:00:00"/>
    <n v="62.75"/>
    <s v="Outright Gift"/>
    <x v="0"/>
    <x v="0"/>
    <s v="EFT/ACH"/>
    <s v="FY24"/>
    <n v="1"/>
    <n v="1"/>
    <n v="0"/>
    <s v="LYBUNT (Lapsed 1 Yr)"/>
  </r>
  <r>
    <s v="TXN-10769"/>
    <s v="CON-9338"/>
    <x v="2"/>
    <d v="2024-11-08T00:00:00"/>
    <n v="51.47"/>
    <s v="Outright Gift"/>
    <x v="0"/>
    <x v="3"/>
    <s v="Credit Card"/>
    <s v="FY25"/>
    <n v="1"/>
    <n v="1"/>
    <n v="1"/>
    <s v="Retained/Active"/>
  </r>
  <r>
    <s v="TXN-10770"/>
    <s v="CON-4051"/>
    <x v="3"/>
    <d v="2025-08-18T00:00:00"/>
    <n v="39.380000000000003"/>
    <s v="Outright Gift"/>
    <x v="0"/>
    <x v="0"/>
    <s v="EFT/ACH"/>
    <s v="FY26"/>
    <n v="1"/>
    <n v="0"/>
    <n v="1"/>
    <s v="Retained/Active"/>
  </r>
  <r>
    <s v="TXN-10771"/>
    <s v="CON-8280"/>
    <x v="2"/>
    <d v="2026-01-28T00:00:00"/>
    <n v="24.69"/>
    <s v="Outright Gift"/>
    <x v="0"/>
    <x v="0"/>
    <s v="Check"/>
    <s v="FY26"/>
    <n v="1"/>
    <n v="1"/>
    <n v="1"/>
    <s v="Retained/Active"/>
  </r>
  <r>
    <s v="TXN-10772"/>
    <s v="CON-4510"/>
    <x v="2"/>
    <d v="2023-11-26T00:00:00"/>
    <n v="217.74"/>
    <s v="Outright Gift"/>
    <x v="0"/>
    <x v="1"/>
    <s v="Credit Card"/>
    <s v="FY24"/>
    <n v="1"/>
    <n v="1"/>
    <n v="1"/>
    <s v="Retained/Active"/>
  </r>
  <r>
    <s v="TXN-10773"/>
    <s v="CON-1980"/>
    <x v="1"/>
    <d v="2026-04-17T00:00:00"/>
    <n v="918.61"/>
    <s v="Outright Gift"/>
    <x v="0"/>
    <x v="0"/>
    <s v="Credit Card"/>
    <s v="FY26"/>
    <n v="1"/>
    <n v="1"/>
    <n v="1"/>
    <s v="Retained/Active"/>
  </r>
  <r>
    <s v="TXN-10774"/>
    <s v="CON-2016"/>
    <x v="0"/>
    <d v="2025-04-21T00:00:00"/>
    <n v="115.5"/>
    <s v="Outright Gift"/>
    <x v="0"/>
    <x v="2"/>
    <s v="Credit Card"/>
    <s v="FY25"/>
    <n v="1"/>
    <n v="1"/>
    <n v="1"/>
    <s v="Retained/Active"/>
  </r>
  <r>
    <s v="TXN-10775"/>
    <s v="CON-2998"/>
    <x v="2"/>
    <d v="2024-04-27T00:00:00"/>
    <n v="162.25"/>
    <s v="Outright Gift"/>
    <x v="1"/>
    <x v="1"/>
    <s v="EFT/ACH"/>
    <s v="FY24"/>
    <n v="1"/>
    <n v="0"/>
    <n v="0"/>
    <s v="SYBUNT (Lapsed Multi-Yr)"/>
  </r>
  <r>
    <s v="TXN-10776"/>
    <s v="CON-4763"/>
    <x v="0"/>
    <d v="2024-02-23T00:00:00"/>
    <n v="244.03"/>
    <s v="Outright Gift"/>
    <x v="0"/>
    <x v="1"/>
    <s v="Check"/>
    <s v="FY24"/>
    <n v="1"/>
    <n v="1"/>
    <n v="1"/>
    <s v="Retained/Active"/>
  </r>
  <r>
    <s v="TXN-10777"/>
    <s v="CON-2853"/>
    <x v="3"/>
    <d v="2025-04-07T00:00:00"/>
    <n v="195.69"/>
    <s v="Pledge Payment"/>
    <x v="0"/>
    <x v="2"/>
    <s v="Credit Card"/>
    <s v="FY25"/>
    <n v="0"/>
    <n v="1"/>
    <n v="1"/>
    <s v="Retained/Active"/>
  </r>
  <r>
    <s v="TXN-10778"/>
    <s v="CON-2664"/>
    <x v="0"/>
    <d v="2025-04-23T00:00:00"/>
    <n v="40.409999999999997"/>
    <s v="Outright Gift"/>
    <x v="1"/>
    <x v="0"/>
    <s v="Credit Card"/>
    <s v="FY25"/>
    <n v="0"/>
    <n v="1"/>
    <n v="0"/>
    <s v="LYBUNT (Lapsed 1 Yr)"/>
  </r>
  <r>
    <s v="TXN-10779"/>
    <s v="CON-4152"/>
    <x v="0"/>
    <d v="2024-02-21T00:00:00"/>
    <n v="1136.5999999999999"/>
    <s v="Outright Gift"/>
    <x v="0"/>
    <x v="1"/>
    <s v="Credit Card"/>
    <s v="FY24"/>
    <n v="1"/>
    <n v="1"/>
    <n v="0"/>
    <s v="LYBUNT (Lapsed 1 Yr)"/>
  </r>
  <r>
    <s v="TXN-10780"/>
    <s v="CON-7457"/>
    <x v="0"/>
    <d v="2024-01-19T00:00:00"/>
    <n v="45.4"/>
    <s v="Recurring Gift"/>
    <x v="0"/>
    <x v="2"/>
    <s v="EFT/ACH"/>
    <s v="FY24"/>
    <n v="1"/>
    <n v="1"/>
    <n v="1"/>
    <s v="Retained/Active"/>
  </r>
  <r>
    <s v="TXN-10781"/>
    <s v="CON-3695"/>
    <x v="0"/>
    <d v="2024-03-12T00:00:00"/>
    <n v="282.17"/>
    <s v="Outright Gift"/>
    <x v="1"/>
    <x v="1"/>
    <s v="Credit Card"/>
    <s v="FY24"/>
    <n v="1"/>
    <n v="1"/>
    <n v="0"/>
    <s v="LYBUNT (Lapsed 1 Yr)"/>
  </r>
  <r>
    <s v="TXN-10782"/>
    <s v="CON-1830"/>
    <x v="2"/>
    <d v="2025-02-17T00:00:00"/>
    <n v="242.08"/>
    <s v="Outright Gift"/>
    <x v="0"/>
    <x v="3"/>
    <s v="Check"/>
    <s v="FY25"/>
    <n v="0"/>
    <n v="1"/>
    <n v="1"/>
    <s v="Retained/Active"/>
  </r>
  <r>
    <s v="TXN-10783"/>
    <s v="CON-4510"/>
    <x v="2"/>
    <d v="2025-04-22T00:00:00"/>
    <n v="15"/>
    <s v="Recurring Gift"/>
    <x v="0"/>
    <x v="1"/>
    <s v="Credit Card"/>
    <s v="FY25"/>
    <n v="1"/>
    <n v="1"/>
    <n v="1"/>
    <s v="Retained/Active"/>
  </r>
  <r>
    <s v="TXN-10784"/>
    <s v="CON-4748"/>
    <x v="2"/>
    <d v="2024-02-20T00:00:00"/>
    <n v="76.209999999999994"/>
    <s v="Recurring Gift"/>
    <x v="1"/>
    <x v="2"/>
    <s v="EFT/ACH"/>
    <s v="FY24"/>
    <n v="1"/>
    <n v="1"/>
    <n v="1"/>
    <s v="Retained/Active"/>
  </r>
  <r>
    <s v="TXN-10785"/>
    <s v="CON-3790"/>
    <x v="3"/>
    <d v="2024-12-15T00:00:00"/>
    <n v="130.79"/>
    <s v="Outright Gift"/>
    <x v="0"/>
    <x v="0"/>
    <s v="Credit Card"/>
    <s v="FY25"/>
    <n v="1"/>
    <n v="1"/>
    <n v="1"/>
    <s v="Retained/Active"/>
  </r>
  <r>
    <s v="TXN-10786"/>
    <s v="CON-4124"/>
    <x v="3"/>
    <d v="2025-11-06T00:00:00"/>
    <n v="144.47"/>
    <s v="Outright Gift"/>
    <x v="0"/>
    <x v="3"/>
    <s v="EFT/ACH"/>
    <s v="FY26"/>
    <n v="1"/>
    <n v="1"/>
    <n v="1"/>
    <s v="Retained/Active"/>
  </r>
  <r>
    <s v="TXN-10787"/>
    <s v="CON-2016"/>
    <x v="3"/>
    <d v="2025-08-08T00:00:00"/>
    <n v="179.8"/>
    <s v="Outright Gift"/>
    <x v="0"/>
    <x v="1"/>
    <s v="Credit Card"/>
    <s v="FY26"/>
    <n v="1"/>
    <n v="1"/>
    <n v="1"/>
    <s v="Retained/Active"/>
  </r>
  <r>
    <s v="TXN-10788"/>
    <s v="CON-7287"/>
    <x v="1"/>
    <d v="2024-12-22T00:00:00"/>
    <n v="325.37"/>
    <s v="Outright Gift"/>
    <x v="0"/>
    <x v="2"/>
    <s v="EFT/ACH"/>
    <s v="FY25"/>
    <n v="1"/>
    <n v="1"/>
    <n v="0"/>
    <s v="LYBUNT (Lapsed 1 Yr)"/>
  </r>
  <r>
    <s v="TXN-10789"/>
    <s v="CON-9311"/>
    <x v="2"/>
    <d v="2024-01-29T00:00:00"/>
    <n v="120.33"/>
    <s v="Outright Gift"/>
    <x v="0"/>
    <x v="0"/>
    <s v="Credit Card"/>
    <s v="FY24"/>
    <n v="1"/>
    <n v="1"/>
    <n v="1"/>
    <s v="Retained/Active"/>
  </r>
  <r>
    <s v="TXN-10790"/>
    <s v="CON-4152"/>
    <x v="1"/>
    <d v="2024-10-05T00:00:00"/>
    <n v="192.67"/>
    <s v="Outright Gift"/>
    <x v="0"/>
    <x v="0"/>
    <s v="Credit Card"/>
    <s v="FY25"/>
    <n v="1"/>
    <n v="1"/>
    <n v="0"/>
    <s v="LYBUNT (Lapsed 1 Yr)"/>
  </r>
  <r>
    <s v="TXN-10791"/>
    <s v="CON-5495"/>
    <x v="1"/>
    <d v="2024-09-08T00:00:00"/>
    <n v="114.61"/>
    <s v="Outright Gift"/>
    <x v="1"/>
    <x v="0"/>
    <s v="Credit Card"/>
    <s v="FY25"/>
    <n v="0"/>
    <n v="1"/>
    <n v="0"/>
    <s v="LYBUNT (Lapsed 1 Yr)"/>
  </r>
  <r>
    <s v="TXN-10792"/>
    <s v="CON-7893"/>
    <x v="2"/>
    <d v="2024-04-08T00:00:00"/>
    <n v="32.380000000000003"/>
    <s v="Recurring Gift"/>
    <x v="1"/>
    <x v="2"/>
    <s v="EFT/ACH"/>
    <s v="FY24"/>
    <n v="1"/>
    <n v="1"/>
    <n v="1"/>
    <s v="Retained/Active"/>
  </r>
  <r>
    <s v="TXN-10793"/>
    <s v="CON-4170"/>
    <x v="0"/>
    <d v="2023-09-26T00:00:00"/>
    <n v="126.74"/>
    <s v="Estate/Planned Gift"/>
    <x v="1"/>
    <x v="4"/>
    <s v="Credit Card"/>
    <s v="FY24"/>
    <n v="1"/>
    <n v="1"/>
    <n v="1"/>
    <s v="Retained/Active"/>
  </r>
  <r>
    <s v="TXN-10794"/>
    <s v="CON-7776"/>
    <x v="1"/>
    <d v="2024-10-03T00:00:00"/>
    <n v="321.76"/>
    <s v="Outright Gift"/>
    <x v="0"/>
    <x v="1"/>
    <s v="Credit Card"/>
    <s v="FY25"/>
    <n v="1"/>
    <n v="1"/>
    <n v="1"/>
    <s v="Retained/Active"/>
  </r>
  <r>
    <s v="TXN-10795"/>
    <s v="CON-1262"/>
    <x v="1"/>
    <d v="2024-04-03T00:00:00"/>
    <n v="513.59"/>
    <s v="Pledge Payment"/>
    <x v="0"/>
    <x v="1"/>
    <s v="Check"/>
    <s v="FY24"/>
    <n v="1"/>
    <n v="1"/>
    <n v="1"/>
    <s v="Retained/Active"/>
  </r>
  <r>
    <s v="TXN-10796"/>
    <s v="CON-5070"/>
    <x v="1"/>
    <d v="2024-08-24T00:00:00"/>
    <n v="244.33"/>
    <s v="Outright Gift"/>
    <x v="1"/>
    <x v="3"/>
    <s v="Check"/>
    <s v="FY25"/>
    <n v="1"/>
    <n v="1"/>
    <n v="1"/>
    <s v="Retained/Active"/>
  </r>
  <r>
    <s v="TXN-10797"/>
    <s v="CON-9120"/>
    <x v="4"/>
    <d v="2025-05-26T00:00:00"/>
    <n v="688.6"/>
    <s v="Recurring Gift"/>
    <x v="1"/>
    <x v="1"/>
    <s v="Credit Card"/>
    <s v="FY25"/>
    <n v="0"/>
    <n v="1"/>
    <n v="0"/>
    <s v="LYBUNT (Lapsed 1 Yr)"/>
  </r>
  <r>
    <s v="TXN-10798"/>
    <s v="CON-9716"/>
    <x v="1"/>
    <d v="2024-11-26T00:00:00"/>
    <n v="209.46"/>
    <s v="Outright Gift"/>
    <x v="0"/>
    <x v="4"/>
    <s v="EFT/ACH"/>
    <s v="FY25"/>
    <n v="1"/>
    <n v="1"/>
    <n v="1"/>
    <s v="Retained/Active"/>
  </r>
  <r>
    <s v="TXN-10799"/>
    <s v="CON-8734"/>
    <x v="1"/>
    <d v="2025-06-02T00:00:00"/>
    <n v="373.55"/>
    <s v="Outright Gift"/>
    <x v="0"/>
    <x v="2"/>
    <s v="Credit Card"/>
    <s v="FY25"/>
    <n v="0"/>
    <n v="1"/>
    <n v="0"/>
    <s v="LYBUNT (Lapsed 1 Yr)"/>
  </r>
  <r>
    <s v="TXN-10800"/>
    <s v="CON-2291"/>
    <x v="0"/>
    <d v="2023-07-19T00:00:00"/>
    <n v="411.01"/>
    <s v="Outright Gift"/>
    <x v="0"/>
    <x v="2"/>
    <s v="EFT/ACH"/>
    <s v="FY24"/>
    <n v="1"/>
    <n v="1"/>
    <n v="1"/>
    <s v="Retained/Active"/>
  </r>
  <r>
    <s v="TXN-10801"/>
    <s v="CON-1980"/>
    <x v="0"/>
    <d v="2023-07-23T00:00:00"/>
    <n v="90.89"/>
    <s v="Outright Gift"/>
    <x v="0"/>
    <x v="1"/>
    <s v="Check"/>
    <s v="FY24"/>
    <n v="1"/>
    <n v="1"/>
    <n v="1"/>
    <s v="Retained/Active"/>
  </r>
  <r>
    <s v="TXN-10802"/>
    <s v="CON-1154"/>
    <x v="4"/>
    <d v="2024-08-16T00:00:00"/>
    <n v="312.25"/>
    <s v="Outright Gift"/>
    <x v="0"/>
    <x v="1"/>
    <s v="Credit Card"/>
    <s v="FY25"/>
    <n v="1"/>
    <n v="1"/>
    <n v="0"/>
    <s v="LYBUNT (Lapsed 1 Yr)"/>
  </r>
  <r>
    <s v="TXN-10803"/>
    <s v="CON-3975"/>
    <x v="1"/>
    <d v="2023-10-16T00:00:00"/>
    <n v="35.770000000000003"/>
    <s v="Pledge Payment"/>
    <x v="1"/>
    <x v="2"/>
    <s v="EFT/ACH"/>
    <s v="FY24"/>
    <n v="1"/>
    <n v="1"/>
    <n v="1"/>
    <s v="Retained/Active"/>
  </r>
  <r>
    <s v="TXN-10804"/>
    <s v="CON-9901"/>
    <x v="0"/>
    <d v="2023-11-13T00:00:00"/>
    <n v="191.47"/>
    <s v="Pledge Payment"/>
    <x v="0"/>
    <x v="4"/>
    <s v="Credit Card"/>
    <s v="FY24"/>
    <n v="1"/>
    <n v="0"/>
    <n v="1"/>
    <s v="Retained/Active"/>
  </r>
  <r>
    <s v="TXN-10805"/>
    <s v="CON-5555"/>
    <x v="2"/>
    <d v="2024-06-26T00:00:00"/>
    <n v="257.27"/>
    <s v="Outright Gift"/>
    <x v="0"/>
    <x v="4"/>
    <s v="EFT/ACH"/>
    <s v="FY24"/>
    <n v="1"/>
    <n v="1"/>
    <n v="1"/>
    <s v="Retained/Active"/>
  </r>
  <r>
    <s v="TXN-10806"/>
    <s v="CON-2184"/>
    <x v="4"/>
    <d v="2023-11-06T00:00:00"/>
    <n v="476.48"/>
    <s v="Outright Gift"/>
    <x v="0"/>
    <x v="1"/>
    <s v="EFT/ACH"/>
    <s v="FY24"/>
    <n v="1"/>
    <n v="1"/>
    <n v="1"/>
    <s v="Retained/Active"/>
  </r>
  <r>
    <s v="TXN-10807"/>
    <s v="CON-7893"/>
    <x v="2"/>
    <d v="2024-11-26T00:00:00"/>
    <n v="353.18"/>
    <s v="Outright Gift"/>
    <x v="0"/>
    <x v="1"/>
    <s v="Check"/>
    <s v="FY25"/>
    <n v="1"/>
    <n v="1"/>
    <n v="1"/>
    <s v="Retained/Active"/>
  </r>
  <r>
    <s v="TXN-10808"/>
    <s v="CON-3062"/>
    <x v="3"/>
    <d v="2024-09-21T00:00:00"/>
    <n v="484.61"/>
    <s v="Recurring Gift"/>
    <x v="0"/>
    <x v="1"/>
    <s v="Credit Card"/>
    <s v="FY25"/>
    <n v="1"/>
    <n v="1"/>
    <n v="1"/>
    <s v="Retained/Active"/>
  </r>
  <r>
    <s v="TXN-10809"/>
    <s v="CON-2081"/>
    <x v="1"/>
    <d v="2025-11-20T00:00:00"/>
    <n v="106.78"/>
    <s v="Recurring Gift"/>
    <x v="0"/>
    <x v="3"/>
    <s v="Credit Card"/>
    <s v="FY26"/>
    <n v="1"/>
    <n v="1"/>
    <n v="1"/>
    <s v="Retained/Active"/>
  </r>
  <r>
    <s v="TXN-10810"/>
    <s v="CON-6535"/>
    <x v="0"/>
    <d v="2024-10-15T00:00:00"/>
    <n v="77.56"/>
    <s v="Estate/Planned Gift"/>
    <x v="0"/>
    <x v="1"/>
    <s v="Credit Card"/>
    <s v="FY25"/>
    <n v="0"/>
    <n v="1"/>
    <n v="0"/>
    <s v="LYBUNT (Lapsed 1 Yr)"/>
  </r>
  <r>
    <s v="TXN-10811"/>
    <s v="CON-3811"/>
    <x v="0"/>
    <d v="2026-04-29T00:00:00"/>
    <n v="85"/>
    <s v="Recurring Gift"/>
    <x v="0"/>
    <x v="1"/>
    <s v="Stock Transfer"/>
    <s v="FY26"/>
    <n v="1"/>
    <n v="1"/>
    <n v="1"/>
    <s v="Retained/Active"/>
  </r>
  <r>
    <s v="TXN-10812"/>
    <s v="CON-8721"/>
    <x v="3"/>
    <d v="2024-04-27T00:00:00"/>
    <n v="171.77"/>
    <s v="Outright Gift"/>
    <x v="0"/>
    <x v="1"/>
    <s v="EFT/ACH"/>
    <s v="FY24"/>
    <n v="1"/>
    <n v="0"/>
    <n v="1"/>
    <s v="Retained/Active"/>
  </r>
  <r>
    <s v="TXN-10813"/>
    <s v="CON-8035"/>
    <x v="1"/>
    <d v="2024-02-16T00:00:00"/>
    <n v="15"/>
    <s v="Outright Gift"/>
    <x v="0"/>
    <x v="1"/>
    <s v="EFT/ACH"/>
    <s v="FY24"/>
    <n v="1"/>
    <n v="0"/>
    <n v="0"/>
    <s v="SYBUNT (Lapsed Multi-Yr)"/>
  </r>
  <r>
    <s v="TXN-10814"/>
    <s v="CON-8158"/>
    <x v="1"/>
    <d v="2026-01-08T00:00:00"/>
    <n v="686.28"/>
    <s v="Outright Gift"/>
    <x v="0"/>
    <x v="4"/>
    <s v="Credit Card"/>
    <s v="FY26"/>
    <n v="1"/>
    <n v="0"/>
    <n v="1"/>
    <s v="Retained/Active"/>
  </r>
  <r>
    <s v="TXN-10815"/>
    <s v="CON-1854"/>
    <x v="0"/>
    <d v="2026-01-22T00:00:00"/>
    <n v="128.63999999999999"/>
    <s v="Recurring Gift"/>
    <x v="1"/>
    <x v="0"/>
    <s v="Check"/>
    <s v="FY26"/>
    <n v="0"/>
    <n v="1"/>
    <n v="1"/>
    <s v="Retained/Active"/>
  </r>
  <r>
    <s v="TXN-10816"/>
    <s v="CON-7971"/>
    <x v="1"/>
    <d v="2023-10-20T00:00:00"/>
    <n v="70.849999999999994"/>
    <s v="Outright Gift"/>
    <x v="0"/>
    <x v="1"/>
    <s v="Check"/>
    <s v="FY24"/>
    <n v="1"/>
    <n v="1"/>
    <n v="1"/>
    <s v="Retained/Active"/>
  </r>
  <r>
    <s v="TXN-10817"/>
    <s v="CON-4157"/>
    <x v="1"/>
    <d v="2026-05-02T00:00:00"/>
    <n v="15"/>
    <s v="Outright Gift"/>
    <x v="0"/>
    <x v="1"/>
    <s v="EFT/ACH"/>
    <s v="FY26"/>
    <n v="1"/>
    <n v="1"/>
    <n v="1"/>
    <s v="Retained/Active"/>
  </r>
  <r>
    <s v="TXN-10818"/>
    <s v="CON-2679"/>
    <x v="4"/>
    <d v="2024-11-11T00:00:00"/>
    <n v="115.83"/>
    <s v="Recurring Gift"/>
    <x v="0"/>
    <x v="1"/>
    <s v="Credit Card"/>
    <s v="FY25"/>
    <n v="1"/>
    <n v="1"/>
    <n v="1"/>
    <s v="Retained/Active"/>
  </r>
  <r>
    <s v="TXN-10819"/>
    <s v="CON-5893"/>
    <x v="0"/>
    <d v="2026-01-17T00:00:00"/>
    <n v="93.88"/>
    <s v="Outright Gift"/>
    <x v="1"/>
    <x v="1"/>
    <s v="Credit Card"/>
    <s v="FY26"/>
    <n v="1"/>
    <n v="1"/>
    <n v="1"/>
    <s v="Retained/Active"/>
  </r>
  <r>
    <s v="TXN-10820"/>
    <s v="CON-4843"/>
    <x v="2"/>
    <d v="2025-02-17T00:00:00"/>
    <n v="37.86"/>
    <s v="Outright Gift"/>
    <x v="0"/>
    <x v="1"/>
    <s v="EFT/ACH"/>
    <s v="FY25"/>
    <n v="0"/>
    <n v="1"/>
    <n v="0"/>
    <s v="LYBUNT (Lapsed 1 Yr)"/>
  </r>
  <r>
    <s v="TXN-10821"/>
    <s v="CON-5752"/>
    <x v="2"/>
    <d v="2024-02-19T00:00:00"/>
    <n v="50.66"/>
    <s v="Pledge Payment"/>
    <x v="0"/>
    <x v="2"/>
    <s v="EFT/ACH"/>
    <s v="FY24"/>
    <n v="1"/>
    <n v="1"/>
    <n v="1"/>
    <s v="Retained/Active"/>
  </r>
  <r>
    <s v="TXN-10822"/>
    <s v="CON-7668"/>
    <x v="0"/>
    <d v="2025-02-21T00:00:00"/>
    <n v="117.37"/>
    <s v="Outright Gift"/>
    <x v="0"/>
    <x v="1"/>
    <s v="Credit Card"/>
    <s v="FY25"/>
    <n v="0"/>
    <n v="1"/>
    <n v="0"/>
    <s v="LYBUNT (Lapsed 1 Yr)"/>
  </r>
  <r>
    <s v="TXN-10823"/>
    <s v="CON-2184"/>
    <x v="1"/>
    <d v="2024-05-09T00:00:00"/>
    <n v="56.56"/>
    <s v="Outright Gift"/>
    <x v="0"/>
    <x v="1"/>
    <s v="EFT/ACH"/>
    <s v="FY24"/>
    <n v="1"/>
    <n v="1"/>
    <n v="1"/>
    <s v="Retained/Active"/>
  </r>
  <r>
    <s v="TXN-10824"/>
    <s v="CON-6600"/>
    <x v="1"/>
    <d v="2025-01-16T00:00:00"/>
    <n v="255.56"/>
    <s v="Pledge Payment"/>
    <x v="1"/>
    <x v="0"/>
    <s v="Credit Card"/>
    <s v="FY25"/>
    <n v="1"/>
    <n v="1"/>
    <n v="0"/>
    <s v="LYBUNT (Lapsed 1 Yr)"/>
  </r>
  <r>
    <s v="TXN-10825"/>
    <s v="CON-3838"/>
    <x v="0"/>
    <d v="2026-05-01T00:00:00"/>
    <n v="45.91"/>
    <s v="Pledge Payment"/>
    <x v="0"/>
    <x v="2"/>
    <s v="EFT/ACH"/>
    <s v="FY26"/>
    <n v="1"/>
    <n v="0"/>
    <n v="1"/>
    <s v="Retained/Active"/>
  </r>
  <r>
    <s v="TXN-10826"/>
    <s v="CON-2636"/>
    <x v="2"/>
    <d v="2024-01-25T00:00:00"/>
    <n v="148.56"/>
    <s v="Estate/Planned Gift"/>
    <x v="0"/>
    <x v="0"/>
    <s v="Credit Card"/>
    <s v="FY24"/>
    <n v="1"/>
    <n v="0"/>
    <n v="1"/>
    <s v="Retained/Active"/>
  </r>
  <r>
    <s v="TXN-10827"/>
    <s v="CON-1580"/>
    <x v="0"/>
    <d v="2026-05-03T00:00:00"/>
    <n v="563.44000000000005"/>
    <s v="Outright Gift"/>
    <x v="0"/>
    <x v="2"/>
    <s v="Credit Card"/>
    <s v="FY26"/>
    <n v="0"/>
    <n v="1"/>
    <n v="1"/>
    <s v="Retained/Active"/>
  </r>
  <r>
    <s v="TXN-10828"/>
    <s v="CON-7736"/>
    <x v="1"/>
    <d v="2026-05-09T00:00:00"/>
    <n v="115.86"/>
    <s v="Outright Gift"/>
    <x v="1"/>
    <x v="0"/>
    <s v="Credit Card"/>
    <s v="FY26"/>
    <n v="0"/>
    <n v="1"/>
    <n v="1"/>
    <s v="Retained/Active"/>
  </r>
  <r>
    <s v="TXN-10829"/>
    <s v="CON-4843"/>
    <x v="0"/>
    <d v="2025-02-06T00:00:00"/>
    <n v="193.02"/>
    <s v="Pledge Payment"/>
    <x v="0"/>
    <x v="2"/>
    <s v="Credit Card"/>
    <s v="FY25"/>
    <n v="0"/>
    <n v="1"/>
    <n v="0"/>
    <s v="LYBUNT (Lapsed 1 Yr)"/>
  </r>
  <r>
    <s v="TXN-10830"/>
    <s v="CON-2184"/>
    <x v="4"/>
    <d v="2026-04-10T00:00:00"/>
    <n v="177.76"/>
    <s v="Outright Gift"/>
    <x v="0"/>
    <x v="1"/>
    <s v="Credit Card"/>
    <s v="FY26"/>
    <n v="1"/>
    <n v="1"/>
    <n v="1"/>
    <s v="Retained/Active"/>
  </r>
  <r>
    <s v="TXN-10831"/>
    <s v="CON-1202"/>
    <x v="3"/>
    <d v="2025-05-28T00:00:00"/>
    <n v="122.78"/>
    <s v="Outright Gift"/>
    <x v="0"/>
    <x v="4"/>
    <s v="Check"/>
    <s v="FY25"/>
    <n v="1"/>
    <n v="1"/>
    <n v="0"/>
    <s v="LYBUNT (Lapsed 1 Yr)"/>
  </r>
  <r>
    <s v="TXN-10832"/>
    <s v="CON-7617"/>
    <x v="3"/>
    <d v="2023-11-09T00:00:00"/>
    <n v="111.37"/>
    <s v="Pledge Payment"/>
    <x v="0"/>
    <x v="1"/>
    <s v="Credit Card"/>
    <s v="FY24"/>
    <n v="1"/>
    <n v="1"/>
    <n v="1"/>
    <s v="Retained/Active"/>
  </r>
  <r>
    <s v="TXN-10833"/>
    <s v="CON-1876"/>
    <x v="3"/>
    <d v="2026-05-09T00:00:00"/>
    <n v="57.81"/>
    <s v="Outright Gift"/>
    <x v="0"/>
    <x v="0"/>
    <s v="Credit Card"/>
    <s v="FY26"/>
    <n v="1"/>
    <n v="1"/>
    <n v="1"/>
    <s v="Retained/Active"/>
  </r>
  <r>
    <s v="TXN-10834"/>
    <s v="CON-5426"/>
    <x v="0"/>
    <d v="2024-12-17T00:00:00"/>
    <n v="147.87"/>
    <s v="Outright Gift"/>
    <x v="0"/>
    <x v="2"/>
    <s v="Credit Card"/>
    <s v="FY25"/>
    <n v="0"/>
    <n v="1"/>
    <n v="1"/>
    <s v="Retained/Active"/>
  </r>
  <r>
    <s v="TXN-10835"/>
    <s v="CON-3950"/>
    <x v="3"/>
    <d v="2026-04-09T00:00:00"/>
    <n v="84.08"/>
    <s v="Outright Gift"/>
    <x v="0"/>
    <x v="0"/>
    <s v="Credit Card"/>
    <s v="FY26"/>
    <n v="0"/>
    <n v="1"/>
    <n v="1"/>
    <s v="Retained/Active"/>
  </r>
  <r>
    <s v="TXN-10836"/>
    <s v="CON-6801"/>
    <x v="1"/>
    <d v="2024-02-12T00:00:00"/>
    <n v="906.8"/>
    <s v="Outright Gift"/>
    <x v="1"/>
    <x v="4"/>
    <s v="Credit Card"/>
    <s v="FY24"/>
    <n v="1"/>
    <n v="0"/>
    <n v="1"/>
    <s v="Retained/Active"/>
  </r>
  <r>
    <s v="TXN-10837"/>
    <s v="CON-5911"/>
    <x v="2"/>
    <d v="2025-09-29T00:00:00"/>
    <n v="348.8"/>
    <s v="Outright Gift"/>
    <x v="0"/>
    <x v="0"/>
    <s v="Credit Card"/>
    <s v="FY26"/>
    <n v="0"/>
    <n v="1"/>
    <n v="1"/>
    <s v="Retained/Active"/>
  </r>
  <r>
    <s v="TXN-10838"/>
    <s v="CON-5780"/>
    <x v="2"/>
    <d v="2025-11-17T00:00:00"/>
    <n v="18.38"/>
    <s v="Outright Gift"/>
    <x v="0"/>
    <x v="3"/>
    <s v="EFT/ACH"/>
    <s v="FY26"/>
    <n v="1"/>
    <n v="0"/>
    <n v="1"/>
    <s v="Retained/Active"/>
  </r>
  <r>
    <s v="TXN-10839"/>
    <s v="CON-4446"/>
    <x v="1"/>
    <d v="2024-08-08T00:00:00"/>
    <n v="19.760000000000002"/>
    <s v="Pledge Payment"/>
    <x v="0"/>
    <x v="3"/>
    <s v="Credit Card"/>
    <s v="FY25"/>
    <n v="1"/>
    <n v="1"/>
    <n v="0"/>
    <s v="LYBUNT (Lapsed 1 Yr)"/>
  </r>
  <r>
    <s v="TXN-10840"/>
    <s v="CON-7002"/>
    <x v="3"/>
    <d v="2024-01-18T00:00:00"/>
    <n v="102.56"/>
    <s v="Recurring Gift"/>
    <x v="0"/>
    <x v="4"/>
    <s v="EFT/ACH"/>
    <s v="FY24"/>
    <n v="1"/>
    <n v="1"/>
    <n v="0"/>
    <s v="LYBUNT (Lapsed 1 Yr)"/>
  </r>
  <r>
    <s v="TXN-10841"/>
    <s v="CON-2021"/>
    <x v="4"/>
    <d v="2023-08-07T00:00:00"/>
    <n v="72.680000000000007"/>
    <s v="Outright Gift"/>
    <x v="0"/>
    <x v="4"/>
    <s v="Credit Card"/>
    <s v="FY24"/>
    <n v="1"/>
    <n v="1"/>
    <n v="0"/>
    <s v="LYBUNT (Lapsed 1 Yr)"/>
  </r>
  <r>
    <s v="TXN-10842"/>
    <s v="CON-7015"/>
    <x v="0"/>
    <d v="2026-01-27T00:00:00"/>
    <n v="95.76"/>
    <s v="Outright Gift"/>
    <x v="0"/>
    <x v="3"/>
    <s v="Credit Card"/>
    <s v="FY26"/>
    <n v="1"/>
    <n v="0"/>
    <n v="1"/>
    <s v="Retained/Active"/>
  </r>
  <r>
    <s v="TXN-10843"/>
    <s v="CON-5973"/>
    <x v="3"/>
    <d v="2024-01-04T00:00:00"/>
    <n v="283.3"/>
    <s v="Outright Gift"/>
    <x v="0"/>
    <x v="2"/>
    <s v="Credit Card"/>
    <s v="FY24"/>
    <n v="1"/>
    <n v="1"/>
    <n v="1"/>
    <s v="Retained/Active"/>
  </r>
  <r>
    <s v="TXN-10844"/>
    <s v="CON-7197"/>
    <x v="1"/>
    <d v="2026-01-26T00:00:00"/>
    <n v="183.18"/>
    <s v="Outright Gift"/>
    <x v="0"/>
    <x v="0"/>
    <s v="Check"/>
    <s v="FY26"/>
    <n v="0"/>
    <n v="1"/>
    <n v="1"/>
    <s v="Retained/Active"/>
  </r>
  <r>
    <s v="TXN-10845"/>
    <s v="CON-7863"/>
    <x v="2"/>
    <d v="2026-05-09T00:00:00"/>
    <n v="180.79"/>
    <s v="Pledge Payment"/>
    <x v="0"/>
    <x v="1"/>
    <s v="EFT/ACH"/>
    <s v="FY26"/>
    <n v="0"/>
    <n v="1"/>
    <n v="1"/>
    <s v="Retained/Active"/>
  </r>
  <r>
    <s v="TXN-10846"/>
    <s v="CON-4943"/>
    <x v="0"/>
    <d v="2024-03-29T00:00:00"/>
    <n v="796.36"/>
    <s v="Pledge Payment"/>
    <x v="1"/>
    <x v="2"/>
    <s v="EFT/ACH"/>
    <s v="FY24"/>
    <n v="1"/>
    <n v="0"/>
    <n v="1"/>
    <s v="Retained/Active"/>
  </r>
  <r>
    <s v="TXN-10847"/>
    <s v="CON-3454"/>
    <x v="0"/>
    <d v="2025-02-02T00:00:00"/>
    <n v="19.97"/>
    <s v="Pledge Payment"/>
    <x v="0"/>
    <x v="4"/>
    <s v="Credit Card"/>
    <s v="FY25"/>
    <n v="1"/>
    <n v="1"/>
    <n v="0"/>
    <s v="LYBUNT (Lapsed 1 Yr)"/>
  </r>
  <r>
    <s v="TXN-10848"/>
    <s v="CON-4099"/>
    <x v="4"/>
    <d v="2024-11-27T00:00:00"/>
    <n v="139.09"/>
    <s v="Outright Gift"/>
    <x v="1"/>
    <x v="2"/>
    <s v="Check"/>
    <s v="FY25"/>
    <n v="1"/>
    <n v="1"/>
    <n v="0"/>
    <s v="LYBUNT (Lapsed 1 Yr)"/>
  </r>
  <r>
    <s v="TXN-10849"/>
    <s v="CON-5893"/>
    <x v="3"/>
    <d v="2024-12-07T00:00:00"/>
    <n v="57.24"/>
    <s v="Outright Gift"/>
    <x v="0"/>
    <x v="4"/>
    <s v="Credit Card"/>
    <s v="FY25"/>
    <n v="1"/>
    <n v="1"/>
    <n v="1"/>
    <s v="Retained/Active"/>
  </r>
  <r>
    <s v="TXN-10850"/>
    <s v="CON-9319"/>
    <x v="3"/>
    <d v="2024-05-31T00:00:00"/>
    <n v="785.3"/>
    <s v="Outright Gift"/>
    <x v="0"/>
    <x v="3"/>
    <s v="Credit Card"/>
    <s v="FY24"/>
    <n v="1"/>
    <n v="0"/>
    <n v="1"/>
    <s v="Retained/Active"/>
  </r>
  <r>
    <s v="TXN-10851"/>
    <s v="CON-8215"/>
    <x v="0"/>
    <d v="2025-05-28T00:00:00"/>
    <n v="15"/>
    <s v="Outright Gift"/>
    <x v="0"/>
    <x v="1"/>
    <s v="EFT/ACH"/>
    <s v="FY25"/>
    <n v="1"/>
    <n v="1"/>
    <n v="0"/>
    <s v="LYBUNT (Lapsed 1 Yr)"/>
  </r>
  <r>
    <s v="TXN-10852"/>
    <s v="CON-1391"/>
    <x v="4"/>
    <d v="2024-11-11T00:00:00"/>
    <n v="15"/>
    <s v="Pledge Payment"/>
    <x v="1"/>
    <x v="1"/>
    <s v="Credit Card"/>
    <s v="FY25"/>
    <n v="0"/>
    <n v="1"/>
    <n v="0"/>
    <s v="LYBUNT (Lapsed 1 Yr)"/>
  </r>
  <r>
    <s v="TXN-10853"/>
    <s v="CON-3062"/>
    <x v="1"/>
    <d v="2025-12-16T00:00:00"/>
    <n v="180.55"/>
    <s v="Estate/Planned Gift"/>
    <x v="0"/>
    <x v="1"/>
    <s v="Stock Transfer"/>
    <s v="FY26"/>
    <n v="1"/>
    <n v="1"/>
    <n v="1"/>
    <s v="Retained/Active"/>
  </r>
  <r>
    <s v="TXN-10854"/>
    <s v="CON-2184"/>
    <x v="3"/>
    <d v="2025-08-04T00:00:00"/>
    <n v="525.41"/>
    <s v="Outright Gift"/>
    <x v="0"/>
    <x v="1"/>
    <s v="Credit Card"/>
    <s v="FY26"/>
    <n v="1"/>
    <n v="1"/>
    <n v="1"/>
    <s v="Retained/Active"/>
  </r>
  <r>
    <s v="TXN-10855"/>
    <s v="CON-9755"/>
    <x v="0"/>
    <d v="2024-12-17T00:00:00"/>
    <n v="332.03"/>
    <s v="Pledge Payment"/>
    <x v="0"/>
    <x v="0"/>
    <s v="Stock Transfer"/>
    <s v="FY25"/>
    <n v="1"/>
    <n v="1"/>
    <n v="0"/>
    <s v="LYBUNT (Lapsed 1 Yr)"/>
  </r>
  <r>
    <s v="TXN-10856"/>
    <s v="CON-2686"/>
    <x v="1"/>
    <d v="2023-12-09T00:00:00"/>
    <n v="42.89"/>
    <s v="Outright Gift"/>
    <x v="0"/>
    <x v="4"/>
    <s v="EFT/ACH"/>
    <s v="FY24"/>
    <n v="1"/>
    <n v="1"/>
    <n v="1"/>
    <s v="Retained/Active"/>
  </r>
  <r>
    <s v="TXN-10857"/>
    <s v="CON-7905"/>
    <x v="2"/>
    <d v="2025-02-13T00:00:00"/>
    <n v="861.22"/>
    <s v="Outright Gift"/>
    <x v="0"/>
    <x v="2"/>
    <s v="EFT/ACH"/>
    <s v="FY25"/>
    <n v="1"/>
    <n v="1"/>
    <n v="0"/>
    <s v="LYBUNT (Lapsed 1 Yr)"/>
  </r>
  <r>
    <s v="TXN-10858"/>
    <s v="CON-5737"/>
    <x v="1"/>
    <d v="2023-12-06T00:00:00"/>
    <n v="24.51"/>
    <s v="Outright Gift"/>
    <x v="0"/>
    <x v="0"/>
    <s v="Credit Card"/>
    <s v="FY24"/>
    <n v="1"/>
    <n v="1"/>
    <n v="0"/>
    <s v="LYBUNT (Lapsed 1 Yr)"/>
  </r>
  <r>
    <s v="TXN-10859"/>
    <s v="CON-3327"/>
    <x v="1"/>
    <d v="2023-08-29T00:00:00"/>
    <n v="664.96"/>
    <s v="Outright Gift"/>
    <x v="0"/>
    <x v="1"/>
    <s v="Credit Card"/>
    <s v="FY24"/>
    <n v="1"/>
    <n v="0"/>
    <n v="1"/>
    <s v="Retained/Active"/>
  </r>
  <r>
    <s v="TXN-10860"/>
    <s v="CON-3849"/>
    <x v="0"/>
    <d v="2025-12-31T00:00:00"/>
    <n v="29.11"/>
    <s v="Outright Gift"/>
    <x v="0"/>
    <x v="1"/>
    <s v="Check"/>
    <s v="FY26"/>
    <n v="1"/>
    <n v="1"/>
    <n v="1"/>
    <s v="Retained/Active"/>
  </r>
  <r>
    <s v="TXN-10861"/>
    <s v="CON-8400"/>
    <x v="1"/>
    <d v="2024-01-27T00:00:00"/>
    <n v="76.91"/>
    <s v="Pledge Payment"/>
    <x v="0"/>
    <x v="0"/>
    <s v="Credit Card"/>
    <s v="FY24"/>
    <n v="1"/>
    <n v="1"/>
    <n v="1"/>
    <s v="Retained/Active"/>
  </r>
  <r>
    <s v="TXN-10862"/>
    <s v="CON-8206"/>
    <x v="1"/>
    <d v="2024-08-09T00:00:00"/>
    <n v="278.95"/>
    <s v="Recurring Gift"/>
    <x v="0"/>
    <x v="1"/>
    <s v="EFT/ACH"/>
    <s v="FY25"/>
    <n v="1"/>
    <n v="1"/>
    <n v="1"/>
    <s v="Retained/Active"/>
  </r>
  <r>
    <s v="TXN-10863"/>
    <s v="CON-1466"/>
    <x v="1"/>
    <d v="2025-04-24T00:00:00"/>
    <n v="18.059999999999999"/>
    <s v="Outright Gift"/>
    <x v="0"/>
    <x v="1"/>
    <s v="Stock Transfer"/>
    <s v="FY25"/>
    <n v="0"/>
    <n v="1"/>
    <n v="0"/>
    <s v="LYBUNT (Lapsed 1 Yr)"/>
  </r>
  <r>
    <s v="TXN-10864"/>
    <s v="CON-6919"/>
    <x v="0"/>
    <d v="2024-12-23T00:00:00"/>
    <n v="820.35"/>
    <s v="Outright Gift"/>
    <x v="1"/>
    <x v="0"/>
    <s v="Credit Card"/>
    <s v="FY25"/>
    <n v="1"/>
    <n v="1"/>
    <n v="1"/>
    <s v="Retained/Active"/>
  </r>
  <r>
    <s v="TXN-10865"/>
    <s v="CON-1225"/>
    <x v="1"/>
    <d v="2026-03-24T00:00:00"/>
    <n v="76.3"/>
    <s v="Recurring Gift"/>
    <x v="1"/>
    <x v="1"/>
    <s v="EFT/ACH"/>
    <s v="FY26"/>
    <n v="0"/>
    <n v="0"/>
    <n v="1"/>
    <s v="Retained/Active"/>
  </r>
  <r>
    <s v="TXN-10866"/>
    <s v="CON-8280"/>
    <x v="2"/>
    <d v="2026-01-12T00:00:00"/>
    <n v="145.25"/>
    <s v="Recurring Gift"/>
    <x v="1"/>
    <x v="4"/>
    <s v="EFT/ACH"/>
    <s v="FY26"/>
    <n v="1"/>
    <n v="1"/>
    <n v="1"/>
    <s v="Retained/Active"/>
  </r>
  <r>
    <s v="TXN-10867"/>
    <s v="CON-8994"/>
    <x v="1"/>
    <d v="2025-11-14T00:00:00"/>
    <n v="550.52"/>
    <s v="Pledge Payment"/>
    <x v="0"/>
    <x v="1"/>
    <s v="Credit Card"/>
    <s v="FY26"/>
    <n v="0"/>
    <n v="0"/>
    <n v="1"/>
    <s v="Retained/Active"/>
  </r>
  <r>
    <s v="TXN-10868"/>
    <s v="CON-6258"/>
    <x v="4"/>
    <d v="2023-07-19T00:00:00"/>
    <n v="43.33"/>
    <s v="Outright Gift"/>
    <x v="1"/>
    <x v="1"/>
    <s v="Credit Card"/>
    <s v="FY24"/>
    <n v="1"/>
    <n v="0"/>
    <n v="1"/>
    <s v="Retained/Active"/>
  </r>
  <r>
    <s v="TXN-10869"/>
    <s v="CON-5413"/>
    <x v="3"/>
    <d v="2024-09-04T00:00:00"/>
    <n v="482.54"/>
    <s v="Recurring Gift"/>
    <x v="0"/>
    <x v="1"/>
    <s v="Credit Card"/>
    <s v="FY25"/>
    <n v="0"/>
    <n v="1"/>
    <n v="1"/>
    <s v="Retained/Active"/>
  </r>
  <r>
    <s v="TXN-10870"/>
    <s v="CON-6977"/>
    <x v="0"/>
    <d v="2025-07-09T00:00:00"/>
    <n v="1025.25"/>
    <s v="Outright Gift"/>
    <x v="0"/>
    <x v="1"/>
    <s v="Credit Card"/>
    <s v="FY26"/>
    <n v="1"/>
    <n v="0"/>
    <n v="1"/>
    <s v="Retained/Active"/>
  </r>
  <r>
    <s v="TXN-10871"/>
    <s v="CON-8004"/>
    <x v="3"/>
    <d v="2023-12-30T00:00:00"/>
    <n v="51.82"/>
    <s v="Pledge Payment"/>
    <x v="0"/>
    <x v="2"/>
    <s v="EFT/ACH"/>
    <s v="FY24"/>
    <n v="1"/>
    <n v="0"/>
    <n v="1"/>
    <s v="Retained/Active"/>
  </r>
  <r>
    <s v="TXN-10872"/>
    <s v="CON-4890"/>
    <x v="3"/>
    <d v="2023-10-21T00:00:00"/>
    <n v="720.69"/>
    <s v="Outright Gift"/>
    <x v="0"/>
    <x v="2"/>
    <s v="Credit Card"/>
    <s v="FY24"/>
    <n v="1"/>
    <n v="1"/>
    <n v="0"/>
    <s v="LYBUNT (Lapsed 1 Yr)"/>
  </r>
  <r>
    <s v="TXN-10873"/>
    <s v="CON-1980"/>
    <x v="4"/>
    <d v="2024-10-23T00:00:00"/>
    <n v="15"/>
    <s v="Pledge Payment"/>
    <x v="1"/>
    <x v="0"/>
    <s v="Stock Transfer"/>
    <s v="FY25"/>
    <n v="1"/>
    <n v="1"/>
    <n v="1"/>
    <s v="Retained/Active"/>
  </r>
  <r>
    <s v="TXN-10874"/>
    <s v="CON-2930"/>
    <x v="2"/>
    <d v="2025-10-08T00:00:00"/>
    <n v="201.64"/>
    <s v="Outright Gift"/>
    <x v="0"/>
    <x v="2"/>
    <s v="Credit Card"/>
    <s v="FY26"/>
    <n v="0"/>
    <n v="1"/>
    <n v="1"/>
    <s v="Retained/Active"/>
  </r>
  <r>
    <s v="TXN-10875"/>
    <s v="CON-6463"/>
    <x v="1"/>
    <d v="2025-08-01T00:00:00"/>
    <n v="24.6"/>
    <s v="Outright Gift"/>
    <x v="0"/>
    <x v="0"/>
    <s v="EFT/ACH"/>
    <s v="FY26"/>
    <n v="0"/>
    <n v="1"/>
    <n v="1"/>
    <s v="Retained/Active"/>
  </r>
  <r>
    <s v="TXN-10876"/>
    <s v="CON-1860"/>
    <x v="2"/>
    <d v="2024-10-18T00:00:00"/>
    <n v="413.78"/>
    <s v="Outright Gift"/>
    <x v="0"/>
    <x v="2"/>
    <s v="EFT/ACH"/>
    <s v="FY25"/>
    <n v="0"/>
    <n v="1"/>
    <n v="0"/>
    <s v="LYBUNT (Lapsed 1 Yr)"/>
  </r>
  <r>
    <s v="TXN-10877"/>
    <s v="CON-2679"/>
    <x v="2"/>
    <d v="2025-08-01T00:00:00"/>
    <n v="371.89"/>
    <s v="Outright Gift"/>
    <x v="0"/>
    <x v="1"/>
    <s v="Credit Card"/>
    <s v="FY26"/>
    <n v="1"/>
    <n v="1"/>
    <n v="1"/>
    <s v="Retained/Active"/>
  </r>
  <r>
    <s v="TXN-10878"/>
    <s v="CON-4009"/>
    <x v="2"/>
    <d v="2026-02-25T00:00:00"/>
    <n v="1809.12"/>
    <s v="Pledge Payment"/>
    <x v="0"/>
    <x v="0"/>
    <s v="Credit Card"/>
    <s v="FY26"/>
    <n v="1"/>
    <n v="1"/>
    <n v="1"/>
    <s v="Retained/Active"/>
  </r>
  <r>
    <s v="TXN-10879"/>
    <s v="CON-2986"/>
    <x v="0"/>
    <d v="2026-04-15T00:00:00"/>
    <n v="770.98"/>
    <s v="Recurring Gift"/>
    <x v="0"/>
    <x v="2"/>
    <s v="EFT/ACH"/>
    <s v="FY26"/>
    <n v="1"/>
    <n v="1"/>
    <n v="1"/>
    <s v="Retained/Active"/>
  </r>
  <r>
    <s v="TXN-10880"/>
    <s v="CON-2685"/>
    <x v="3"/>
    <d v="2023-12-08T00:00:00"/>
    <n v="97.95"/>
    <s v="Estate/Planned Gift"/>
    <x v="1"/>
    <x v="3"/>
    <s v="Check"/>
    <s v="FY24"/>
    <n v="1"/>
    <n v="0"/>
    <n v="1"/>
    <s v="Retained/Active"/>
  </r>
  <r>
    <s v="TXN-10881"/>
    <s v="CON-3557"/>
    <x v="4"/>
    <d v="2024-08-04T00:00:00"/>
    <n v="29.78"/>
    <s v="Outright Gift"/>
    <x v="0"/>
    <x v="2"/>
    <s v="Credit Card"/>
    <s v="FY25"/>
    <n v="0"/>
    <n v="1"/>
    <n v="0"/>
    <s v="LYBUNT (Lapsed 1 Yr)"/>
  </r>
  <r>
    <s v="TXN-10882"/>
    <s v="CON-4506"/>
    <x v="1"/>
    <d v="2024-01-14T00:00:00"/>
    <n v="253.51"/>
    <s v="Pledge Payment"/>
    <x v="0"/>
    <x v="1"/>
    <s v="Credit Card"/>
    <s v="FY24"/>
    <n v="1"/>
    <n v="0"/>
    <n v="1"/>
    <s v="Retained/Active"/>
  </r>
  <r>
    <s v="TXN-10883"/>
    <s v="CON-8098"/>
    <x v="1"/>
    <d v="2025-04-20T00:00:00"/>
    <n v="112.29"/>
    <s v="Pledge Payment"/>
    <x v="0"/>
    <x v="1"/>
    <s v="Credit Card"/>
    <s v="FY25"/>
    <n v="1"/>
    <n v="1"/>
    <n v="1"/>
    <s v="Retained/Active"/>
  </r>
  <r>
    <s v="TXN-10884"/>
    <s v="CON-8408"/>
    <x v="1"/>
    <d v="2024-08-02T00:00:00"/>
    <n v="912.79"/>
    <s v="Outright Gift"/>
    <x v="0"/>
    <x v="4"/>
    <s v="Credit Card"/>
    <s v="FY25"/>
    <n v="1"/>
    <n v="1"/>
    <n v="0"/>
    <s v="LYBUNT (Lapsed 1 Yr)"/>
  </r>
  <r>
    <s v="TXN-10885"/>
    <s v="CON-6881"/>
    <x v="3"/>
    <d v="2023-09-16T00:00:00"/>
    <n v="15"/>
    <s v="Outright Gift"/>
    <x v="1"/>
    <x v="1"/>
    <s v="EFT/ACH"/>
    <s v="FY24"/>
    <n v="1"/>
    <n v="1"/>
    <n v="1"/>
    <s v="Retained/Active"/>
  </r>
  <r>
    <s v="TXN-10886"/>
    <s v="CON-4385"/>
    <x v="2"/>
    <d v="2023-11-01T00:00:00"/>
    <n v="2089.0700000000002"/>
    <s v="Pledge Payment"/>
    <x v="0"/>
    <x v="1"/>
    <s v="Check"/>
    <s v="FY24"/>
    <n v="1"/>
    <n v="1"/>
    <n v="0"/>
    <s v="LYBUNT (Lapsed 1 Yr)"/>
  </r>
  <r>
    <s v="TXN-10887"/>
    <s v="CON-6895"/>
    <x v="2"/>
    <d v="2023-09-13T00:00:00"/>
    <n v="242.64"/>
    <s v="Recurring Gift"/>
    <x v="0"/>
    <x v="1"/>
    <s v="Credit Card"/>
    <s v="FY24"/>
    <n v="1"/>
    <n v="1"/>
    <n v="1"/>
    <s v="Retained/Active"/>
  </r>
  <r>
    <s v="TXN-10888"/>
    <s v="CON-6854"/>
    <x v="0"/>
    <d v="2023-11-14T00:00:00"/>
    <n v="42.23"/>
    <s v="Pledge Payment"/>
    <x v="0"/>
    <x v="1"/>
    <s v="Stock Transfer"/>
    <s v="FY24"/>
    <n v="1"/>
    <n v="1"/>
    <n v="0"/>
    <s v="LYBUNT (Lapsed 1 Yr)"/>
  </r>
  <r>
    <s v="TXN-10889"/>
    <s v="CON-2045"/>
    <x v="2"/>
    <d v="2025-02-21T00:00:00"/>
    <n v="315.51"/>
    <s v="Outright Gift"/>
    <x v="0"/>
    <x v="1"/>
    <s v="Credit Card"/>
    <s v="FY25"/>
    <n v="0"/>
    <n v="1"/>
    <n v="1"/>
    <s v="Retained/Active"/>
  </r>
  <r>
    <s v="TXN-10890"/>
    <s v="CON-8158"/>
    <x v="0"/>
    <d v="2025-10-14T00:00:00"/>
    <n v="656.32"/>
    <s v="Outright Gift"/>
    <x v="0"/>
    <x v="0"/>
    <s v="EFT/ACH"/>
    <s v="FY26"/>
    <n v="1"/>
    <n v="0"/>
    <n v="1"/>
    <s v="Retained/Active"/>
  </r>
  <r>
    <s v="TXN-10891"/>
    <s v="CON-7484"/>
    <x v="0"/>
    <d v="2024-11-11T00:00:00"/>
    <n v="140.97999999999999"/>
    <s v="Outright Gift"/>
    <x v="0"/>
    <x v="0"/>
    <s v="Credit Card"/>
    <s v="FY25"/>
    <n v="0"/>
    <n v="1"/>
    <n v="1"/>
    <s v="Retained/Active"/>
  </r>
  <r>
    <s v="TXN-10892"/>
    <s v="CON-2154"/>
    <x v="3"/>
    <d v="2023-11-15T00:00:00"/>
    <n v="15"/>
    <s v="Pledge Payment"/>
    <x v="0"/>
    <x v="4"/>
    <s v="Credit Card"/>
    <s v="FY24"/>
    <n v="1"/>
    <n v="1"/>
    <n v="1"/>
    <s v="Retained/Active"/>
  </r>
  <r>
    <s v="TXN-10893"/>
    <s v="CON-4073"/>
    <x v="4"/>
    <d v="2023-08-19T00:00:00"/>
    <n v="82.93"/>
    <s v="Pledge Payment"/>
    <x v="0"/>
    <x v="1"/>
    <s v="Credit Card"/>
    <s v="FY24"/>
    <n v="1"/>
    <n v="1"/>
    <n v="1"/>
    <s v="Retained/Active"/>
  </r>
  <r>
    <s v="TXN-10894"/>
    <s v="CON-7799"/>
    <x v="4"/>
    <d v="2026-02-27T00:00:00"/>
    <n v="469.29"/>
    <s v="Outright Gift"/>
    <x v="0"/>
    <x v="1"/>
    <s v="Credit Card"/>
    <s v="FY26"/>
    <n v="1"/>
    <n v="0"/>
    <n v="1"/>
    <s v="Retained/Active"/>
  </r>
  <r>
    <s v="TXN-10895"/>
    <s v="CON-4124"/>
    <x v="4"/>
    <d v="2024-03-10T00:00:00"/>
    <n v="231.75"/>
    <s v="Recurring Gift"/>
    <x v="0"/>
    <x v="0"/>
    <s v="EFT/ACH"/>
    <s v="FY24"/>
    <n v="1"/>
    <n v="1"/>
    <n v="1"/>
    <s v="Retained/Active"/>
  </r>
  <r>
    <s v="TXN-10896"/>
    <s v="CON-9308"/>
    <x v="0"/>
    <d v="2025-06-09T00:00:00"/>
    <n v="99.14"/>
    <s v="Outright Gift"/>
    <x v="0"/>
    <x v="2"/>
    <s v="EFT/ACH"/>
    <s v="FY25"/>
    <n v="1"/>
    <n v="1"/>
    <n v="1"/>
    <s v="Retained/Active"/>
  </r>
  <r>
    <s v="TXN-10897"/>
    <s v="CON-1606"/>
    <x v="0"/>
    <d v="2025-01-13T00:00:00"/>
    <n v="665.68"/>
    <s v="Estate/Planned Gift"/>
    <x v="0"/>
    <x v="0"/>
    <s v="Credit Card"/>
    <s v="FY25"/>
    <n v="0"/>
    <n v="1"/>
    <n v="0"/>
    <s v="LYBUNT (Lapsed 1 Yr)"/>
  </r>
  <r>
    <s v="TXN-10898"/>
    <s v="CON-3568"/>
    <x v="2"/>
    <d v="2025-07-26T00:00:00"/>
    <n v="317.7"/>
    <s v="Outright Gift"/>
    <x v="1"/>
    <x v="3"/>
    <s v="Check"/>
    <s v="FY26"/>
    <n v="1"/>
    <n v="1"/>
    <n v="1"/>
    <s v="Retained/Active"/>
  </r>
  <r>
    <s v="TXN-10899"/>
    <s v="CON-9680"/>
    <x v="4"/>
    <d v="2024-12-28T00:00:00"/>
    <n v="351.16"/>
    <s v="Outright Gift"/>
    <x v="0"/>
    <x v="1"/>
    <s v="Credit Card"/>
    <s v="FY25"/>
    <n v="0"/>
    <n v="1"/>
    <n v="1"/>
    <s v="Retained/Active"/>
  </r>
  <r>
    <s v="TXN-10900"/>
    <s v="CON-2291"/>
    <x v="1"/>
    <d v="2026-01-07T00:00:00"/>
    <n v="71.25"/>
    <s v="Outright Gift"/>
    <x v="0"/>
    <x v="3"/>
    <s v="EFT/ACH"/>
    <s v="FY26"/>
    <n v="1"/>
    <n v="1"/>
    <n v="1"/>
    <s v="Retained/Active"/>
  </r>
  <r>
    <s v="TXN-10901"/>
    <s v="CON-9755"/>
    <x v="0"/>
    <d v="2025-01-31T00:00:00"/>
    <n v="62.83"/>
    <s v="Outright Gift"/>
    <x v="0"/>
    <x v="0"/>
    <s v="Credit Card"/>
    <s v="FY25"/>
    <n v="1"/>
    <n v="1"/>
    <n v="0"/>
    <s v="LYBUNT (Lapsed 1 Yr)"/>
  </r>
  <r>
    <s v="TXN-10902"/>
    <s v="CON-1161"/>
    <x v="1"/>
    <d v="2023-08-18T00:00:00"/>
    <n v="15"/>
    <s v="Outright Gift"/>
    <x v="1"/>
    <x v="1"/>
    <s v="Credit Card"/>
    <s v="FY24"/>
    <n v="1"/>
    <n v="0"/>
    <n v="1"/>
    <s v="Retained/Active"/>
  </r>
  <r>
    <s v="TXN-10903"/>
    <s v="CON-1262"/>
    <x v="2"/>
    <d v="2026-01-02T00:00:00"/>
    <n v="86.73"/>
    <s v="Outright Gift"/>
    <x v="0"/>
    <x v="3"/>
    <s v="Credit Card"/>
    <s v="FY26"/>
    <n v="1"/>
    <n v="1"/>
    <n v="1"/>
    <s v="Retained/Active"/>
  </r>
  <r>
    <s v="TXN-10904"/>
    <s v="CON-4242"/>
    <x v="0"/>
    <d v="2025-06-03T00:00:00"/>
    <n v="409.94"/>
    <s v="Outright Gift"/>
    <x v="0"/>
    <x v="2"/>
    <s v="EFT/ACH"/>
    <s v="FY25"/>
    <n v="0"/>
    <n v="1"/>
    <n v="1"/>
    <s v="Retained/Active"/>
  </r>
  <r>
    <s v="TXN-10905"/>
    <s v="CON-4170"/>
    <x v="0"/>
    <d v="2024-03-17T00:00:00"/>
    <n v="93.19"/>
    <s v="Pledge Payment"/>
    <x v="0"/>
    <x v="1"/>
    <s v="EFT/ACH"/>
    <s v="FY24"/>
    <n v="1"/>
    <n v="1"/>
    <n v="1"/>
    <s v="Retained/Active"/>
  </r>
  <r>
    <s v="TXN-10906"/>
    <s v="CON-2802"/>
    <x v="1"/>
    <d v="2024-06-20T00:00:00"/>
    <n v="216.85"/>
    <s v="Outright Gift"/>
    <x v="1"/>
    <x v="1"/>
    <s v="Credit Card"/>
    <s v="FY24"/>
    <n v="1"/>
    <n v="0"/>
    <n v="1"/>
    <s v="Retained/Active"/>
  </r>
  <r>
    <s v="TXN-10907"/>
    <s v="CON-2664"/>
    <x v="0"/>
    <d v="2025-03-29T00:00:00"/>
    <n v="515.20000000000005"/>
    <s v="Outright Gift"/>
    <x v="1"/>
    <x v="1"/>
    <s v="Credit Card"/>
    <s v="FY25"/>
    <n v="0"/>
    <n v="1"/>
    <n v="0"/>
    <s v="LYBUNT (Lapsed 1 Yr)"/>
  </r>
  <r>
    <s v="TXN-10908"/>
    <s v="CON-2484"/>
    <x v="3"/>
    <d v="2025-07-12T00:00:00"/>
    <n v="197.29"/>
    <s v="Outright Gift"/>
    <x v="0"/>
    <x v="2"/>
    <s v="Credit Card"/>
    <s v="FY26"/>
    <n v="1"/>
    <n v="0"/>
    <n v="1"/>
    <s v="Retained/Active"/>
  </r>
  <r>
    <s v="TXN-10909"/>
    <s v="CON-2802"/>
    <x v="1"/>
    <d v="2026-04-05T00:00:00"/>
    <n v="224.01"/>
    <s v="Pledge Payment"/>
    <x v="0"/>
    <x v="1"/>
    <s v="EFT/ACH"/>
    <s v="FY26"/>
    <n v="1"/>
    <n v="0"/>
    <n v="1"/>
    <s v="Retained/Active"/>
  </r>
  <r>
    <s v="TXN-10910"/>
    <s v="CON-3433"/>
    <x v="2"/>
    <d v="2026-01-16T00:00:00"/>
    <n v="20.8"/>
    <s v="Outright Gift"/>
    <x v="0"/>
    <x v="1"/>
    <s v="EFT/ACH"/>
    <s v="FY26"/>
    <n v="1"/>
    <n v="1"/>
    <n v="1"/>
    <s v="Retained/Active"/>
  </r>
  <r>
    <s v="TXN-10911"/>
    <s v="CON-6578"/>
    <x v="2"/>
    <d v="2025-04-01T00:00:00"/>
    <n v="79.89"/>
    <s v="Recurring Gift"/>
    <x v="0"/>
    <x v="1"/>
    <s v="Credit Card"/>
    <s v="FY25"/>
    <n v="1"/>
    <n v="1"/>
    <n v="1"/>
    <s v="Retained/Active"/>
  </r>
  <r>
    <s v="TXN-10912"/>
    <s v="CON-9433"/>
    <x v="3"/>
    <d v="2025-08-30T00:00:00"/>
    <n v="1146.67"/>
    <s v="Pledge Payment"/>
    <x v="0"/>
    <x v="2"/>
    <s v="Credit Card"/>
    <s v="FY26"/>
    <n v="1"/>
    <n v="0"/>
    <n v="1"/>
    <s v="Retained/Active"/>
  </r>
  <r>
    <s v="TXN-10913"/>
    <s v="CON-3200"/>
    <x v="1"/>
    <d v="2025-03-03T00:00:00"/>
    <n v="139.06"/>
    <s v="Outright Gift"/>
    <x v="0"/>
    <x v="3"/>
    <s v="EFT/ACH"/>
    <s v="FY25"/>
    <n v="0"/>
    <n v="1"/>
    <n v="0"/>
    <s v="LYBUNT (Lapsed 1 Yr)"/>
  </r>
  <r>
    <s v="TXN-10914"/>
    <s v="CON-4170"/>
    <x v="4"/>
    <d v="2025-09-16T00:00:00"/>
    <n v="1430.47"/>
    <s v="Outright Gift"/>
    <x v="0"/>
    <x v="2"/>
    <s v="Credit Card"/>
    <s v="FY26"/>
    <n v="1"/>
    <n v="1"/>
    <n v="1"/>
    <s v="Retained/Active"/>
  </r>
  <r>
    <s v="TXN-10915"/>
    <s v="CON-5752"/>
    <x v="2"/>
    <d v="2025-05-16T00:00:00"/>
    <n v="47.46"/>
    <s v="Outright Gift"/>
    <x v="0"/>
    <x v="1"/>
    <s v="Credit Card"/>
    <s v="FY25"/>
    <n v="1"/>
    <n v="1"/>
    <n v="1"/>
    <s v="Retained/Active"/>
  </r>
  <r>
    <s v="TXN-10916"/>
    <s v="CON-2843"/>
    <x v="4"/>
    <d v="2024-01-04T00:00:00"/>
    <n v="164.7"/>
    <s v="Outright Gift"/>
    <x v="0"/>
    <x v="4"/>
    <s v="Credit Card"/>
    <s v="FY24"/>
    <n v="1"/>
    <n v="1"/>
    <n v="1"/>
    <s v="Retained/Active"/>
  </r>
  <r>
    <s v="TXN-10917"/>
    <s v="CON-5493"/>
    <x v="4"/>
    <d v="2026-03-11T00:00:00"/>
    <n v="73.89"/>
    <s v="Recurring Gift"/>
    <x v="0"/>
    <x v="2"/>
    <s v="Credit Card"/>
    <s v="FY26"/>
    <n v="0"/>
    <n v="1"/>
    <n v="1"/>
    <s v="Retained/Active"/>
  </r>
  <r>
    <s v="TXN-10918"/>
    <s v="CON-4420"/>
    <x v="1"/>
    <d v="2024-12-29T00:00:00"/>
    <n v="262.32"/>
    <s v="Recurring Gift"/>
    <x v="0"/>
    <x v="3"/>
    <s v="Credit Card"/>
    <s v="FY25"/>
    <n v="0"/>
    <n v="1"/>
    <n v="0"/>
    <s v="LYBUNT (Lapsed 1 Yr)"/>
  </r>
  <r>
    <s v="TXN-10919"/>
    <s v="CON-6592"/>
    <x v="1"/>
    <d v="2025-06-24T00:00:00"/>
    <n v="388.97"/>
    <s v="Outright Gift"/>
    <x v="1"/>
    <x v="0"/>
    <s v="EFT/ACH"/>
    <s v="FY25"/>
    <n v="1"/>
    <n v="1"/>
    <n v="1"/>
    <s v="Retained/Active"/>
  </r>
  <r>
    <s v="TXN-10920"/>
    <s v="CON-6191"/>
    <x v="0"/>
    <d v="2026-01-11T00:00:00"/>
    <n v="265.92"/>
    <s v="Outright Gift"/>
    <x v="0"/>
    <x v="0"/>
    <s v="Credit Card"/>
    <s v="FY26"/>
    <n v="1"/>
    <n v="1"/>
    <n v="1"/>
    <s v="Retained/Active"/>
  </r>
  <r>
    <s v="TXN-10921"/>
    <s v="CON-4763"/>
    <x v="0"/>
    <d v="2025-11-22T00:00:00"/>
    <n v="470.79"/>
    <s v="Pledge Payment"/>
    <x v="0"/>
    <x v="2"/>
    <s v="EFT/ACH"/>
    <s v="FY26"/>
    <n v="1"/>
    <n v="1"/>
    <n v="1"/>
    <s v="Retained/Active"/>
  </r>
  <r>
    <s v="TXN-10922"/>
    <s v="CON-4005"/>
    <x v="1"/>
    <d v="2025-03-09T00:00:00"/>
    <n v="119.45"/>
    <s v="Pledge Payment"/>
    <x v="0"/>
    <x v="1"/>
    <s v="Credit Card"/>
    <s v="FY25"/>
    <n v="1"/>
    <n v="1"/>
    <n v="1"/>
    <s v="Retained/Active"/>
  </r>
  <r>
    <s v="TXN-10923"/>
    <s v="CON-5488"/>
    <x v="1"/>
    <d v="2024-08-17T00:00:00"/>
    <n v="94.85"/>
    <s v="Outright Gift"/>
    <x v="0"/>
    <x v="0"/>
    <s v="Check"/>
    <s v="FY25"/>
    <n v="1"/>
    <n v="1"/>
    <n v="1"/>
    <s v="Retained/Active"/>
  </r>
  <r>
    <s v="TXN-10924"/>
    <s v="CON-9996"/>
    <x v="0"/>
    <d v="2025-12-19T00:00:00"/>
    <n v="15"/>
    <s v="Outright Gift"/>
    <x v="0"/>
    <x v="3"/>
    <s v="EFT/ACH"/>
    <s v="FY26"/>
    <n v="1"/>
    <n v="1"/>
    <n v="1"/>
    <s v="Retained/Active"/>
  </r>
  <r>
    <s v="TXN-10925"/>
    <s v="CON-1262"/>
    <x v="1"/>
    <d v="2023-12-10T00:00:00"/>
    <n v="278.66000000000003"/>
    <s v="Outright Gift"/>
    <x v="0"/>
    <x v="3"/>
    <s v="EFT/ACH"/>
    <s v="FY24"/>
    <n v="1"/>
    <n v="1"/>
    <n v="1"/>
    <s v="Retained/Active"/>
  </r>
  <r>
    <s v="TXN-10926"/>
    <s v="CON-6854"/>
    <x v="1"/>
    <d v="2024-03-26T00:00:00"/>
    <n v="151.99"/>
    <s v="Recurring Gift"/>
    <x v="1"/>
    <x v="4"/>
    <s v="Credit Card"/>
    <s v="FY24"/>
    <n v="1"/>
    <n v="1"/>
    <n v="0"/>
    <s v="LYBUNT (Lapsed 1 Yr)"/>
  </r>
  <r>
    <s v="TXN-10927"/>
    <s v="CON-9684"/>
    <x v="0"/>
    <d v="2025-03-23T00:00:00"/>
    <n v="111.24"/>
    <s v="Outright Gift"/>
    <x v="0"/>
    <x v="2"/>
    <s v="Credit Card"/>
    <s v="FY25"/>
    <n v="1"/>
    <n v="1"/>
    <n v="1"/>
    <s v="Retained/Active"/>
  </r>
  <r>
    <s v="TXN-10928"/>
    <s v="CON-9173"/>
    <x v="1"/>
    <d v="2025-12-22T00:00:00"/>
    <n v="94.82"/>
    <s v="Outright Gift"/>
    <x v="0"/>
    <x v="1"/>
    <s v="Credit Card"/>
    <s v="FY26"/>
    <n v="1"/>
    <n v="0"/>
    <n v="1"/>
    <s v="Retained/Active"/>
  </r>
  <r>
    <s v="TXN-10929"/>
    <s v="CON-6530"/>
    <x v="0"/>
    <d v="2024-01-21T00:00:00"/>
    <n v="115.82"/>
    <s v="Recurring Gift"/>
    <x v="1"/>
    <x v="1"/>
    <s v="EFT/ACH"/>
    <s v="FY24"/>
    <n v="1"/>
    <n v="1"/>
    <n v="1"/>
    <s v="Retained/Active"/>
  </r>
  <r>
    <s v="TXN-10930"/>
    <s v="CON-4242"/>
    <x v="0"/>
    <d v="2025-02-01T00:00:00"/>
    <n v="89.38"/>
    <s v="Pledge Payment"/>
    <x v="0"/>
    <x v="0"/>
    <s v="Credit Card"/>
    <s v="FY25"/>
    <n v="0"/>
    <n v="1"/>
    <n v="1"/>
    <s v="Retained/Active"/>
  </r>
  <r>
    <s v="TXN-10931"/>
    <s v="CON-3491"/>
    <x v="0"/>
    <d v="2025-10-18T00:00:00"/>
    <n v="61.16"/>
    <s v="Recurring Gift"/>
    <x v="1"/>
    <x v="0"/>
    <s v="Stock Transfer"/>
    <s v="FY26"/>
    <n v="1"/>
    <n v="0"/>
    <n v="1"/>
    <s v="Retained/Active"/>
  </r>
  <r>
    <s v="TXN-10932"/>
    <s v="CON-3612"/>
    <x v="3"/>
    <d v="2025-02-15T00:00:00"/>
    <n v="165.91"/>
    <s v="Outright Gift"/>
    <x v="1"/>
    <x v="1"/>
    <s v="Stock Transfer"/>
    <s v="FY25"/>
    <n v="1"/>
    <n v="1"/>
    <n v="1"/>
    <s v="Retained/Active"/>
  </r>
  <r>
    <s v="TXN-10933"/>
    <s v="CON-5465"/>
    <x v="0"/>
    <d v="2024-03-06T00:00:00"/>
    <n v="228.01"/>
    <s v="Outright Gift"/>
    <x v="0"/>
    <x v="1"/>
    <s v="Credit Card"/>
    <s v="FY24"/>
    <n v="1"/>
    <n v="0"/>
    <n v="1"/>
    <s v="Retained/Active"/>
  </r>
  <r>
    <s v="TXN-10934"/>
    <s v="CON-8513"/>
    <x v="0"/>
    <d v="2025-11-21T00:00:00"/>
    <n v="44.62"/>
    <s v="Recurring Gift"/>
    <x v="0"/>
    <x v="0"/>
    <s v="Stock Transfer"/>
    <s v="FY26"/>
    <n v="0"/>
    <n v="0"/>
    <n v="1"/>
    <s v="Retained/Active"/>
  </r>
  <r>
    <s v="TXN-10935"/>
    <s v="CON-2528"/>
    <x v="0"/>
    <d v="2024-01-12T00:00:00"/>
    <n v="72.17"/>
    <s v="Outright Gift"/>
    <x v="0"/>
    <x v="2"/>
    <s v="Credit Card"/>
    <s v="FY24"/>
    <n v="1"/>
    <n v="1"/>
    <n v="1"/>
    <s v="Retained/Active"/>
  </r>
  <r>
    <s v="TXN-10936"/>
    <s v="CON-7420"/>
    <x v="3"/>
    <d v="2025-05-20T00:00:00"/>
    <n v="93.13"/>
    <s v="Outright Gift"/>
    <x v="0"/>
    <x v="4"/>
    <s v="Credit Card"/>
    <s v="FY25"/>
    <n v="1"/>
    <n v="1"/>
    <n v="0"/>
    <s v="LYBUNT (Lapsed 1 Yr)"/>
  </r>
  <r>
    <s v="TXN-10937"/>
    <s v="CON-5737"/>
    <x v="3"/>
    <d v="2025-03-30T00:00:00"/>
    <n v="122.27"/>
    <s v="Outright Gift"/>
    <x v="0"/>
    <x v="2"/>
    <s v="Credit Card"/>
    <s v="FY25"/>
    <n v="1"/>
    <n v="1"/>
    <n v="0"/>
    <s v="LYBUNT (Lapsed 1 Yr)"/>
  </r>
  <r>
    <s v="TXN-10938"/>
    <s v="CON-4304"/>
    <x v="3"/>
    <d v="2025-05-02T00:00:00"/>
    <n v="102.86"/>
    <s v="Outright Gift"/>
    <x v="1"/>
    <x v="2"/>
    <s v="EFT/ACH"/>
    <s v="FY25"/>
    <n v="1"/>
    <n v="1"/>
    <n v="1"/>
    <s v="Retained/Active"/>
  </r>
  <r>
    <s v="TXN-10939"/>
    <s v="CON-4343"/>
    <x v="2"/>
    <d v="2026-01-29T00:00:00"/>
    <n v="286.47000000000003"/>
    <s v="Outright Gift"/>
    <x v="0"/>
    <x v="2"/>
    <s v="Credit Card"/>
    <s v="FY26"/>
    <n v="0"/>
    <n v="1"/>
    <n v="1"/>
    <s v="Retained/Active"/>
  </r>
  <r>
    <s v="TXN-10940"/>
    <s v="CON-8208"/>
    <x v="1"/>
    <d v="2024-01-15T00:00:00"/>
    <n v="15"/>
    <s v="Recurring Gift"/>
    <x v="0"/>
    <x v="4"/>
    <s v="Stock Transfer"/>
    <s v="FY24"/>
    <n v="1"/>
    <n v="1"/>
    <n v="0"/>
    <s v="LYBUNT (Lapsed 1 Yr)"/>
  </r>
  <r>
    <s v="TXN-10941"/>
    <s v="CON-7736"/>
    <x v="0"/>
    <d v="2024-11-03T00:00:00"/>
    <n v="17.86"/>
    <s v="Recurring Gift"/>
    <x v="0"/>
    <x v="2"/>
    <s v="Credit Card"/>
    <s v="FY25"/>
    <n v="0"/>
    <n v="1"/>
    <n v="1"/>
    <s v="Retained/Active"/>
  </r>
  <r>
    <s v="TXN-10942"/>
    <s v="CON-1863"/>
    <x v="1"/>
    <d v="2025-12-12T00:00:00"/>
    <n v="156.28"/>
    <s v="Recurring Gift"/>
    <x v="0"/>
    <x v="3"/>
    <s v="Credit Card"/>
    <s v="FY26"/>
    <n v="0"/>
    <n v="1"/>
    <n v="1"/>
    <s v="Retained/Active"/>
  </r>
  <r>
    <s v="TXN-10943"/>
    <s v="CON-6177"/>
    <x v="4"/>
    <d v="2023-11-19T00:00:00"/>
    <n v="55.51"/>
    <s v="Outright Gift"/>
    <x v="0"/>
    <x v="4"/>
    <s v="Check"/>
    <s v="FY24"/>
    <n v="1"/>
    <n v="0"/>
    <n v="0"/>
    <s v="SYBUNT (Lapsed Multi-Yr)"/>
  </r>
  <r>
    <s v="TXN-10944"/>
    <s v="CON-4124"/>
    <x v="2"/>
    <d v="2023-12-12T00:00:00"/>
    <n v="383.57"/>
    <s v="Outright Gift"/>
    <x v="0"/>
    <x v="4"/>
    <s v="Credit Card"/>
    <s v="FY24"/>
    <n v="1"/>
    <n v="1"/>
    <n v="1"/>
    <s v="Retained/Active"/>
  </r>
  <r>
    <s v="TXN-10945"/>
    <s v="CON-1189"/>
    <x v="2"/>
    <d v="2024-05-09T00:00:00"/>
    <n v="555.98"/>
    <s v="Outright Gift"/>
    <x v="0"/>
    <x v="0"/>
    <s v="Credit Card"/>
    <s v="FY24"/>
    <n v="1"/>
    <n v="0"/>
    <n v="0"/>
    <s v="SYBUNT (Lapsed Multi-Yr)"/>
  </r>
  <r>
    <s v="TXN-10946"/>
    <s v="CON-6801"/>
    <x v="0"/>
    <d v="2023-07-21T00:00:00"/>
    <n v="164.66"/>
    <s v="Recurring Gift"/>
    <x v="0"/>
    <x v="1"/>
    <s v="EFT/ACH"/>
    <s v="FY24"/>
    <n v="1"/>
    <n v="0"/>
    <n v="1"/>
    <s v="Retained/Active"/>
  </r>
  <r>
    <s v="TXN-10947"/>
    <s v="CON-7102"/>
    <x v="3"/>
    <d v="2026-03-10T00:00:00"/>
    <n v="30.16"/>
    <s v="Outright Gift"/>
    <x v="0"/>
    <x v="1"/>
    <s v="Credit Card"/>
    <s v="FY26"/>
    <n v="0"/>
    <n v="1"/>
    <n v="1"/>
    <s v="Retained/Active"/>
  </r>
  <r>
    <s v="TXN-10948"/>
    <s v="CON-3693"/>
    <x v="0"/>
    <d v="2024-04-30T00:00:00"/>
    <n v="478.65"/>
    <s v="Pledge Payment"/>
    <x v="0"/>
    <x v="1"/>
    <s v="Credit Card"/>
    <s v="FY24"/>
    <n v="1"/>
    <n v="1"/>
    <n v="1"/>
    <s v="Retained/Active"/>
  </r>
  <r>
    <s v="TXN-10949"/>
    <s v="CON-6423"/>
    <x v="1"/>
    <d v="2024-07-05T00:00:00"/>
    <n v="157.37"/>
    <s v="Pledge Payment"/>
    <x v="0"/>
    <x v="1"/>
    <s v="Credit Card"/>
    <s v="FY25"/>
    <n v="0"/>
    <n v="1"/>
    <n v="0"/>
    <s v="LYBUNT (Lapsed 1 Yr)"/>
  </r>
  <r>
    <s v="TXN-10950"/>
    <s v="CON-6855"/>
    <x v="0"/>
    <d v="2025-10-30T00:00:00"/>
    <n v="17.579999999999998"/>
    <s v="Outright Gift"/>
    <x v="0"/>
    <x v="1"/>
    <s v="Credit Card"/>
    <s v="FY26"/>
    <n v="1"/>
    <n v="1"/>
    <n v="1"/>
    <s v="Retained/Active"/>
  </r>
  <r>
    <s v="TXN-10951"/>
    <s v="CON-9996"/>
    <x v="2"/>
    <d v="2024-07-18T00:00:00"/>
    <n v="19.73"/>
    <s v="Outright Gift"/>
    <x v="0"/>
    <x v="1"/>
    <s v="Stock Transfer"/>
    <s v="FY25"/>
    <n v="1"/>
    <n v="1"/>
    <n v="1"/>
    <s v="Retained/Active"/>
  </r>
  <r>
    <s v="TXN-10952"/>
    <s v="CON-8683"/>
    <x v="0"/>
    <d v="2024-09-17T00:00:00"/>
    <n v="873.08"/>
    <s v="Estate/Planned Gift"/>
    <x v="0"/>
    <x v="0"/>
    <s v="Check"/>
    <s v="FY25"/>
    <n v="1"/>
    <n v="1"/>
    <n v="1"/>
    <s v="Retained/Active"/>
  </r>
  <r>
    <s v="TXN-10953"/>
    <s v="CON-3200"/>
    <x v="3"/>
    <d v="2024-08-28T00:00:00"/>
    <n v="703.79"/>
    <s v="Estate/Planned Gift"/>
    <x v="0"/>
    <x v="2"/>
    <s v="Credit Card"/>
    <s v="FY25"/>
    <n v="0"/>
    <n v="1"/>
    <n v="0"/>
    <s v="LYBUNT (Lapsed 1 Yr)"/>
  </r>
  <r>
    <s v="TXN-10954"/>
    <s v="CON-8560"/>
    <x v="1"/>
    <d v="2023-12-08T00:00:00"/>
    <n v="15"/>
    <s v="Outright Gift"/>
    <x v="0"/>
    <x v="1"/>
    <s v="Credit Card"/>
    <s v="FY24"/>
    <n v="1"/>
    <n v="1"/>
    <n v="0"/>
    <s v="LYBUNT (Lapsed 1 Yr)"/>
  </r>
  <r>
    <s v="TXN-10955"/>
    <s v="CON-8421"/>
    <x v="2"/>
    <d v="2025-03-20T00:00:00"/>
    <n v="20.8"/>
    <s v="Outright Gift"/>
    <x v="0"/>
    <x v="2"/>
    <s v="Credit Card"/>
    <s v="FY25"/>
    <n v="0"/>
    <n v="1"/>
    <n v="0"/>
    <s v="LYBUNT (Lapsed 1 Yr)"/>
  </r>
  <r>
    <s v="TXN-10956"/>
    <s v="CON-2707"/>
    <x v="0"/>
    <d v="2025-12-11T00:00:00"/>
    <n v="535.45000000000005"/>
    <s v="Estate/Planned Gift"/>
    <x v="0"/>
    <x v="2"/>
    <s v="Stock Transfer"/>
    <s v="FY26"/>
    <n v="1"/>
    <n v="1"/>
    <n v="1"/>
    <s v="Retained/Active"/>
  </r>
  <r>
    <s v="TXN-10957"/>
    <s v="CON-9800"/>
    <x v="0"/>
    <d v="2024-11-01T00:00:00"/>
    <n v="118.62"/>
    <s v="Outright Gift"/>
    <x v="0"/>
    <x v="0"/>
    <s v="Credit Card"/>
    <s v="FY25"/>
    <n v="1"/>
    <n v="1"/>
    <n v="0"/>
    <s v="LYBUNT (Lapsed 1 Yr)"/>
  </r>
  <r>
    <s v="TXN-10958"/>
    <s v="CON-7019"/>
    <x v="3"/>
    <d v="2026-04-12T00:00:00"/>
    <n v="302.60000000000002"/>
    <s v="Outright Gift"/>
    <x v="0"/>
    <x v="4"/>
    <s v="Credit Card"/>
    <s v="FY26"/>
    <n v="1"/>
    <n v="1"/>
    <n v="1"/>
    <s v="Retained/Active"/>
  </r>
  <r>
    <s v="TXN-10959"/>
    <s v="CON-8099"/>
    <x v="3"/>
    <d v="2024-05-22T00:00:00"/>
    <n v="112.11"/>
    <s v="Outright Gift"/>
    <x v="0"/>
    <x v="1"/>
    <s v="EFT/ACH"/>
    <s v="FY24"/>
    <n v="1"/>
    <n v="1"/>
    <n v="1"/>
    <s v="Retained/Active"/>
  </r>
  <r>
    <s v="TXN-10960"/>
    <s v="CON-8869"/>
    <x v="2"/>
    <d v="2025-02-17T00:00:00"/>
    <n v="284.52999999999997"/>
    <s v="Outright Gift"/>
    <x v="1"/>
    <x v="1"/>
    <s v="Stock Transfer"/>
    <s v="FY25"/>
    <n v="0"/>
    <n v="1"/>
    <n v="0"/>
    <s v="LYBUNT (Lapsed 1 Yr)"/>
  </r>
  <r>
    <s v="TXN-10961"/>
    <s v="CON-2059"/>
    <x v="3"/>
    <d v="2026-04-10T00:00:00"/>
    <n v="122.44"/>
    <s v="Outright Gift"/>
    <x v="0"/>
    <x v="0"/>
    <s v="Credit Card"/>
    <s v="FY26"/>
    <n v="0"/>
    <n v="1"/>
    <n v="1"/>
    <s v="Retained/Active"/>
  </r>
  <r>
    <s v="TXN-10962"/>
    <s v="CON-8343"/>
    <x v="2"/>
    <d v="2024-04-14T00:00:00"/>
    <n v="68.790000000000006"/>
    <s v="Outright Gift"/>
    <x v="0"/>
    <x v="1"/>
    <s v="Credit Card"/>
    <s v="FY24"/>
    <n v="1"/>
    <n v="1"/>
    <n v="0"/>
    <s v="LYBUNT (Lapsed 1 Yr)"/>
  </r>
  <r>
    <s v="TXN-10963"/>
    <s v="CON-9932"/>
    <x v="1"/>
    <d v="2025-02-12T00:00:00"/>
    <n v="481.24"/>
    <s v="Outright Gift"/>
    <x v="0"/>
    <x v="0"/>
    <s v="Credit Card"/>
    <s v="FY25"/>
    <n v="0"/>
    <n v="1"/>
    <n v="1"/>
    <s v="Retained/Active"/>
  </r>
  <r>
    <s v="TXN-10964"/>
    <s v="CON-1659"/>
    <x v="2"/>
    <d v="2025-01-23T00:00:00"/>
    <n v="158.01"/>
    <s v="Outright Gift"/>
    <x v="0"/>
    <x v="0"/>
    <s v="Credit Card"/>
    <s v="FY25"/>
    <n v="0"/>
    <n v="1"/>
    <n v="0"/>
    <s v="LYBUNT (Lapsed 1 Yr)"/>
  </r>
  <r>
    <s v="TXN-10965"/>
    <s v="CON-1784"/>
    <x v="0"/>
    <d v="2023-07-28T00:00:00"/>
    <n v="283.75"/>
    <s v="Estate/Planned Gift"/>
    <x v="1"/>
    <x v="1"/>
    <s v="EFT/ACH"/>
    <s v="FY24"/>
    <n v="1"/>
    <n v="0"/>
    <n v="0"/>
    <s v="SYBUNT (Lapsed Multi-Yr)"/>
  </r>
  <r>
    <s v="TXN-10966"/>
    <s v="CON-5389"/>
    <x v="1"/>
    <d v="2026-02-08T00:00:00"/>
    <n v="149.11000000000001"/>
    <s v="Recurring Gift"/>
    <x v="0"/>
    <x v="1"/>
    <s v="EFT/ACH"/>
    <s v="FY26"/>
    <n v="1"/>
    <n v="0"/>
    <n v="1"/>
    <s v="Retained/Active"/>
  </r>
  <r>
    <s v="TXN-10967"/>
    <s v="CON-2816"/>
    <x v="1"/>
    <d v="2023-08-12T00:00:00"/>
    <n v="64.569999999999993"/>
    <s v="Recurring Gift"/>
    <x v="1"/>
    <x v="1"/>
    <s v="EFT/ACH"/>
    <s v="FY24"/>
    <n v="1"/>
    <n v="1"/>
    <n v="0"/>
    <s v="LYBUNT (Lapsed 1 Yr)"/>
  </r>
  <r>
    <s v="TXN-10968"/>
    <s v="CON-2081"/>
    <x v="2"/>
    <d v="2024-08-26T00:00:00"/>
    <n v="983.29"/>
    <s v="Pledge Payment"/>
    <x v="0"/>
    <x v="2"/>
    <s v="Credit Card"/>
    <s v="FY25"/>
    <n v="1"/>
    <n v="1"/>
    <n v="1"/>
    <s v="Retained/Active"/>
  </r>
  <r>
    <s v="TXN-10969"/>
    <s v="CON-1699"/>
    <x v="2"/>
    <d v="2023-12-24T00:00:00"/>
    <n v="192.76"/>
    <s v="Outright Gift"/>
    <x v="0"/>
    <x v="0"/>
    <s v="Credit Card"/>
    <s v="FY24"/>
    <n v="1"/>
    <n v="1"/>
    <n v="1"/>
    <s v="Retained/Active"/>
  </r>
  <r>
    <s v="TXN-10970"/>
    <s v="CON-4005"/>
    <x v="1"/>
    <d v="2024-12-10T00:00:00"/>
    <n v="76.59"/>
    <s v="Outright Gift"/>
    <x v="0"/>
    <x v="1"/>
    <s v="Credit Card"/>
    <s v="FY25"/>
    <n v="1"/>
    <n v="1"/>
    <n v="1"/>
    <s v="Retained/Active"/>
  </r>
  <r>
    <s v="TXN-10971"/>
    <s v="CON-1663"/>
    <x v="2"/>
    <d v="2026-02-20T00:00:00"/>
    <n v="640.23"/>
    <s v="Recurring Gift"/>
    <x v="0"/>
    <x v="1"/>
    <s v="Credit Card"/>
    <s v="FY26"/>
    <n v="1"/>
    <n v="0"/>
    <n v="1"/>
    <s v="Retained/Active"/>
  </r>
  <r>
    <s v="TXN-10972"/>
    <s v="CON-8996"/>
    <x v="4"/>
    <d v="2024-01-14T00:00:00"/>
    <n v="21.82"/>
    <s v="Outright Gift"/>
    <x v="0"/>
    <x v="1"/>
    <s v="EFT/ACH"/>
    <s v="FY24"/>
    <n v="1"/>
    <n v="0"/>
    <n v="1"/>
    <s v="Retained/Active"/>
  </r>
  <r>
    <s v="TXN-10973"/>
    <s v="CON-6442"/>
    <x v="1"/>
    <d v="2025-03-01T00:00:00"/>
    <n v="2224.2399999999998"/>
    <s v="Outright Gift"/>
    <x v="0"/>
    <x v="1"/>
    <s v="Credit Card"/>
    <s v="FY25"/>
    <n v="1"/>
    <n v="1"/>
    <n v="1"/>
    <s v="Retained/Active"/>
  </r>
  <r>
    <s v="TXN-10974"/>
    <s v="CON-2685"/>
    <x v="1"/>
    <d v="2025-10-19T00:00:00"/>
    <n v="96.27"/>
    <s v="Pledge Payment"/>
    <x v="0"/>
    <x v="3"/>
    <s v="Credit Card"/>
    <s v="FY26"/>
    <n v="1"/>
    <n v="0"/>
    <n v="1"/>
    <s v="Retained/Active"/>
  </r>
  <r>
    <s v="TXN-10975"/>
    <s v="CON-1698"/>
    <x v="3"/>
    <d v="2025-10-30T00:00:00"/>
    <n v="23.37"/>
    <s v="Outright Gift"/>
    <x v="0"/>
    <x v="1"/>
    <s v="Credit Card"/>
    <s v="FY26"/>
    <n v="1"/>
    <n v="0"/>
    <n v="1"/>
    <s v="Retained/Active"/>
  </r>
  <r>
    <s v="TXN-10976"/>
    <s v="CON-8721"/>
    <x v="0"/>
    <d v="2023-07-22T00:00:00"/>
    <n v="1447.69"/>
    <s v="Outright Gift"/>
    <x v="1"/>
    <x v="2"/>
    <s v="Credit Card"/>
    <s v="FY24"/>
    <n v="1"/>
    <n v="0"/>
    <n v="1"/>
    <s v="Retained/Active"/>
  </r>
  <r>
    <s v="TXN-10977"/>
    <s v="CON-8125"/>
    <x v="2"/>
    <d v="2025-10-19T00:00:00"/>
    <n v="66.55"/>
    <s v="Estate/Planned Gift"/>
    <x v="0"/>
    <x v="3"/>
    <s v="Credit Card"/>
    <s v="FY26"/>
    <n v="1"/>
    <n v="1"/>
    <n v="1"/>
    <s v="Retained/Active"/>
  </r>
  <r>
    <s v="TXN-10978"/>
    <s v="CON-1569"/>
    <x v="1"/>
    <d v="2023-10-06T00:00:00"/>
    <n v="166.7"/>
    <s v="Recurring Gift"/>
    <x v="0"/>
    <x v="1"/>
    <s v="Check"/>
    <s v="FY24"/>
    <n v="1"/>
    <n v="0"/>
    <n v="1"/>
    <s v="Retained/Active"/>
  </r>
  <r>
    <s v="TXN-10979"/>
    <s v="CON-5199"/>
    <x v="0"/>
    <d v="2024-09-07T00:00:00"/>
    <n v="308.89"/>
    <s v="Outright Gift"/>
    <x v="0"/>
    <x v="0"/>
    <s v="Credit Card"/>
    <s v="FY25"/>
    <n v="0"/>
    <n v="1"/>
    <n v="0"/>
    <s v="LYBUNT (Lapsed 1 Yr)"/>
  </r>
  <r>
    <s v="TXN-10980"/>
    <s v="CON-5499"/>
    <x v="2"/>
    <d v="2025-03-28T00:00:00"/>
    <n v="566.47"/>
    <s v="Estate/Planned Gift"/>
    <x v="0"/>
    <x v="4"/>
    <s v="EFT/ACH"/>
    <s v="FY25"/>
    <n v="1"/>
    <n v="1"/>
    <n v="1"/>
    <s v="Retained/Active"/>
  </r>
  <r>
    <s v="TXN-10981"/>
    <s v="CON-8343"/>
    <x v="2"/>
    <d v="2025-02-07T00:00:00"/>
    <n v="179.42"/>
    <s v="Pledge Payment"/>
    <x v="0"/>
    <x v="3"/>
    <s v="Credit Card"/>
    <s v="FY25"/>
    <n v="1"/>
    <n v="1"/>
    <n v="0"/>
    <s v="LYBUNT (Lapsed 1 Yr)"/>
  </r>
  <r>
    <s v="TXN-10982"/>
    <s v="CON-9996"/>
    <x v="3"/>
    <d v="2024-06-08T00:00:00"/>
    <n v="52.38"/>
    <s v="Pledge Payment"/>
    <x v="0"/>
    <x v="0"/>
    <s v="Credit Card"/>
    <s v="FY24"/>
    <n v="1"/>
    <n v="1"/>
    <n v="1"/>
    <s v="Retained/Active"/>
  </r>
  <r>
    <s v="TXN-10983"/>
    <s v="CON-4843"/>
    <x v="3"/>
    <d v="2025-01-21T00:00:00"/>
    <n v="161.53"/>
    <s v="Outright Gift"/>
    <x v="1"/>
    <x v="2"/>
    <s v="Check"/>
    <s v="FY25"/>
    <n v="0"/>
    <n v="1"/>
    <n v="0"/>
    <s v="LYBUNT (Lapsed 1 Yr)"/>
  </r>
  <r>
    <s v="TXN-10984"/>
    <s v="CON-6134"/>
    <x v="3"/>
    <d v="2025-03-02T00:00:00"/>
    <n v="70.45"/>
    <s v="Outright Gift"/>
    <x v="0"/>
    <x v="3"/>
    <s v="Credit Card"/>
    <s v="FY25"/>
    <n v="1"/>
    <n v="1"/>
    <n v="1"/>
    <s v="Retained/Active"/>
  </r>
  <r>
    <s v="TXN-10985"/>
    <s v="CON-2495"/>
    <x v="2"/>
    <d v="2024-02-28T00:00:00"/>
    <n v="167.96"/>
    <s v="Pledge Payment"/>
    <x v="0"/>
    <x v="1"/>
    <s v="EFT/ACH"/>
    <s v="FY24"/>
    <n v="1"/>
    <n v="1"/>
    <n v="1"/>
    <s v="Retained/Active"/>
  </r>
  <r>
    <s v="TXN-10986"/>
    <s v="CON-5493"/>
    <x v="1"/>
    <d v="2025-01-11T00:00:00"/>
    <n v="1008.88"/>
    <s v="Recurring Gift"/>
    <x v="0"/>
    <x v="3"/>
    <s v="Credit Card"/>
    <s v="FY25"/>
    <n v="0"/>
    <n v="1"/>
    <n v="1"/>
    <s v="Retained/Active"/>
  </r>
  <r>
    <s v="TXN-10987"/>
    <s v="CON-9529"/>
    <x v="0"/>
    <d v="2026-02-14T00:00:00"/>
    <n v="324.64"/>
    <s v="Pledge Payment"/>
    <x v="0"/>
    <x v="0"/>
    <s v="Credit Card"/>
    <s v="FY26"/>
    <n v="0"/>
    <n v="1"/>
    <n v="1"/>
    <s v="Retained/Active"/>
  </r>
  <r>
    <s v="TXN-10988"/>
    <s v="CON-6596"/>
    <x v="1"/>
    <d v="2023-08-01T00:00:00"/>
    <n v="158.96"/>
    <s v="Outright Gift"/>
    <x v="0"/>
    <x v="0"/>
    <s v="EFT/ACH"/>
    <s v="FY24"/>
    <n v="1"/>
    <n v="1"/>
    <n v="1"/>
    <s v="Retained/Active"/>
  </r>
  <r>
    <s v="TXN-10989"/>
    <s v="CON-4327"/>
    <x v="3"/>
    <d v="2024-07-25T00:00:00"/>
    <n v="317.36"/>
    <s v="Outright Gift"/>
    <x v="0"/>
    <x v="4"/>
    <s v="Check"/>
    <s v="FY25"/>
    <n v="1"/>
    <n v="1"/>
    <n v="1"/>
    <s v="Retained/Active"/>
  </r>
  <r>
    <s v="TXN-10990"/>
    <s v="CON-2218"/>
    <x v="0"/>
    <d v="2024-04-02T00:00:00"/>
    <n v="348.31"/>
    <s v="Recurring Gift"/>
    <x v="0"/>
    <x v="3"/>
    <s v="Check"/>
    <s v="FY24"/>
    <n v="1"/>
    <n v="1"/>
    <n v="1"/>
    <s v="Retained/Active"/>
  </r>
  <r>
    <s v="TXN-10991"/>
    <s v="CON-4890"/>
    <x v="2"/>
    <d v="2024-12-13T00:00:00"/>
    <n v="29.93"/>
    <s v="Outright Gift"/>
    <x v="1"/>
    <x v="0"/>
    <s v="EFT/ACH"/>
    <s v="FY25"/>
    <n v="1"/>
    <n v="1"/>
    <n v="0"/>
    <s v="LYBUNT (Lapsed 1 Yr)"/>
  </r>
  <r>
    <s v="TXN-10992"/>
    <s v="CON-5973"/>
    <x v="0"/>
    <d v="2024-07-17T00:00:00"/>
    <n v="128.28"/>
    <s v="Outright Gift"/>
    <x v="0"/>
    <x v="1"/>
    <s v="Credit Card"/>
    <s v="FY25"/>
    <n v="1"/>
    <n v="1"/>
    <n v="1"/>
    <s v="Retained/Active"/>
  </r>
  <r>
    <s v="TXN-10993"/>
    <s v="CON-4748"/>
    <x v="3"/>
    <d v="2025-11-30T00:00:00"/>
    <n v="3399.17"/>
    <s v="Outright Gift"/>
    <x v="0"/>
    <x v="2"/>
    <s v="EFT/ACH"/>
    <s v="FY26"/>
    <n v="1"/>
    <n v="1"/>
    <n v="1"/>
    <s v="Retained/Active"/>
  </r>
  <r>
    <s v="TXN-10994"/>
    <s v="CON-5499"/>
    <x v="3"/>
    <d v="2024-01-30T00:00:00"/>
    <n v="587.96"/>
    <s v="Outright Gift"/>
    <x v="0"/>
    <x v="2"/>
    <s v="EFT/ACH"/>
    <s v="FY24"/>
    <n v="1"/>
    <n v="1"/>
    <n v="1"/>
    <s v="Retained/Active"/>
  </r>
  <r>
    <s v="TXN-10995"/>
    <s v="CON-6699"/>
    <x v="0"/>
    <d v="2024-07-10T00:00:00"/>
    <n v="63.15"/>
    <s v="Pledge Payment"/>
    <x v="0"/>
    <x v="2"/>
    <s v="Credit Card"/>
    <s v="FY25"/>
    <n v="0"/>
    <n v="1"/>
    <n v="1"/>
    <s v="Retained/Active"/>
  </r>
  <r>
    <s v="TXN-10996"/>
    <s v="CON-7457"/>
    <x v="3"/>
    <d v="2025-07-13T00:00:00"/>
    <n v="55.47"/>
    <s v="Pledge Payment"/>
    <x v="0"/>
    <x v="4"/>
    <s v="Credit Card"/>
    <s v="FY26"/>
    <n v="1"/>
    <n v="1"/>
    <n v="1"/>
    <s v="Retained/Active"/>
  </r>
  <r>
    <s v="TXN-10997"/>
    <s v="CON-6949"/>
    <x v="0"/>
    <d v="2024-01-29T00:00:00"/>
    <n v="53.12"/>
    <s v="Outright Gift"/>
    <x v="0"/>
    <x v="3"/>
    <s v="Check"/>
    <s v="FY24"/>
    <n v="1"/>
    <n v="1"/>
    <n v="1"/>
    <s v="Retained/Active"/>
  </r>
  <r>
    <s v="TXN-10998"/>
    <s v="CON-2843"/>
    <x v="0"/>
    <d v="2023-09-17T00:00:00"/>
    <n v="374.73"/>
    <s v="Outright Gift"/>
    <x v="0"/>
    <x v="0"/>
    <s v="Credit Card"/>
    <s v="FY24"/>
    <n v="1"/>
    <n v="1"/>
    <n v="1"/>
    <s v="Retained/Active"/>
  </r>
  <r>
    <s v="TXN-10999"/>
    <s v="CON-4763"/>
    <x v="3"/>
    <d v="2025-03-19T00:00:00"/>
    <n v="982.34"/>
    <s v="Recurring Gift"/>
    <x v="1"/>
    <x v="1"/>
    <s v="Credit Card"/>
    <s v="FY25"/>
    <n v="1"/>
    <n v="1"/>
    <n v="1"/>
    <s v="Retained/Active"/>
  </r>
  <r>
    <s v="TXN-11000"/>
    <s v="CON-7331"/>
    <x v="0"/>
    <d v="2025-02-23T00:00:00"/>
    <n v="259"/>
    <s v="Outright Gift"/>
    <x v="0"/>
    <x v="0"/>
    <s v="Check"/>
    <s v="FY25"/>
    <n v="0"/>
    <n v="1"/>
    <n v="0"/>
    <s v="LYBUNT (Lapsed 1 Yr)"/>
  </r>
  <r>
    <s v="TXN-11001"/>
    <s v="CON-2843"/>
    <x v="4"/>
    <d v="2025-08-20T00:00:00"/>
    <n v="149.05000000000001"/>
    <s v="Outright Gift"/>
    <x v="0"/>
    <x v="2"/>
    <s v="Credit Card"/>
    <s v="FY26"/>
    <n v="1"/>
    <n v="1"/>
    <n v="1"/>
    <s v="Retained/Active"/>
  </r>
  <r>
    <s v="TXN-11002"/>
    <s v="CON-6442"/>
    <x v="1"/>
    <d v="2026-03-27T00:00:00"/>
    <n v="68.209999999999994"/>
    <s v="Estate/Planned Gift"/>
    <x v="0"/>
    <x v="2"/>
    <s v="Credit Card"/>
    <s v="FY26"/>
    <n v="1"/>
    <n v="1"/>
    <n v="1"/>
    <s v="Retained/Active"/>
  </r>
  <r>
    <s v="TXN-11003"/>
    <s v="CON-7420"/>
    <x v="1"/>
    <d v="2025-05-10T00:00:00"/>
    <n v="186.45"/>
    <s v="Outright Gift"/>
    <x v="0"/>
    <x v="0"/>
    <s v="EFT/ACH"/>
    <s v="FY25"/>
    <n v="1"/>
    <n v="1"/>
    <n v="0"/>
    <s v="LYBUNT (Lapsed 1 Yr)"/>
  </r>
  <r>
    <s v="TXN-11004"/>
    <s v="CON-5636"/>
    <x v="4"/>
    <d v="2023-08-27T00:00:00"/>
    <n v="41.84"/>
    <s v="Recurring Gift"/>
    <x v="0"/>
    <x v="0"/>
    <s v="Credit Card"/>
    <s v="FY24"/>
    <n v="1"/>
    <n v="0"/>
    <n v="0"/>
    <s v="SYBUNT (Lapsed Multi-Yr)"/>
  </r>
  <r>
    <s v="TXN-11005"/>
    <s v="CON-9815"/>
    <x v="1"/>
    <d v="2026-05-15T00:00:00"/>
    <n v="15"/>
    <s v="Outright Gift"/>
    <x v="1"/>
    <x v="1"/>
    <s v="EFT/ACH"/>
    <s v="FY26"/>
    <n v="1"/>
    <n v="0"/>
    <n v="1"/>
    <s v="Retained/Active"/>
  </r>
  <r>
    <s v="TXN-11006"/>
    <s v="CON-1995"/>
    <x v="4"/>
    <d v="2025-11-27T00:00:00"/>
    <n v="1020.32"/>
    <s v="Outright Gift"/>
    <x v="0"/>
    <x v="1"/>
    <s v="Credit Card"/>
    <s v="FY26"/>
    <n v="1"/>
    <n v="1"/>
    <n v="1"/>
    <s v="Retained/Active"/>
  </r>
  <r>
    <s v="TXN-11007"/>
    <s v="CON-2028"/>
    <x v="4"/>
    <d v="2024-09-19T00:00:00"/>
    <n v="32.869999999999997"/>
    <s v="Outright Gift"/>
    <x v="0"/>
    <x v="0"/>
    <s v="Credit Card"/>
    <s v="FY25"/>
    <n v="1"/>
    <n v="1"/>
    <n v="1"/>
    <s v="Retained/Active"/>
  </r>
  <r>
    <s v="TXN-11008"/>
    <s v="CON-3612"/>
    <x v="1"/>
    <d v="2023-09-04T00:00:00"/>
    <n v="79.66"/>
    <s v="Estate/Planned Gift"/>
    <x v="0"/>
    <x v="1"/>
    <s v="Credit Card"/>
    <s v="FY24"/>
    <n v="1"/>
    <n v="1"/>
    <n v="1"/>
    <s v="Retained/Active"/>
  </r>
  <r>
    <s v="TXN-11009"/>
    <s v="CON-3047"/>
    <x v="0"/>
    <d v="2026-04-07T00:00:00"/>
    <n v="285.22000000000003"/>
    <s v="Outright Gift"/>
    <x v="0"/>
    <x v="1"/>
    <s v="Stock Transfer"/>
    <s v="FY26"/>
    <n v="1"/>
    <n v="1"/>
    <n v="1"/>
    <s v="Retained/Active"/>
  </r>
  <r>
    <s v="TXN-11010"/>
    <s v="CON-9792"/>
    <x v="1"/>
    <d v="2024-02-12T00:00:00"/>
    <n v="784.31"/>
    <s v="Outright Gift"/>
    <x v="1"/>
    <x v="1"/>
    <s v="Credit Card"/>
    <s v="FY24"/>
    <n v="1"/>
    <n v="1"/>
    <n v="1"/>
    <s v="Retained/Active"/>
  </r>
  <r>
    <s v="TXN-11011"/>
    <s v="CON-9319"/>
    <x v="0"/>
    <d v="2025-08-12T00:00:00"/>
    <n v="169.74"/>
    <s v="Estate/Planned Gift"/>
    <x v="0"/>
    <x v="0"/>
    <s v="Credit Card"/>
    <s v="FY26"/>
    <n v="1"/>
    <n v="0"/>
    <n v="1"/>
    <s v="Retained/Active"/>
  </r>
  <r>
    <s v="TXN-11012"/>
    <s v="CON-7668"/>
    <x v="1"/>
    <d v="2025-05-09T00:00:00"/>
    <n v="25.74"/>
    <s v="Outright Gift"/>
    <x v="0"/>
    <x v="1"/>
    <s v="Credit Card"/>
    <s v="FY25"/>
    <n v="0"/>
    <n v="1"/>
    <n v="0"/>
    <s v="LYBUNT (Lapsed 1 Yr)"/>
  </r>
  <r>
    <s v="TXN-11013"/>
    <s v="CON-7197"/>
    <x v="1"/>
    <d v="2025-02-20T00:00:00"/>
    <n v="82.13"/>
    <s v="Outright Gift"/>
    <x v="0"/>
    <x v="3"/>
    <s v="Credit Card"/>
    <s v="FY25"/>
    <n v="0"/>
    <n v="1"/>
    <n v="1"/>
    <s v="Retained/Active"/>
  </r>
  <r>
    <s v="TXN-11014"/>
    <s v="CON-7938"/>
    <x v="0"/>
    <d v="2024-07-13T00:00:00"/>
    <n v="50.3"/>
    <s v="Outright Gift"/>
    <x v="0"/>
    <x v="0"/>
    <s v="Credit Card"/>
    <s v="FY25"/>
    <n v="1"/>
    <n v="1"/>
    <n v="1"/>
    <s v="Retained/Active"/>
  </r>
  <r>
    <s v="TXN-11015"/>
    <s v="CON-6172"/>
    <x v="0"/>
    <d v="2025-06-08T00:00:00"/>
    <n v="115.62"/>
    <s v="Pledge Payment"/>
    <x v="0"/>
    <x v="2"/>
    <s v="Credit Card"/>
    <s v="FY25"/>
    <n v="1"/>
    <n v="1"/>
    <n v="0"/>
    <s v="LYBUNT (Lapsed 1 Yr)"/>
  </r>
  <r>
    <s v="TXN-11016"/>
    <s v="CON-9110"/>
    <x v="4"/>
    <d v="2024-05-02T00:00:00"/>
    <n v="602.79999999999995"/>
    <s v="Outright Gift"/>
    <x v="0"/>
    <x v="2"/>
    <s v="Credit Card"/>
    <s v="FY24"/>
    <n v="1"/>
    <n v="0"/>
    <n v="0"/>
    <s v="SYBUNT (Lapsed Multi-Yr)"/>
  </r>
  <r>
    <s v="TXN-11017"/>
    <s v="CON-8987"/>
    <x v="3"/>
    <d v="2025-08-17T00:00:00"/>
    <n v="15"/>
    <s v="Outright Gift"/>
    <x v="0"/>
    <x v="1"/>
    <s v="Credit Card"/>
    <s v="FY26"/>
    <n v="0"/>
    <n v="0"/>
    <n v="1"/>
    <s v="Retained/Active"/>
  </r>
  <r>
    <s v="TXN-11018"/>
    <s v="CON-1769"/>
    <x v="2"/>
    <d v="2024-11-15T00:00:00"/>
    <n v="71.180000000000007"/>
    <s v="Outright Gift"/>
    <x v="0"/>
    <x v="0"/>
    <s v="EFT/ACH"/>
    <s v="FY25"/>
    <n v="1"/>
    <n v="1"/>
    <n v="0"/>
    <s v="LYBUNT (Lapsed 1 Yr)"/>
  </r>
  <r>
    <s v="TXN-11019"/>
    <s v="CON-4444"/>
    <x v="0"/>
    <d v="2024-03-24T00:00:00"/>
    <n v="64.760000000000005"/>
    <s v="Outright Gift"/>
    <x v="1"/>
    <x v="4"/>
    <s v="EFT/ACH"/>
    <s v="FY24"/>
    <n v="1"/>
    <n v="1"/>
    <n v="1"/>
    <s v="Retained/Active"/>
  </r>
  <r>
    <s v="TXN-11020"/>
    <s v="CON-6056"/>
    <x v="3"/>
    <d v="2023-07-08T00:00:00"/>
    <n v="23.72"/>
    <s v="Estate/Planned Gift"/>
    <x v="0"/>
    <x v="2"/>
    <s v="Credit Card"/>
    <s v="FY24"/>
    <n v="1"/>
    <n v="0"/>
    <n v="1"/>
    <s v="Retained/Active"/>
  </r>
  <r>
    <s v="TXN-11021"/>
    <s v="CON-7235"/>
    <x v="0"/>
    <d v="2024-11-19T00:00:00"/>
    <n v="260.12"/>
    <s v="Recurring Gift"/>
    <x v="0"/>
    <x v="4"/>
    <s v="Credit Card"/>
    <s v="FY25"/>
    <n v="1"/>
    <n v="1"/>
    <n v="0"/>
    <s v="LYBUNT (Lapsed 1 Yr)"/>
  </r>
  <r>
    <s v="TXN-11022"/>
    <s v="CON-1154"/>
    <x v="2"/>
    <d v="2024-10-18T00:00:00"/>
    <n v="19.309999999999999"/>
    <s v="Pledge Payment"/>
    <x v="0"/>
    <x v="2"/>
    <s v="EFT/ACH"/>
    <s v="FY25"/>
    <n v="1"/>
    <n v="1"/>
    <n v="0"/>
    <s v="LYBUNT (Lapsed 1 Yr)"/>
  </r>
  <r>
    <s v="TXN-11023"/>
    <s v="CON-7420"/>
    <x v="4"/>
    <d v="2023-12-11T00:00:00"/>
    <n v="22.42"/>
    <s v="Recurring Gift"/>
    <x v="0"/>
    <x v="1"/>
    <s v="EFT/ACH"/>
    <s v="FY24"/>
    <n v="1"/>
    <n v="1"/>
    <n v="0"/>
    <s v="LYBUNT (Lapsed 1 Yr)"/>
  </r>
  <r>
    <s v="TXN-11024"/>
    <s v="CON-6919"/>
    <x v="0"/>
    <d v="2024-10-27T00:00:00"/>
    <n v="367.38"/>
    <s v="Pledge Payment"/>
    <x v="1"/>
    <x v="1"/>
    <s v="Credit Card"/>
    <s v="FY25"/>
    <n v="1"/>
    <n v="1"/>
    <n v="1"/>
    <s v="Retained/Active"/>
  </r>
  <r>
    <s v="TXN-11025"/>
    <s v="CON-7873"/>
    <x v="2"/>
    <d v="2025-01-17T00:00:00"/>
    <n v="854.69"/>
    <s v="Outright Gift"/>
    <x v="0"/>
    <x v="0"/>
    <s v="Check"/>
    <s v="FY25"/>
    <n v="0"/>
    <n v="1"/>
    <n v="1"/>
    <s v="Retained/Active"/>
  </r>
  <r>
    <s v="TXN-11026"/>
    <s v="CON-8206"/>
    <x v="3"/>
    <d v="2025-12-21T00:00:00"/>
    <n v="110.07"/>
    <s v="Pledge Payment"/>
    <x v="0"/>
    <x v="0"/>
    <s v="Credit Card"/>
    <s v="FY26"/>
    <n v="1"/>
    <n v="1"/>
    <n v="1"/>
    <s v="Retained/Active"/>
  </r>
  <r>
    <s v="TXN-11027"/>
    <s v="CON-4009"/>
    <x v="4"/>
    <d v="2025-01-09T00:00:00"/>
    <n v="24.96"/>
    <s v="Outright Gift"/>
    <x v="0"/>
    <x v="1"/>
    <s v="Credit Card"/>
    <s v="FY25"/>
    <n v="1"/>
    <n v="1"/>
    <n v="1"/>
    <s v="Retained/Active"/>
  </r>
  <r>
    <s v="TXN-11028"/>
    <s v="CON-1769"/>
    <x v="2"/>
    <d v="2024-02-23T00:00:00"/>
    <n v="48.56"/>
    <s v="Outright Gift"/>
    <x v="0"/>
    <x v="3"/>
    <s v="Credit Card"/>
    <s v="FY24"/>
    <n v="1"/>
    <n v="1"/>
    <n v="0"/>
    <s v="LYBUNT (Lapsed 1 Yr)"/>
  </r>
  <r>
    <s v="TXN-11029"/>
    <s v="CON-9716"/>
    <x v="0"/>
    <d v="2025-01-04T00:00:00"/>
    <n v="450.52"/>
    <s v="Recurring Gift"/>
    <x v="0"/>
    <x v="0"/>
    <s v="Check"/>
    <s v="FY25"/>
    <n v="1"/>
    <n v="1"/>
    <n v="1"/>
    <s v="Retained/Active"/>
  </r>
  <r>
    <s v="TXN-11030"/>
    <s v="CON-9006"/>
    <x v="0"/>
    <d v="2025-10-05T00:00:00"/>
    <n v="141.37"/>
    <s v="Outright Gift"/>
    <x v="0"/>
    <x v="1"/>
    <s v="Credit Card"/>
    <s v="FY26"/>
    <n v="1"/>
    <n v="0"/>
    <n v="1"/>
    <s v="Retained/Active"/>
  </r>
  <r>
    <s v="TXN-11031"/>
    <s v="CON-7287"/>
    <x v="1"/>
    <d v="2024-10-10T00:00:00"/>
    <n v="106.55"/>
    <s v="Recurring Gift"/>
    <x v="1"/>
    <x v="3"/>
    <s v="EFT/ACH"/>
    <s v="FY25"/>
    <n v="1"/>
    <n v="1"/>
    <n v="0"/>
    <s v="LYBUNT (Lapsed 1 Yr)"/>
  </r>
  <r>
    <s v="TXN-11032"/>
    <s v="CON-5777"/>
    <x v="3"/>
    <d v="2024-07-20T00:00:00"/>
    <n v="182.54"/>
    <s v="Outright Gift"/>
    <x v="0"/>
    <x v="3"/>
    <s v="Credit Card"/>
    <s v="FY25"/>
    <n v="0"/>
    <n v="1"/>
    <n v="1"/>
    <s v="Retained/Active"/>
  </r>
  <r>
    <s v="TXN-11033"/>
    <s v="CON-5893"/>
    <x v="1"/>
    <d v="2025-08-13T00:00:00"/>
    <n v="115.7"/>
    <s v="Pledge Payment"/>
    <x v="1"/>
    <x v="0"/>
    <s v="Credit Card"/>
    <s v="FY26"/>
    <n v="1"/>
    <n v="1"/>
    <n v="1"/>
    <s v="Retained/Active"/>
  </r>
  <r>
    <s v="TXN-11034"/>
    <s v="CON-1663"/>
    <x v="3"/>
    <d v="2025-10-25T00:00:00"/>
    <n v="906.35"/>
    <s v="Outright Gift"/>
    <x v="0"/>
    <x v="3"/>
    <s v="Credit Card"/>
    <s v="FY26"/>
    <n v="1"/>
    <n v="0"/>
    <n v="1"/>
    <s v="Retained/Active"/>
  </r>
  <r>
    <s v="TXN-11035"/>
    <s v="CON-3568"/>
    <x v="1"/>
    <d v="2024-07-21T00:00:00"/>
    <n v="45.88"/>
    <s v="Pledge Payment"/>
    <x v="0"/>
    <x v="3"/>
    <s v="Check"/>
    <s v="FY25"/>
    <n v="1"/>
    <n v="1"/>
    <n v="1"/>
    <s v="Retained/Active"/>
  </r>
  <r>
    <s v="TXN-11036"/>
    <s v="CON-1262"/>
    <x v="1"/>
    <d v="2025-11-23T00:00:00"/>
    <n v="39.520000000000003"/>
    <s v="Pledge Payment"/>
    <x v="0"/>
    <x v="0"/>
    <s v="Credit Card"/>
    <s v="FY26"/>
    <n v="1"/>
    <n v="1"/>
    <n v="1"/>
    <s v="Retained/Active"/>
  </r>
  <r>
    <s v="TXN-11037"/>
    <s v="CON-6237"/>
    <x v="0"/>
    <d v="2024-03-15T00:00:00"/>
    <n v="20.12"/>
    <s v="Outright Gift"/>
    <x v="0"/>
    <x v="1"/>
    <s v="Credit Card"/>
    <s v="FY24"/>
    <n v="1"/>
    <n v="1"/>
    <n v="1"/>
    <s v="Retained/Active"/>
  </r>
  <r>
    <s v="TXN-11038"/>
    <s v="CON-9338"/>
    <x v="2"/>
    <d v="2024-04-08T00:00:00"/>
    <n v="60.22"/>
    <s v="Outright Gift"/>
    <x v="0"/>
    <x v="1"/>
    <s v="Credit Card"/>
    <s v="FY24"/>
    <n v="1"/>
    <n v="1"/>
    <n v="1"/>
    <s v="Retained/Active"/>
  </r>
  <r>
    <s v="TXN-11039"/>
    <s v="CON-2734"/>
    <x v="1"/>
    <d v="2023-08-09T00:00:00"/>
    <n v="29.38"/>
    <s v="Outright Gift"/>
    <x v="1"/>
    <x v="0"/>
    <s v="Check"/>
    <s v="FY24"/>
    <n v="1"/>
    <n v="0"/>
    <n v="0"/>
    <s v="SYBUNT (Lapsed Multi-Yr)"/>
  </r>
  <r>
    <s v="TXN-11040"/>
    <s v="CON-3047"/>
    <x v="0"/>
    <d v="2024-10-28T00:00:00"/>
    <n v="161.34"/>
    <s v="Outright Gift"/>
    <x v="1"/>
    <x v="1"/>
    <s v="Credit Card"/>
    <s v="FY25"/>
    <n v="1"/>
    <n v="1"/>
    <n v="1"/>
    <s v="Retained/Active"/>
  </r>
  <r>
    <s v="TXN-11041"/>
    <s v="CON-6892"/>
    <x v="0"/>
    <d v="2026-01-14T00:00:00"/>
    <n v="124.86"/>
    <s v="Pledge Payment"/>
    <x v="1"/>
    <x v="4"/>
    <s v="Credit Card"/>
    <s v="FY26"/>
    <n v="1"/>
    <n v="1"/>
    <n v="1"/>
    <s v="Retained/Active"/>
  </r>
  <r>
    <s v="TXN-11042"/>
    <s v="CON-8683"/>
    <x v="1"/>
    <d v="2024-02-05T00:00:00"/>
    <n v="29.88"/>
    <s v="Recurring Gift"/>
    <x v="0"/>
    <x v="2"/>
    <s v="Credit Card"/>
    <s v="FY24"/>
    <n v="1"/>
    <n v="1"/>
    <n v="1"/>
    <s v="Retained/Active"/>
  </r>
  <r>
    <s v="TXN-11043"/>
    <s v="CON-8526"/>
    <x v="1"/>
    <d v="2026-04-10T00:00:00"/>
    <n v="261.36"/>
    <s v="Outright Gift"/>
    <x v="1"/>
    <x v="2"/>
    <s v="Stock Transfer"/>
    <s v="FY26"/>
    <n v="0"/>
    <n v="1"/>
    <n v="1"/>
    <s v="Retained/Active"/>
  </r>
  <r>
    <s v="TXN-11044"/>
    <s v="CON-1161"/>
    <x v="3"/>
    <d v="2026-04-19T00:00:00"/>
    <n v="872.93"/>
    <s v="Pledge Payment"/>
    <x v="0"/>
    <x v="4"/>
    <s v="Check"/>
    <s v="FY26"/>
    <n v="1"/>
    <n v="0"/>
    <n v="1"/>
    <s v="Retained/Active"/>
  </r>
  <r>
    <s v="TXN-11045"/>
    <s v="CON-6949"/>
    <x v="0"/>
    <d v="2025-03-04T00:00:00"/>
    <n v="193.48"/>
    <s v="Recurring Gift"/>
    <x v="0"/>
    <x v="3"/>
    <s v="EFT/ACH"/>
    <s v="FY25"/>
    <n v="1"/>
    <n v="1"/>
    <n v="1"/>
    <s v="Retained/Active"/>
  </r>
  <r>
    <s v="TXN-11046"/>
    <s v="CON-3747"/>
    <x v="1"/>
    <d v="2026-01-13T00:00:00"/>
    <n v="15"/>
    <s v="Outright Gift"/>
    <x v="0"/>
    <x v="1"/>
    <s v="Credit Card"/>
    <s v="FY26"/>
    <n v="0"/>
    <n v="1"/>
    <n v="1"/>
    <s v="Retained/Active"/>
  </r>
  <r>
    <s v="TXN-11047"/>
    <s v="CON-1775"/>
    <x v="3"/>
    <d v="2025-05-18T00:00:00"/>
    <n v="1608.84"/>
    <s v="Pledge Payment"/>
    <x v="0"/>
    <x v="1"/>
    <s v="Credit Card"/>
    <s v="FY25"/>
    <n v="1"/>
    <n v="1"/>
    <n v="1"/>
    <s v="Retained/Active"/>
  </r>
  <r>
    <s v="TXN-11048"/>
    <s v="CON-2184"/>
    <x v="4"/>
    <d v="2025-03-04T00:00:00"/>
    <n v="320.86"/>
    <s v="Recurring Gift"/>
    <x v="0"/>
    <x v="2"/>
    <s v="Check"/>
    <s v="FY25"/>
    <n v="1"/>
    <n v="1"/>
    <n v="1"/>
    <s v="Retained/Active"/>
  </r>
  <r>
    <s v="TXN-11049"/>
    <s v="CON-6600"/>
    <x v="2"/>
    <d v="2024-03-16T00:00:00"/>
    <n v="1545.87"/>
    <s v="Outright Gift"/>
    <x v="0"/>
    <x v="0"/>
    <s v="Credit Card"/>
    <s v="FY24"/>
    <n v="1"/>
    <n v="1"/>
    <n v="0"/>
    <s v="LYBUNT (Lapsed 1 Yr)"/>
  </r>
  <r>
    <s v="TXN-11050"/>
    <s v="CON-6051"/>
    <x v="0"/>
    <d v="2026-03-16T00:00:00"/>
    <n v="501.67"/>
    <s v="Outright Gift"/>
    <x v="1"/>
    <x v="0"/>
    <s v="Credit Card"/>
    <s v="FY26"/>
    <n v="1"/>
    <n v="0"/>
    <n v="1"/>
    <s v="Retained/Active"/>
  </r>
  <r>
    <s v="TXN-11051"/>
    <s v="CON-3911"/>
    <x v="3"/>
    <d v="2026-02-20T00:00:00"/>
    <n v="650.45000000000005"/>
    <s v="Outright Gift"/>
    <x v="0"/>
    <x v="2"/>
    <s v="Credit Card"/>
    <s v="FY26"/>
    <n v="0"/>
    <n v="0"/>
    <n v="1"/>
    <s v="Retained/Active"/>
  </r>
  <r>
    <s v="TXN-11052"/>
    <s v="CON-1699"/>
    <x v="4"/>
    <d v="2024-06-30T00:00:00"/>
    <n v="158.66999999999999"/>
    <s v="Estate/Planned Gift"/>
    <x v="0"/>
    <x v="4"/>
    <s v="Check"/>
    <s v="FY24"/>
    <n v="1"/>
    <n v="1"/>
    <n v="1"/>
    <s v="Retained/Active"/>
  </r>
  <r>
    <s v="TXN-11053"/>
    <s v="CON-6618"/>
    <x v="3"/>
    <d v="2024-12-25T00:00:00"/>
    <n v="86.4"/>
    <s v="Recurring Gift"/>
    <x v="1"/>
    <x v="0"/>
    <s v="Credit Card"/>
    <s v="FY25"/>
    <n v="1"/>
    <n v="1"/>
    <n v="0"/>
    <s v="LYBUNT (Lapsed 1 Yr)"/>
  </r>
  <r>
    <s v="TXN-11054"/>
    <s v="CON-2218"/>
    <x v="0"/>
    <d v="2025-04-09T00:00:00"/>
    <n v="197.46"/>
    <s v="Pledge Payment"/>
    <x v="0"/>
    <x v="2"/>
    <s v="EFT/ACH"/>
    <s v="FY25"/>
    <n v="1"/>
    <n v="1"/>
    <n v="1"/>
    <s v="Retained/Active"/>
  </r>
  <r>
    <s v="TXN-11055"/>
    <s v="CON-7617"/>
    <x v="2"/>
    <d v="2025-09-21T00:00:00"/>
    <n v="48.36"/>
    <s v="Outright Gift"/>
    <x v="1"/>
    <x v="1"/>
    <s v="Check"/>
    <s v="FY26"/>
    <n v="1"/>
    <n v="1"/>
    <n v="1"/>
    <s v="Retained/Active"/>
  </r>
  <r>
    <s v="TXN-11056"/>
    <s v="CON-8679"/>
    <x v="2"/>
    <d v="2026-05-05T00:00:00"/>
    <n v="213.59"/>
    <s v="Outright Gift"/>
    <x v="0"/>
    <x v="2"/>
    <s v="Credit Card"/>
    <s v="FY26"/>
    <n v="0"/>
    <n v="1"/>
    <n v="1"/>
    <s v="Retained/Active"/>
  </r>
  <r>
    <s v="TXN-11057"/>
    <s v="CON-2148"/>
    <x v="1"/>
    <d v="2025-01-25T00:00:00"/>
    <n v="15"/>
    <s v="Outright Gift"/>
    <x v="0"/>
    <x v="1"/>
    <s v="Credit Card"/>
    <s v="FY25"/>
    <n v="1"/>
    <n v="1"/>
    <n v="1"/>
    <s v="Retained/Active"/>
  </r>
  <r>
    <s v="TXN-11058"/>
    <s v="CON-1863"/>
    <x v="0"/>
    <d v="2026-04-08T00:00:00"/>
    <n v="128.47999999999999"/>
    <s v="Outright Gift"/>
    <x v="0"/>
    <x v="3"/>
    <s v="Stock Transfer"/>
    <s v="FY26"/>
    <n v="0"/>
    <n v="1"/>
    <n v="1"/>
    <s v="Retained/Active"/>
  </r>
  <r>
    <s v="TXN-11059"/>
    <s v="CON-1466"/>
    <x v="3"/>
    <d v="2025-04-30T00:00:00"/>
    <n v="697.9"/>
    <s v="Pledge Payment"/>
    <x v="0"/>
    <x v="1"/>
    <s v="Stock Transfer"/>
    <s v="FY25"/>
    <n v="0"/>
    <n v="1"/>
    <n v="0"/>
    <s v="LYBUNT (Lapsed 1 Yr)"/>
  </r>
  <r>
    <s v="TXN-11060"/>
    <s v="CON-2663"/>
    <x v="2"/>
    <d v="2024-03-25T00:00:00"/>
    <n v="137.36000000000001"/>
    <s v="Estate/Planned Gift"/>
    <x v="0"/>
    <x v="2"/>
    <s v="Check"/>
    <s v="FY24"/>
    <n v="1"/>
    <n v="1"/>
    <n v="1"/>
    <s v="Retained/Active"/>
  </r>
  <r>
    <s v="TXN-11061"/>
    <s v="CON-2081"/>
    <x v="0"/>
    <d v="2026-01-09T00:00:00"/>
    <n v="1147.94"/>
    <s v="Recurring Gift"/>
    <x v="0"/>
    <x v="1"/>
    <s v="EFT/ACH"/>
    <s v="FY26"/>
    <n v="1"/>
    <n v="1"/>
    <n v="1"/>
    <s v="Retained/Active"/>
  </r>
  <r>
    <s v="TXN-11062"/>
    <s v="CON-5931"/>
    <x v="2"/>
    <d v="2024-03-03T00:00:00"/>
    <n v="86.24"/>
    <s v="Pledge Payment"/>
    <x v="0"/>
    <x v="1"/>
    <s v="Credit Card"/>
    <s v="FY24"/>
    <n v="1"/>
    <n v="0"/>
    <n v="0"/>
    <s v="SYBUNT (Lapsed Multi-Yr)"/>
  </r>
  <r>
    <s v="TXN-11063"/>
    <s v="CON-7002"/>
    <x v="1"/>
    <d v="2023-11-08T00:00:00"/>
    <n v="447.4"/>
    <s v="Outright Gift"/>
    <x v="1"/>
    <x v="0"/>
    <s v="Check"/>
    <s v="FY24"/>
    <n v="1"/>
    <n v="1"/>
    <n v="0"/>
    <s v="LYBUNT (Lapsed 1 Yr)"/>
  </r>
  <r>
    <s v="TXN-11064"/>
    <s v="CON-1537"/>
    <x v="0"/>
    <d v="2024-06-17T00:00:00"/>
    <n v="38.79"/>
    <s v="Outright Gift"/>
    <x v="0"/>
    <x v="0"/>
    <s v="Credit Card"/>
    <s v="FY24"/>
    <n v="1"/>
    <n v="1"/>
    <n v="0"/>
    <s v="LYBUNT (Lapsed 1 Yr)"/>
  </r>
  <r>
    <s v="TXN-11065"/>
    <s v="CON-1262"/>
    <x v="3"/>
    <d v="2024-01-12T00:00:00"/>
    <n v="424.34"/>
    <s v="Outright Gift"/>
    <x v="0"/>
    <x v="1"/>
    <s v="Check"/>
    <s v="FY24"/>
    <n v="1"/>
    <n v="1"/>
    <n v="1"/>
    <s v="Retained/Active"/>
  </r>
  <r>
    <s v="TXN-11066"/>
    <s v="CON-6463"/>
    <x v="1"/>
    <d v="2026-01-15T00:00:00"/>
    <n v="164.41"/>
    <s v="Pledge Payment"/>
    <x v="0"/>
    <x v="1"/>
    <s v="Check"/>
    <s v="FY26"/>
    <n v="0"/>
    <n v="1"/>
    <n v="1"/>
    <s v="Retained/Active"/>
  </r>
  <r>
    <s v="TXN-11067"/>
    <s v="CON-8400"/>
    <x v="1"/>
    <d v="2026-04-17T00:00:00"/>
    <n v="91.32"/>
    <s v="Recurring Gift"/>
    <x v="0"/>
    <x v="2"/>
    <s v="EFT/ACH"/>
    <s v="FY26"/>
    <n v="1"/>
    <n v="1"/>
    <n v="1"/>
    <s v="Retained/Active"/>
  </r>
  <r>
    <s v="TXN-11068"/>
    <s v="CON-1512"/>
    <x v="4"/>
    <d v="2025-04-05T00:00:00"/>
    <n v="15"/>
    <s v="Outright Gift"/>
    <x v="0"/>
    <x v="2"/>
    <s v="Check"/>
    <s v="FY25"/>
    <n v="0"/>
    <n v="1"/>
    <n v="0"/>
    <s v="LYBUNT (Lapsed 1 Yr)"/>
  </r>
  <r>
    <s v="TXN-11069"/>
    <s v="CON-4840"/>
    <x v="1"/>
    <d v="2024-02-12T00:00:00"/>
    <n v="87.3"/>
    <s v="Outright Gift"/>
    <x v="1"/>
    <x v="1"/>
    <s v="EFT/ACH"/>
    <s v="FY24"/>
    <n v="1"/>
    <n v="0"/>
    <n v="1"/>
    <s v="Retained/Active"/>
  </r>
  <r>
    <s v="TXN-11070"/>
    <s v="CON-3205"/>
    <x v="0"/>
    <d v="2025-05-31T00:00:00"/>
    <n v="160.37"/>
    <s v="Outright Gift"/>
    <x v="0"/>
    <x v="2"/>
    <s v="Credit Card"/>
    <s v="FY25"/>
    <n v="0"/>
    <n v="1"/>
    <n v="1"/>
    <s v="Retained/Active"/>
  </r>
  <r>
    <s v="TXN-11071"/>
    <s v="CON-3433"/>
    <x v="4"/>
    <d v="2024-03-21T00:00:00"/>
    <n v="356.85"/>
    <s v="Outright Gift"/>
    <x v="0"/>
    <x v="1"/>
    <s v="EFT/ACH"/>
    <s v="FY24"/>
    <n v="1"/>
    <n v="1"/>
    <n v="1"/>
    <s v="Retained/Active"/>
  </r>
  <r>
    <s v="TXN-11072"/>
    <s v="CON-4581"/>
    <x v="2"/>
    <d v="2025-04-06T00:00:00"/>
    <n v="924.48"/>
    <s v="Outright Gift"/>
    <x v="0"/>
    <x v="0"/>
    <s v="Credit Card"/>
    <s v="FY25"/>
    <n v="1"/>
    <n v="1"/>
    <n v="0"/>
    <s v="LYBUNT (Lapsed 1 Yr)"/>
  </r>
  <r>
    <s v="TXN-11073"/>
    <s v="CON-2495"/>
    <x v="2"/>
    <d v="2024-01-27T00:00:00"/>
    <n v="1712.21"/>
    <s v="Outright Gift"/>
    <x v="0"/>
    <x v="1"/>
    <s v="Credit Card"/>
    <s v="FY24"/>
    <n v="1"/>
    <n v="1"/>
    <n v="1"/>
    <s v="Retained/Active"/>
  </r>
  <r>
    <s v="TXN-11074"/>
    <s v="CON-7938"/>
    <x v="3"/>
    <d v="2026-01-28T00:00:00"/>
    <n v="614.09"/>
    <s v="Outright Gift"/>
    <x v="1"/>
    <x v="0"/>
    <s v="Credit Card"/>
    <s v="FY26"/>
    <n v="1"/>
    <n v="1"/>
    <n v="1"/>
    <s v="Retained/Active"/>
  </r>
  <r>
    <s v="TXN-11075"/>
    <s v="CON-2930"/>
    <x v="1"/>
    <d v="2024-09-29T00:00:00"/>
    <n v="58.51"/>
    <s v="Recurring Gift"/>
    <x v="0"/>
    <x v="1"/>
    <s v="Credit Card"/>
    <s v="FY25"/>
    <n v="0"/>
    <n v="1"/>
    <n v="1"/>
    <s v="Retained/Active"/>
  </r>
  <r>
    <s v="TXN-11076"/>
    <s v="CON-5014"/>
    <x v="2"/>
    <d v="2025-06-24T00:00:00"/>
    <n v="81.760000000000005"/>
    <s v="Outright Gift"/>
    <x v="0"/>
    <x v="4"/>
    <s v="Check"/>
    <s v="FY25"/>
    <n v="1"/>
    <n v="1"/>
    <n v="1"/>
    <s v="Retained/Active"/>
  </r>
  <r>
    <s v="TXN-11077"/>
    <s v="CON-9996"/>
    <x v="0"/>
    <d v="2026-03-08T00:00:00"/>
    <n v="317.54000000000002"/>
    <s v="Outright Gift"/>
    <x v="0"/>
    <x v="1"/>
    <s v="Stock Transfer"/>
    <s v="FY26"/>
    <n v="1"/>
    <n v="1"/>
    <n v="1"/>
    <s v="Retained/Active"/>
  </r>
  <r>
    <s v="TXN-11078"/>
    <s v="CON-7668"/>
    <x v="3"/>
    <d v="2025-02-07T00:00:00"/>
    <n v="238.77"/>
    <s v="Outright Gift"/>
    <x v="0"/>
    <x v="1"/>
    <s v="Credit Card"/>
    <s v="FY25"/>
    <n v="0"/>
    <n v="1"/>
    <n v="0"/>
    <s v="LYBUNT (Lapsed 1 Yr)"/>
  </r>
  <r>
    <s v="TXN-11079"/>
    <s v="CON-6854"/>
    <x v="0"/>
    <d v="2024-10-18T00:00:00"/>
    <n v="1009.14"/>
    <s v="Outright Gift"/>
    <x v="0"/>
    <x v="1"/>
    <s v="Credit Card"/>
    <s v="FY25"/>
    <n v="1"/>
    <n v="1"/>
    <n v="0"/>
    <s v="LYBUNT (Lapsed 1 Yr)"/>
  </r>
  <r>
    <s v="TXN-11080"/>
    <s v="CON-6249"/>
    <x v="2"/>
    <d v="2026-03-12T00:00:00"/>
    <n v="3050.94"/>
    <s v="Outright Gift"/>
    <x v="0"/>
    <x v="3"/>
    <s v="Credit Card"/>
    <s v="FY26"/>
    <n v="0"/>
    <n v="1"/>
    <n v="1"/>
    <s v="Retained/Active"/>
  </r>
  <r>
    <s v="TXN-11081"/>
    <s v="CON-9004"/>
    <x v="0"/>
    <d v="2023-12-03T00:00:00"/>
    <n v="2315.39"/>
    <s v="Outright Gift"/>
    <x v="1"/>
    <x v="2"/>
    <s v="Stock Transfer"/>
    <s v="FY24"/>
    <n v="1"/>
    <n v="1"/>
    <n v="1"/>
    <s v="Retained/Active"/>
  </r>
  <r>
    <s v="TXN-11082"/>
    <s v="CON-9308"/>
    <x v="0"/>
    <d v="2024-01-06T00:00:00"/>
    <n v="847.35"/>
    <s v="Outright Gift"/>
    <x v="1"/>
    <x v="2"/>
    <s v="Credit Card"/>
    <s v="FY24"/>
    <n v="1"/>
    <n v="1"/>
    <n v="1"/>
    <s v="Retained/Active"/>
  </r>
  <r>
    <s v="TXN-11083"/>
    <s v="CON-9792"/>
    <x v="3"/>
    <d v="2026-03-07T00:00:00"/>
    <n v="241.36"/>
    <s v="Outright Gift"/>
    <x v="0"/>
    <x v="4"/>
    <s v="EFT/ACH"/>
    <s v="FY26"/>
    <n v="1"/>
    <n v="1"/>
    <n v="1"/>
    <s v="Retained/Active"/>
  </r>
  <r>
    <s v="TXN-11084"/>
    <s v="CON-6311"/>
    <x v="2"/>
    <d v="2024-12-27T00:00:00"/>
    <n v="702.13"/>
    <s v="Pledge Payment"/>
    <x v="0"/>
    <x v="4"/>
    <s v="Check"/>
    <s v="FY25"/>
    <n v="1"/>
    <n v="1"/>
    <n v="1"/>
    <s v="Retained/Active"/>
  </r>
  <r>
    <s v="TXN-11085"/>
    <s v="CON-4672"/>
    <x v="2"/>
    <d v="2023-08-10T00:00:00"/>
    <n v="1053.5"/>
    <s v="Outright Gift"/>
    <x v="0"/>
    <x v="2"/>
    <s v="Credit Card"/>
    <s v="FY24"/>
    <n v="1"/>
    <n v="1"/>
    <n v="1"/>
    <s v="Retained/Active"/>
  </r>
  <r>
    <s v="TXN-11086"/>
    <s v="CON-6191"/>
    <x v="0"/>
    <d v="2024-05-02T00:00:00"/>
    <n v="100.33"/>
    <s v="Recurring Gift"/>
    <x v="1"/>
    <x v="1"/>
    <s v="Check"/>
    <s v="FY24"/>
    <n v="1"/>
    <n v="1"/>
    <n v="1"/>
    <s v="Retained/Active"/>
  </r>
  <r>
    <s v="TXN-11087"/>
    <s v="CON-1876"/>
    <x v="0"/>
    <d v="2026-01-28T00:00:00"/>
    <n v="60.8"/>
    <s v="Outright Gift"/>
    <x v="1"/>
    <x v="3"/>
    <s v="Check"/>
    <s v="FY26"/>
    <n v="1"/>
    <n v="1"/>
    <n v="1"/>
    <s v="Retained/Active"/>
  </r>
  <r>
    <s v="TXN-11088"/>
    <s v="CON-7665"/>
    <x v="2"/>
    <d v="2024-06-02T00:00:00"/>
    <n v="44.81"/>
    <s v="Outright Gift"/>
    <x v="1"/>
    <x v="1"/>
    <s v="Check"/>
    <s v="FY24"/>
    <n v="1"/>
    <n v="1"/>
    <n v="0"/>
    <s v="LYBUNT (Lapsed 1 Yr)"/>
  </r>
  <r>
    <s v="TXN-11089"/>
    <s v="CON-9155"/>
    <x v="3"/>
    <d v="2026-02-07T00:00:00"/>
    <n v="38.89"/>
    <s v="Outright Gift"/>
    <x v="0"/>
    <x v="2"/>
    <s v="Credit Card"/>
    <s v="FY26"/>
    <n v="0"/>
    <n v="1"/>
    <n v="1"/>
    <s v="Retained/Active"/>
  </r>
  <r>
    <s v="TXN-11090"/>
    <s v="CON-8280"/>
    <x v="2"/>
    <d v="2024-04-04T00:00:00"/>
    <n v="20.149999999999999"/>
    <s v="Outright Gift"/>
    <x v="0"/>
    <x v="2"/>
    <s v="Credit Card"/>
    <s v="FY24"/>
    <n v="1"/>
    <n v="1"/>
    <n v="1"/>
    <s v="Retained/Active"/>
  </r>
  <r>
    <s v="TXN-11091"/>
    <s v="CON-6051"/>
    <x v="4"/>
    <d v="2025-12-12T00:00:00"/>
    <n v="168.15"/>
    <s v="Recurring Gift"/>
    <x v="0"/>
    <x v="2"/>
    <s v="Check"/>
    <s v="FY26"/>
    <n v="1"/>
    <n v="0"/>
    <n v="1"/>
    <s v="Retained/Active"/>
  </r>
  <r>
    <s v="TXN-11092"/>
    <s v="CON-7938"/>
    <x v="3"/>
    <d v="2024-03-29T00:00:00"/>
    <n v="33.130000000000003"/>
    <s v="Pledge Payment"/>
    <x v="0"/>
    <x v="0"/>
    <s v="Credit Card"/>
    <s v="FY24"/>
    <n v="1"/>
    <n v="1"/>
    <n v="1"/>
    <s v="Retained/Active"/>
  </r>
  <r>
    <s v="TXN-11093"/>
    <s v="CON-9130"/>
    <x v="2"/>
    <d v="2025-10-14T00:00:00"/>
    <n v="43.88"/>
    <s v="Recurring Gift"/>
    <x v="0"/>
    <x v="2"/>
    <s v="EFT/ACH"/>
    <s v="FY26"/>
    <n v="1"/>
    <n v="0"/>
    <n v="1"/>
    <s v="Retained/Active"/>
  </r>
  <r>
    <s v="TXN-11094"/>
    <s v="CON-8206"/>
    <x v="2"/>
    <d v="2025-03-11T00:00:00"/>
    <n v="302.36"/>
    <s v="Recurring Gift"/>
    <x v="0"/>
    <x v="4"/>
    <s v="Credit Card"/>
    <s v="FY25"/>
    <n v="1"/>
    <n v="1"/>
    <n v="1"/>
    <s v="Retained/Active"/>
  </r>
  <r>
    <s v="TXN-11095"/>
    <s v="CON-5499"/>
    <x v="4"/>
    <d v="2025-11-08T00:00:00"/>
    <n v="153.87"/>
    <s v="Pledge Payment"/>
    <x v="0"/>
    <x v="1"/>
    <s v="Credit Card"/>
    <s v="FY26"/>
    <n v="1"/>
    <n v="1"/>
    <n v="1"/>
    <s v="Retained/Active"/>
  </r>
  <r>
    <s v="TXN-11096"/>
    <s v="CON-7528"/>
    <x v="2"/>
    <d v="2026-01-16T00:00:00"/>
    <n v="212.41"/>
    <s v="Outright Gift"/>
    <x v="0"/>
    <x v="1"/>
    <s v="Credit Card"/>
    <s v="FY26"/>
    <n v="0"/>
    <n v="1"/>
    <n v="1"/>
    <s v="Retained/Active"/>
  </r>
  <r>
    <s v="TXN-11097"/>
    <s v="CON-2528"/>
    <x v="3"/>
    <d v="2024-04-14T00:00:00"/>
    <n v="716.73"/>
    <s v="Outright Gift"/>
    <x v="0"/>
    <x v="2"/>
    <s v="EFT/ACH"/>
    <s v="FY24"/>
    <n v="1"/>
    <n v="1"/>
    <n v="1"/>
    <s v="Retained/Active"/>
  </r>
  <r>
    <s v="TXN-11098"/>
    <s v="CON-5496"/>
    <x v="2"/>
    <d v="2025-06-23T00:00:00"/>
    <n v="373.86"/>
    <s v="Estate/Planned Gift"/>
    <x v="0"/>
    <x v="4"/>
    <s v="Credit Card"/>
    <s v="FY25"/>
    <n v="0"/>
    <n v="1"/>
    <n v="1"/>
    <s v="Retained/Active"/>
  </r>
  <r>
    <s v="TXN-11099"/>
    <s v="CON-5911"/>
    <x v="2"/>
    <d v="2025-12-09T00:00:00"/>
    <n v="875.29"/>
    <s v="Pledge Payment"/>
    <x v="1"/>
    <x v="1"/>
    <s v="EFT/ACH"/>
    <s v="FY26"/>
    <n v="0"/>
    <n v="1"/>
    <n v="1"/>
    <s v="Retained/Active"/>
  </r>
  <r>
    <s v="TXN-11100"/>
    <s v="CON-5642"/>
    <x v="1"/>
    <d v="2024-03-28T00:00:00"/>
    <n v="134.82"/>
    <s v="Outright Gift"/>
    <x v="0"/>
    <x v="1"/>
    <s v="Credit Card"/>
    <s v="FY24"/>
    <n v="1"/>
    <n v="1"/>
    <n v="0"/>
    <s v="LYBUNT (Lapsed 1 Yr)"/>
  </r>
  <r>
    <s v="TXN-11101"/>
    <s v="CON-7776"/>
    <x v="0"/>
    <d v="2024-10-25T00:00:00"/>
    <n v="987.65"/>
    <s v="Pledge Payment"/>
    <x v="0"/>
    <x v="1"/>
    <s v="EFT/ACH"/>
    <s v="FY25"/>
    <n v="1"/>
    <n v="1"/>
    <n v="1"/>
    <s v="Retained/Active"/>
  </r>
  <r>
    <s v="TXN-11102"/>
    <s v="CON-2069"/>
    <x v="4"/>
    <d v="2026-01-21T00:00:00"/>
    <n v="193.96"/>
    <s v="Outright Gift"/>
    <x v="0"/>
    <x v="1"/>
    <s v="EFT/ACH"/>
    <s v="FY26"/>
    <n v="0"/>
    <n v="1"/>
    <n v="1"/>
    <s v="Retained/Active"/>
  </r>
  <r>
    <s v="TXN-11103"/>
    <s v="CON-8215"/>
    <x v="2"/>
    <d v="2024-03-04T00:00:00"/>
    <n v="151.31"/>
    <s v="Outright Gift"/>
    <x v="0"/>
    <x v="4"/>
    <s v="Credit Card"/>
    <s v="FY24"/>
    <n v="1"/>
    <n v="1"/>
    <n v="0"/>
    <s v="LYBUNT (Lapsed 1 Yr)"/>
  </r>
  <r>
    <s v="TXN-11104"/>
    <s v="CON-5499"/>
    <x v="2"/>
    <d v="2023-12-03T00:00:00"/>
    <n v="812.39"/>
    <s v="Outright Gift"/>
    <x v="0"/>
    <x v="2"/>
    <s v="Credit Card"/>
    <s v="FY24"/>
    <n v="1"/>
    <n v="1"/>
    <n v="1"/>
    <s v="Retained/Active"/>
  </r>
  <r>
    <s v="TXN-11105"/>
    <s v="CON-5070"/>
    <x v="4"/>
    <d v="2024-09-26T00:00:00"/>
    <n v="39.1"/>
    <s v="Pledge Payment"/>
    <x v="0"/>
    <x v="2"/>
    <s v="Credit Card"/>
    <s v="FY25"/>
    <n v="1"/>
    <n v="1"/>
    <n v="1"/>
    <s v="Retained/Active"/>
  </r>
  <r>
    <s v="TXN-11106"/>
    <s v="CON-9792"/>
    <x v="2"/>
    <d v="2024-01-17T00:00:00"/>
    <n v="1686.96"/>
    <s v="Recurring Gift"/>
    <x v="0"/>
    <x v="0"/>
    <s v="Credit Card"/>
    <s v="FY24"/>
    <n v="1"/>
    <n v="1"/>
    <n v="1"/>
    <s v="Retained/Active"/>
  </r>
  <r>
    <s v="TXN-11107"/>
    <s v="CON-2686"/>
    <x v="0"/>
    <d v="2023-11-01T00:00:00"/>
    <n v="84.21"/>
    <s v="Outright Gift"/>
    <x v="0"/>
    <x v="2"/>
    <s v="EFT/ACH"/>
    <s v="FY24"/>
    <n v="1"/>
    <n v="1"/>
    <n v="1"/>
    <s v="Retained/Active"/>
  </r>
  <r>
    <s v="TXN-11108"/>
    <s v="CON-4005"/>
    <x v="3"/>
    <d v="2023-07-01T00:00:00"/>
    <n v="24.94"/>
    <s v="Outright Gift"/>
    <x v="1"/>
    <x v="1"/>
    <s v="Credit Card"/>
    <s v="FY24"/>
    <n v="1"/>
    <n v="1"/>
    <n v="1"/>
    <s v="Retained/Active"/>
  </r>
  <r>
    <s v="TXN-11109"/>
    <s v="CON-9716"/>
    <x v="2"/>
    <d v="2026-02-22T00:00:00"/>
    <n v="284.16000000000003"/>
    <s v="Outright Gift"/>
    <x v="0"/>
    <x v="0"/>
    <s v="Credit Card"/>
    <s v="FY26"/>
    <n v="1"/>
    <n v="1"/>
    <n v="1"/>
    <s v="Retained/Active"/>
  </r>
  <r>
    <s v="TXN-11110"/>
    <s v="CON-7944"/>
    <x v="1"/>
    <d v="2025-11-01T00:00:00"/>
    <n v="74.400000000000006"/>
    <s v="Pledge Payment"/>
    <x v="0"/>
    <x v="0"/>
    <s v="EFT/ACH"/>
    <s v="FY26"/>
    <n v="0"/>
    <n v="0"/>
    <n v="1"/>
    <s v="Retained/Active"/>
  </r>
  <r>
    <s v="TXN-11111"/>
    <s v="CON-1098"/>
    <x v="0"/>
    <d v="2025-03-31T00:00:00"/>
    <n v="1691.8"/>
    <s v="Outright Gift"/>
    <x v="0"/>
    <x v="1"/>
    <s v="Credit Card"/>
    <s v="FY25"/>
    <n v="0"/>
    <n v="1"/>
    <n v="1"/>
    <s v="Retained/Active"/>
  </r>
  <r>
    <s v="TXN-11112"/>
    <s v="CON-8777"/>
    <x v="0"/>
    <d v="2024-01-07T00:00:00"/>
    <n v="69.22"/>
    <s v="Outright Gift"/>
    <x v="1"/>
    <x v="0"/>
    <s v="Check"/>
    <s v="FY24"/>
    <n v="1"/>
    <n v="0"/>
    <n v="0"/>
    <s v="SYBUNT (Lapsed Multi-Yr)"/>
  </r>
  <r>
    <s v="TXN-11113"/>
    <s v="CON-8339"/>
    <x v="0"/>
    <d v="2024-11-27T00:00:00"/>
    <n v="182.87"/>
    <s v="Outright Gift"/>
    <x v="0"/>
    <x v="1"/>
    <s v="Credit Card"/>
    <s v="FY25"/>
    <n v="1"/>
    <n v="1"/>
    <n v="0"/>
    <s v="LYBUNT (Lapsed 1 Yr)"/>
  </r>
  <r>
    <s v="TXN-11114"/>
    <s v="CON-1098"/>
    <x v="0"/>
    <d v="2024-09-14T00:00:00"/>
    <n v="19.04"/>
    <s v="Outright Gift"/>
    <x v="1"/>
    <x v="1"/>
    <s v="Stock Transfer"/>
    <s v="FY25"/>
    <n v="0"/>
    <n v="1"/>
    <n v="1"/>
    <s v="Retained/Active"/>
  </r>
  <r>
    <s v="TXN-11115"/>
    <s v="CON-5973"/>
    <x v="0"/>
    <d v="2023-11-20T00:00:00"/>
    <n v="349.6"/>
    <s v="Outright Gift"/>
    <x v="1"/>
    <x v="1"/>
    <s v="Credit Card"/>
    <s v="FY24"/>
    <n v="1"/>
    <n v="1"/>
    <n v="1"/>
    <s v="Retained/Active"/>
  </r>
  <r>
    <s v="TXN-11116"/>
    <s v="CON-8404"/>
    <x v="1"/>
    <d v="2024-12-14T00:00:00"/>
    <n v="44.23"/>
    <s v="Pledge Payment"/>
    <x v="1"/>
    <x v="2"/>
    <s v="Credit Card"/>
    <s v="FY25"/>
    <n v="0"/>
    <n v="1"/>
    <n v="0"/>
    <s v="LYBUNT (Lapsed 1 Yr)"/>
  </r>
  <r>
    <s v="TXN-11117"/>
    <s v="CON-6600"/>
    <x v="0"/>
    <d v="2024-02-12T00:00:00"/>
    <n v="299.26"/>
    <s v="Outright Gift"/>
    <x v="1"/>
    <x v="1"/>
    <s v="Credit Card"/>
    <s v="FY24"/>
    <n v="1"/>
    <n v="1"/>
    <n v="0"/>
    <s v="LYBUNT (Lapsed 1 Yr)"/>
  </r>
  <r>
    <s v="TXN-11118"/>
    <s v="CON-5752"/>
    <x v="1"/>
    <d v="2026-02-03T00:00:00"/>
    <n v="69.63"/>
    <s v="Pledge Payment"/>
    <x v="0"/>
    <x v="4"/>
    <s v="Credit Card"/>
    <s v="FY26"/>
    <n v="1"/>
    <n v="1"/>
    <n v="1"/>
    <s v="Retained/Active"/>
  </r>
  <r>
    <s v="TXN-11119"/>
    <s v="CON-4854"/>
    <x v="2"/>
    <d v="2024-10-02T00:00:00"/>
    <n v="15"/>
    <s v="Outright Gift"/>
    <x v="0"/>
    <x v="1"/>
    <s v="Credit Card"/>
    <s v="FY25"/>
    <n v="1"/>
    <n v="1"/>
    <n v="0"/>
    <s v="LYBUNT (Lapsed 1 Yr)"/>
  </r>
  <r>
    <s v="TXN-11120"/>
    <s v="CON-6188"/>
    <x v="3"/>
    <d v="2025-01-01T00:00:00"/>
    <n v="144.11000000000001"/>
    <s v="Outright Gift"/>
    <x v="1"/>
    <x v="2"/>
    <s v="Credit Card"/>
    <s v="FY25"/>
    <n v="0"/>
    <n v="1"/>
    <n v="0"/>
    <s v="LYBUNT (Lapsed 1 Yr)"/>
  </r>
  <r>
    <s v="TXN-11121"/>
    <s v="CON-7439"/>
    <x v="2"/>
    <d v="2024-07-27T00:00:00"/>
    <n v="135.96"/>
    <s v="Outright Gift"/>
    <x v="0"/>
    <x v="3"/>
    <s v="EFT/ACH"/>
    <s v="FY25"/>
    <n v="1"/>
    <n v="1"/>
    <n v="1"/>
    <s v="Retained/Active"/>
  </r>
  <r>
    <s v="TXN-11122"/>
    <s v="CON-4510"/>
    <x v="0"/>
    <d v="2025-10-22T00:00:00"/>
    <n v="381.99"/>
    <s v="Pledge Payment"/>
    <x v="0"/>
    <x v="4"/>
    <s v="Credit Card"/>
    <s v="FY26"/>
    <n v="1"/>
    <n v="1"/>
    <n v="1"/>
    <s v="Retained/Active"/>
  </r>
  <r>
    <s v="TXN-11123"/>
    <s v="CON-6390"/>
    <x v="1"/>
    <d v="2024-01-26T00:00:00"/>
    <n v="918.55"/>
    <s v="Recurring Gift"/>
    <x v="0"/>
    <x v="3"/>
    <s v="EFT/ACH"/>
    <s v="FY24"/>
    <n v="1"/>
    <n v="1"/>
    <n v="0"/>
    <s v="LYBUNT (Lapsed 1 Yr)"/>
  </r>
  <r>
    <s v="TXN-11124"/>
    <s v="CON-6864"/>
    <x v="1"/>
    <d v="2025-04-06T00:00:00"/>
    <n v="1459.91"/>
    <s v="Recurring Gift"/>
    <x v="0"/>
    <x v="1"/>
    <s v="Credit Card"/>
    <s v="FY25"/>
    <n v="0"/>
    <n v="1"/>
    <n v="1"/>
    <s v="Retained/Active"/>
  </r>
  <r>
    <s v="TXN-11125"/>
    <s v="CON-4672"/>
    <x v="0"/>
    <d v="2024-02-04T00:00:00"/>
    <n v="373.68"/>
    <s v="Outright Gift"/>
    <x v="1"/>
    <x v="1"/>
    <s v="Check"/>
    <s v="FY24"/>
    <n v="1"/>
    <n v="1"/>
    <n v="1"/>
    <s v="Retained/Active"/>
  </r>
  <r>
    <s v="TXN-11126"/>
    <s v="CON-2291"/>
    <x v="1"/>
    <d v="2024-08-10T00:00:00"/>
    <n v="174.55"/>
    <s v="Outright Gift"/>
    <x v="0"/>
    <x v="0"/>
    <s v="Credit Card"/>
    <s v="FY25"/>
    <n v="1"/>
    <n v="1"/>
    <n v="1"/>
    <s v="Retained/Active"/>
  </r>
  <r>
    <s v="TXN-11127"/>
    <s v="CON-3368"/>
    <x v="0"/>
    <d v="2025-12-04T00:00:00"/>
    <n v="19"/>
    <s v="Recurring Gift"/>
    <x v="0"/>
    <x v="1"/>
    <s v="Credit Card"/>
    <s v="FY26"/>
    <n v="1"/>
    <n v="1"/>
    <n v="1"/>
    <s v="Retained/Active"/>
  </r>
  <r>
    <s v="TXN-11128"/>
    <s v="CON-6530"/>
    <x v="1"/>
    <d v="2025-01-08T00:00:00"/>
    <n v="158.01"/>
    <s v="Pledge Payment"/>
    <x v="1"/>
    <x v="1"/>
    <s v="Credit Card"/>
    <s v="FY25"/>
    <n v="1"/>
    <n v="1"/>
    <n v="1"/>
    <s v="Retained/Active"/>
  </r>
  <r>
    <s v="TXN-11129"/>
    <s v="CON-6854"/>
    <x v="3"/>
    <d v="2024-12-31T00:00:00"/>
    <n v="160.68"/>
    <s v="Outright Gift"/>
    <x v="0"/>
    <x v="3"/>
    <s v="Credit Card"/>
    <s v="FY25"/>
    <n v="1"/>
    <n v="1"/>
    <n v="0"/>
    <s v="LYBUNT (Lapsed 1 Yr)"/>
  </r>
  <r>
    <s v="TXN-11130"/>
    <s v="CON-4304"/>
    <x v="0"/>
    <d v="2023-11-19T00:00:00"/>
    <n v="93.86"/>
    <s v="Recurring Gift"/>
    <x v="0"/>
    <x v="0"/>
    <s v="Credit Card"/>
    <s v="FY24"/>
    <n v="1"/>
    <n v="1"/>
    <n v="1"/>
    <s v="Retained/Active"/>
  </r>
  <r>
    <s v="TXN-11131"/>
    <s v="CON-1659"/>
    <x v="1"/>
    <d v="2025-03-03T00:00:00"/>
    <n v="276.68"/>
    <s v="Outright Gift"/>
    <x v="0"/>
    <x v="2"/>
    <s v="Credit Card"/>
    <s v="FY25"/>
    <n v="0"/>
    <n v="1"/>
    <n v="0"/>
    <s v="LYBUNT (Lapsed 1 Yr)"/>
  </r>
  <r>
    <s v="TXN-11132"/>
    <s v="CON-7331"/>
    <x v="3"/>
    <d v="2024-11-12T00:00:00"/>
    <n v="522.41999999999996"/>
    <s v="Outright Gift"/>
    <x v="0"/>
    <x v="4"/>
    <s v="EFT/ACH"/>
    <s v="FY25"/>
    <n v="0"/>
    <n v="1"/>
    <n v="0"/>
    <s v="LYBUNT (Lapsed 1 Yr)"/>
  </r>
  <r>
    <s v="TXN-11133"/>
    <s v="CON-8390"/>
    <x v="0"/>
    <d v="2025-10-17T00:00:00"/>
    <n v="41.93"/>
    <s v="Outright Gift"/>
    <x v="0"/>
    <x v="2"/>
    <s v="Check"/>
    <s v="FY26"/>
    <n v="1"/>
    <n v="0"/>
    <n v="1"/>
    <s v="Retained/Active"/>
  </r>
  <r>
    <s v="TXN-11134"/>
    <s v="CON-1154"/>
    <x v="1"/>
    <d v="2025-06-01T00:00:00"/>
    <n v="41.09"/>
    <s v="Outright Gift"/>
    <x v="0"/>
    <x v="2"/>
    <s v="Credit Card"/>
    <s v="FY25"/>
    <n v="1"/>
    <n v="1"/>
    <n v="0"/>
    <s v="LYBUNT (Lapsed 1 Yr)"/>
  </r>
  <r>
    <s v="TXN-11135"/>
    <s v="CON-8404"/>
    <x v="2"/>
    <d v="2025-02-15T00:00:00"/>
    <n v="101.38"/>
    <s v="Outright Gift"/>
    <x v="0"/>
    <x v="2"/>
    <s v="Stock Transfer"/>
    <s v="FY25"/>
    <n v="0"/>
    <n v="1"/>
    <n v="0"/>
    <s v="LYBUNT (Lapsed 1 Yr)"/>
  </r>
  <r>
    <s v="TXN-11136"/>
    <s v="CON-4051"/>
    <x v="2"/>
    <d v="2024-04-06T00:00:00"/>
    <n v="54.61"/>
    <s v="Outright Gift"/>
    <x v="0"/>
    <x v="1"/>
    <s v="Check"/>
    <s v="FY24"/>
    <n v="1"/>
    <n v="0"/>
    <n v="1"/>
    <s v="Retained/Active"/>
  </r>
  <r>
    <s v="TXN-11137"/>
    <s v="CON-2306"/>
    <x v="2"/>
    <d v="2024-08-27T00:00:00"/>
    <n v="15"/>
    <s v="Outright Gift"/>
    <x v="0"/>
    <x v="0"/>
    <s v="Check"/>
    <s v="FY25"/>
    <n v="1"/>
    <n v="1"/>
    <n v="0"/>
    <s v="LYBUNT (Lapsed 1 Yr)"/>
  </r>
  <r>
    <s v="TXN-11138"/>
    <s v="CON-8125"/>
    <x v="1"/>
    <d v="2025-11-02T00:00:00"/>
    <n v="33.26"/>
    <s v="Outright Gift"/>
    <x v="0"/>
    <x v="4"/>
    <s v="Credit Card"/>
    <s v="FY26"/>
    <n v="1"/>
    <n v="1"/>
    <n v="1"/>
    <s v="Retained/Active"/>
  </r>
  <r>
    <s v="TXN-11139"/>
    <s v="CON-6854"/>
    <x v="0"/>
    <d v="2024-03-26T00:00:00"/>
    <n v="24.48"/>
    <s v="Outright Gift"/>
    <x v="0"/>
    <x v="4"/>
    <s v="Credit Card"/>
    <s v="FY24"/>
    <n v="1"/>
    <n v="1"/>
    <n v="0"/>
    <s v="LYBUNT (Lapsed 1 Yr)"/>
  </r>
  <r>
    <s v="TXN-11140"/>
    <s v="CON-1995"/>
    <x v="0"/>
    <d v="2023-12-01T00:00:00"/>
    <n v="584.63"/>
    <s v="Pledge Payment"/>
    <x v="0"/>
    <x v="3"/>
    <s v="Credit Card"/>
    <s v="FY24"/>
    <n v="1"/>
    <n v="1"/>
    <n v="1"/>
    <s v="Retained/Active"/>
  </r>
  <r>
    <s v="TXN-11141"/>
    <s v="CON-1580"/>
    <x v="1"/>
    <d v="2025-03-05T00:00:00"/>
    <n v="1111.73"/>
    <s v="Outright Gift"/>
    <x v="0"/>
    <x v="0"/>
    <s v="EFT/ACH"/>
    <s v="FY25"/>
    <n v="0"/>
    <n v="1"/>
    <n v="1"/>
    <s v="Retained/Active"/>
  </r>
  <r>
    <s v="TXN-11142"/>
    <s v="CON-9338"/>
    <x v="3"/>
    <d v="2025-04-22T00:00:00"/>
    <n v="29.25"/>
    <s v="Outright Gift"/>
    <x v="0"/>
    <x v="3"/>
    <s v="Credit Card"/>
    <s v="FY25"/>
    <n v="1"/>
    <n v="1"/>
    <n v="1"/>
    <s v="Retained/Active"/>
  </r>
  <r>
    <s v="TXN-11143"/>
    <s v="CON-1569"/>
    <x v="2"/>
    <d v="2023-09-21T00:00:00"/>
    <n v="247.13"/>
    <s v="Outright Gift"/>
    <x v="0"/>
    <x v="1"/>
    <s v="Credit Card"/>
    <s v="FY24"/>
    <n v="1"/>
    <n v="0"/>
    <n v="1"/>
    <s v="Retained/Active"/>
  </r>
  <r>
    <s v="TXN-11144"/>
    <s v="CON-7971"/>
    <x v="0"/>
    <d v="2026-02-01T00:00:00"/>
    <n v="378.26"/>
    <s v="Recurring Gift"/>
    <x v="0"/>
    <x v="1"/>
    <s v="Credit Card"/>
    <s v="FY26"/>
    <n v="1"/>
    <n v="1"/>
    <n v="1"/>
    <s v="Retained/Active"/>
  </r>
  <r>
    <s v="TXN-11145"/>
    <s v="CON-2686"/>
    <x v="2"/>
    <d v="2025-12-15T00:00:00"/>
    <n v="17.46"/>
    <s v="Outright Gift"/>
    <x v="1"/>
    <x v="0"/>
    <s v="Credit Card"/>
    <s v="FY26"/>
    <n v="1"/>
    <n v="1"/>
    <n v="1"/>
    <s v="Retained/Active"/>
  </r>
  <r>
    <s v="TXN-11146"/>
    <s v="CON-4051"/>
    <x v="1"/>
    <d v="2024-04-09T00:00:00"/>
    <n v="149.80000000000001"/>
    <s v="Outright Gift"/>
    <x v="0"/>
    <x v="0"/>
    <s v="EFT/ACH"/>
    <s v="FY24"/>
    <n v="1"/>
    <n v="0"/>
    <n v="1"/>
    <s v="Retained/Active"/>
  </r>
  <r>
    <s v="TXN-11147"/>
    <s v="CON-2685"/>
    <x v="3"/>
    <d v="2026-03-06T00:00:00"/>
    <n v="3273.36"/>
    <s v="Outright Gift"/>
    <x v="0"/>
    <x v="1"/>
    <s v="Credit Card"/>
    <s v="FY26"/>
    <n v="1"/>
    <n v="0"/>
    <n v="1"/>
    <s v="Retained/Active"/>
  </r>
  <r>
    <s v="TXN-11148"/>
    <s v="CON-8629"/>
    <x v="1"/>
    <d v="2023-12-20T00:00:00"/>
    <n v="293.02999999999997"/>
    <s v="Pledge Payment"/>
    <x v="0"/>
    <x v="0"/>
    <s v="EFT/ACH"/>
    <s v="FY24"/>
    <n v="1"/>
    <n v="1"/>
    <n v="0"/>
    <s v="LYBUNT (Lapsed 1 Yr)"/>
  </r>
  <r>
    <s v="TXN-11149"/>
    <s v="CON-4769"/>
    <x v="1"/>
    <d v="2025-08-01T00:00:00"/>
    <n v="88.33"/>
    <s v="Outright Gift"/>
    <x v="1"/>
    <x v="1"/>
    <s v="EFT/ACH"/>
    <s v="FY26"/>
    <n v="1"/>
    <n v="0"/>
    <n v="1"/>
    <s v="Retained/Active"/>
  </r>
  <r>
    <s v="TXN-11150"/>
    <s v="CON-2154"/>
    <x v="0"/>
    <d v="2025-03-24T00:00:00"/>
    <n v="58.66"/>
    <s v="Outright Gift"/>
    <x v="0"/>
    <x v="0"/>
    <s v="Credit Card"/>
    <s v="FY25"/>
    <n v="1"/>
    <n v="1"/>
    <n v="1"/>
    <s v="Retained/Active"/>
  </r>
  <r>
    <s v="TXN-11151"/>
    <s v="CON-4304"/>
    <x v="2"/>
    <d v="2025-08-25T00:00:00"/>
    <n v="15"/>
    <s v="Outright Gift"/>
    <x v="0"/>
    <x v="2"/>
    <s v="Credit Card"/>
    <s v="FY26"/>
    <n v="1"/>
    <n v="1"/>
    <n v="1"/>
    <s v="Retained/Active"/>
  </r>
  <r>
    <s v="TXN-11152"/>
    <s v="CON-3911"/>
    <x v="2"/>
    <d v="2026-01-28T00:00:00"/>
    <n v="223.99"/>
    <s v="Outright Gift"/>
    <x v="0"/>
    <x v="2"/>
    <s v="EFT/ACH"/>
    <s v="FY26"/>
    <n v="0"/>
    <n v="0"/>
    <n v="1"/>
    <s v="Retained/Active"/>
  </r>
  <r>
    <s v="TXN-11153"/>
    <s v="CON-8555"/>
    <x v="1"/>
    <d v="2026-04-07T00:00:00"/>
    <n v="1528.68"/>
    <s v="Recurring Gift"/>
    <x v="0"/>
    <x v="1"/>
    <s v="Credit Card"/>
    <s v="FY26"/>
    <n v="0"/>
    <n v="0"/>
    <n v="1"/>
    <s v="Retained/Active"/>
  </r>
  <r>
    <s v="TXN-11154"/>
    <s v="CON-9754"/>
    <x v="0"/>
    <d v="2024-08-01T00:00:00"/>
    <n v="42.2"/>
    <s v="Recurring Gift"/>
    <x v="0"/>
    <x v="0"/>
    <s v="Credit Card"/>
    <s v="FY25"/>
    <n v="1"/>
    <n v="1"/>
    <n v="0"/>
    <s v="LYBUNT (Lapsed 1 Yr)"/>
  </r>
  <r>
    <s v="TXN-11155"/>
    <s v="CON-1161"/>
    <x v="0"/>
    <d v="2026-01-19T00:00:00"/>
    <n v="15"/>
    <s v="Pledge Payment"/>
    <x v="0"/>
    <x v="2"/>
    <s v="Credit Card"/>
    <s v="FY26"/>
    <n v="1"/>
    <n v="0"/>
    <n v="1"/>
    <s v="Retained/Active"/>
  </r>
  <r>
    <s v="TXN-11156"/>
    <s v="CON-5859"/>
    <x v="1"/>
    <d v="2025-05-06T00:00:00"/>
    <n v="51.24"/>
    <s v="Pledge Payment"/>
    <x v="0"/>
    <x v="0"/>
    <s v="EFT/ACH"/>
    <s v="FY25"/>
    <n v="0"/>
    <n v="1"/>
    <n v="0"/>
    <s v="LYBUNT (Lapsed 1 Yr)"/>
  </r>
  <r>
    <s v="TXN-11157"/>
    <s v="CON-4748"/>
    <x v="3"/>
    <d v="2026-01-21T00:00:00"/>
    <n v="382.25"/>
    <s v="Outright Gift"/>
    <x v="0"/>
    <x v="0"/>
    <s v="EFT/ACH"/>
    <s v="FY26"/>
    <n v="1"/>
    <n v="1"/>
    <n v="1"/>
    <s v="Retained/Active"/>
  </r>
  <r>
    <s v="TXN-11158"/>
    <s v="CON-1876"/>
    <x v="1"/>
    <d v="2024-10-07T00:00:00"/>
    <n v="69.61"/>
    <s v="Outright Gift"/>
    <x v="0"/>
    <x v="2"/>
    <s v="Credit Card"/>
    <s v="FY25"/>
    <n v="1"/>
    <n v="1"/>
    <n v="1"/>
    <s v="Retained/Active"/>
  </r>
  <r>
    <s v="TXN-11159"/>
    <s v="CON-2016"/>
    <x v="0"/>
    <d v="2024-04-11T00:00:00"/>
    <n v="41.82"/>
    <s v="Pledge Payment"/>
    <x v="0"/>
    <x v="4"/>
    <s v="Credit Card"/>
    <s v="FY24"/>
    <n v="1"/>
    <n v="1"/>
    <n v="1"/>
    <s v="Retained/Active"/>
  </r>
  <r>
    <s v="TXN-11160"/>
    <s v="CON-8343"/>
    <x v="2"/>
    <d v="2024-03-21T00:00:00"/>
    <n v="124.57"/>
    <s v="Outright Gift"/>
    <x v="0"/>
    <x v="1"/>
    <s v="Credit Card"/>
    <s v="FY24"/>
    <n v="1"/>
    <n v="1"/>
    <n v="0"/>
    <s v="LYBUNT (Lapsed 1 Yr)"/>
  </r>
  <r>
    <s v="TXN-11161"/>
    <s v="CON-8805"/>
    <x v="0"/>
    <d v="2024-05-15T00:00:00"/>
    <n v="163.79"/>
    <s v="Recurring Gift"/>
    <x v="0"/>
    <x v="0"/>
    <s v="Check"/>
    <s v="FY24"/>
    <n v="1"/>
    <n v="1"/>
    <n v="1"/>
    <s v="Retained/Active"/>
  </r>
  <r>
    <s v="TXN-11162"/>
    <s v="CON-9352"/>
    <x v="2"/>
    <d v="2025-05-03T00:00:00"/>
    <n v="19.989999999999998"/>
    <s v="Outright Gift"/>
    <x v="0"/>
    <x v="0"/>
    <s v="Credit Card"/>
    <s v="FY25"/>
    <n v="0"/>
    <n v="1"/>
    <n v="1"/>
    <s v="Retained/Active"/>
  </r>
  <r>
    <s v="TXN-11163"/>
    <s v="CON-3838"/>
    <x v="3"/>
    <d v="2025-09-27T00:00:00"/>
    <n v="91.61"/>
    <s v="Outright Gift"/>
    <x v="0"/>
    <x v="0"/>
    <s v="Check"/>
    <s v="FY26"/>
    <n v="1"/>
    <n v="0"/>
    <n v="1"/>
    <s v="Retained/Active"/>
  </r>
  <r>
    <s v="TXN-11164"/>
    <s v="CON-6919"/>
    <x v="1"/>
    <d v="2023-09-27T00:00:00"/>
    <n v="63.66"/>
    <s v="Pledge Payment"/>
    <x v="1"/>
    <x v="1"/>
    <s v="Credit Card"/>
    <s v="FY24"/>
    <n v="1"/>
    <n v="1"/>
    <n v="1"/>
    <s v="Retained/Active"/>
  </r>
  <r>
    <s v="TXN-11165"/>
    <s v="CON-7910"/>
    <x v="4"/>
    <d v="2025-09-28T00:00:00"/>
    <n v="52.82"/>
    <s v="Pledge Payment"/>
    <x v="0"/>
    <x v="1"/>
    <s v="EFT/ACH"/>
    <s v="FY26"/>
    <n v="0"/>
    <n v="1"/>
    <n v="1"/>
    <s v="Retained/Active"/>
  </r>
  <r>
    <s v="TXN-11166"/>
    <s v="CON-2154"/>
    <x v="2"/>
    <d v="2026-03-27T00:00:00"/>
    <n v="32.39"/>
    <s v="Pledge Payment"/>
    <x v="1"/>
    <x v="1"/>
    <s v="Credit Card"/>
    <s v="FY26"/>
    <n v="1"/>
    <n v="1"/>
    <n v="1"/>
    <s v="Retained/Active"/>
  </r>
  <r>
    <s v="TXN-11167"/>
    <s v="CON-6801"/>
    <x v="0"/>
    <d v="2024-05-29T00:00:00"/>
    <n v="413.08"/>
    <s v="Outright Gift"/>
    <x v="0"/>
    <x v="4"/>
    <s v="EFT/ACH"/>
    <s v="FY24"/>
    <n v="1"/>
    <n v="0"/>
    <n v="1"/>
    <s v="Retained/Active"/>
  </r>
  <r>
    <s v="TXN-11168"/>
    <s v="CON-3049"/>
    <x v="0"/>
    <d v="2024-02-07T00:00:00"/>
    <n v="52.58"/>
    <s v="Recurring Gift"/>
    <x v="1"/>
    <x v="2"/>
    <s v="Credit Card"/>
    <s v="FY24"/>
    <n v="1"/>
    <n v="1"/>
    <n v="0"/>
    <s v="LYBUNT (Lapsed 1 Yr)"/>
  </r>
  <r>
    <s v="TXN-11169"/>
    <s v="CON-3869"/>
    <x v="0"/>
    <d v="2023-08-10T00:00:00"/>
    <n v="15"/>
    <s v="Outright Gift"/>
    <x v="0"/>
    <x v="2"/>
    <s v="EFT/ACH"/>
    <s v="FY24"/>
    <n v="1"/>
    <n v="0"/>
    <n v="1"/>
    <s v="Retained/Active"/>
  </r>
  <r>
    <s v="TXN-11170"/>
    <s v="CON-4436"/>
    <x v="2"/>
    <d v="2023-09-06T00:00:00"/>
    <n v="171.33"/>
    <s v="Outright Gift"/>
    <x v="0"/>
    <x v="3"/>
    <s v="Credit Card"/>
    <s v="FY24"/>
    <n v="1"/>
    <n v="0"/>
    <n v="1"/>
    <s v="Retained/Active"/>
  </r>
  <r>
    <s v="TXN-11171"/>
    <s v="CON-4672"/>
    <x v="3"/>
    <d v="2026-03-14T00:00:00"/>
    <n v="311.92"/>
    <s v="Estate/Planned Gift"/>
    <x v="1"/>
    <x v="1"/>
    <s v="Credit Card"/>
    <s v="FY26"/>
    <n v="1"/>
    <n v="1"/>
    <n v="1"/>
    <s v="Retained/Active"/>
  </r>
  <r>
    <s v="TXN-11172"/>
    <s v="CON-4354"/>
    <x v="3"/>
    <d v="2024-11-25T00:00:00"/>
    <n v="43.17"/>
    <s v="Pledge Payment"/>
    <x v="0"/>
    <x v="3"/>
    <s v="Credit Card"/>
    <s v="FY25"/>
    <n v="1"/>
    <n v="1"/>
    <n v="0"/>
    <s v="LYBUNT (Lapsed 1 Yr)"/>
  </r>
  <r>
    <s v="TXN-11173"/>
    <s v="CON-6734"/>
    <x v="4"/>
    <d v="2025-05-25T00:00:00"/>
    <n v="58.7"/>
    <s v="Outright Gift"/>
    <x v="0"/>
    <x v="0"/>
    <s v="Check"/>
    <s v="FY25"/>
    <n v="1"/>
    <n v="1"/>
    <n v="1"/>
    <s v="Retained/Active"/>
  </r>
  <r>
    <s v="TXN-11174"/>
    <s v="CON-6895"/>
    <x v="3"/>
    <d v="2026-05-05T00:00:00"/>
    <n v="52.26"/>
    <s v="Pledge Payment"/>
    <x v="0"/>
    <x v="1"/>
    <s v="EFT/ACH"/>
    <s v="FY26"/>
    <n v="1"/>
    <n v="1"/>
    <n v="1"/>
    <s v="Retained/Active"/>
  </r>
  <r>
    <s v="TXN-11175"/>
    <s v="CON-2021"/>
    <x v="2"/>
    <d v="2024-10-19T00:00:00"/>
    <n v="77.430000000000007"/>
    <s v="Outright Gift"/>
    <x v="0"/>
    <x v="3"/>
    <s v="Credit Card"/>
    <s v="FY25"/>
    <n v="1"/>
    <n v="1"/>
    <n v="0"/>
    <s v="LYBUNT (Lapsed 1 Yr)"/>
  </r>
  <r>
    <s v="TXN-11176"/>
    <s v="CON-1775"/>
    <x v="0"/>
    <d v="2025-11-27T00:00:00"/>
    <n v="512.29999999999995"/>
    <s v="Outright Gift"/>
    <x v="0"/>
    <x v="3"/>
    <s v="EFT/ACH"/>
    <s v="FY26"/>
    <n v="1"/>
    <n v="1"/>
    <n v="1"/>
    <s v="Retained/Active"/>
  </r>
  <r>
    <s v="TXN-11177"/>
    <s v="CON-1262"/>
    <x v="0"/>
    <d v="2024-09-04T00:00:00"/>
    <n v="104.77"/>
    <s v="Outright Gift"/>
    <x v="0"/>
    <x v="3"/>
    <s v="EFT/ACH"/>
    <s v="FY25"/>
    <n v="1"/>
    <n v="1"/>
    <n v="1"/>
    <s v="Retained/Active"/>
  </r>
  <r>
    <s v="TXN-11178"/>
    <s v="CON-4510"/>
    <x v="1"/>
    <d v="2024-03-24T00:00:00"/>
    <n v="361.94"/>
    <s v="Estate/Planned Gift"/>
    <x v="0"/>
    <x v="1"/>
    <s v="Check"/>
    <s v="FY24"/>
    <n v="1"/>
    <n v="1"/>
    <n v="1"/>
    <s v="Retained/Active"/>
  </r>
  <r>
    <s v="TXN-11179"/>
    <s v="CON-6578"/>
    <x v="2"/>
    <d v="2025-08-17T00:00:00"/>
    <n v="34.479999999999997"/>
    <s v="Outright Gift"/>
    <x v="0"/>
    <x v="4"/>
    <s v="Check"/>
    <s v="FY26"/>
    <n v="1"/>
    <n v="1"/>
    <n v="1"/>
    <s v="Retained/Active"/>
  </r>
  <r>
    <s v="TXN-11180"/>
    <s v="CON-3731"/>
    <x v="0"/>
    <d v="2024-11-05T00:00:00"/>
    <n v="73.790000000000006"/>
    <s v="Pledge Payment"/>
    <x v="0"/>
    <x v="4"/>
    <s v="EFT/ACH"/>
    <s v="FY25"/>
    <n v="1"/>
    <n v="1"/>
    <n v="1"/>
    <s v="Retained/Active"/>
  </r>
  <r>
    <s v="TXN-11181"/>
    <s v="CON-4385"/>
    <x v="1"/>
    <d v="2025-04-21T00:00:00"/>
    <n v="419.98"/>
    <s v="Outright Gift"/>
    <x v="0"/>
    <x v="0"/>
    <s v="Credit Card"/>
    <s v="FY25"/>
    <n v="1"/>
    <n v="1"/>
    <n v="0"/>
    <s v="LYBUNT (Lapsed 1 Yr)"/>
  </r>
  <r>
    <s v="TXN-11182"/>
    <s v="CON-4343"/>
    <x v="1"/>
    <d v="2026-04-08T00:00:00"/>
    <n v="42.64"/>
    <s v="Pledge Payment"/>
    <x v="0"/>
    <x v="1"/>
    <s v="EFT/ACH"/>
    <s v="FY26"/>
    <n v="0"/>
    <n v="1"/>
    <n v="1"/>
    <s v="Retained/Active"/>
  </r>
  <r>
    <s v="TXN-11183"/>
    <s v="CON-3869"/>
    <x v="0"/>
    <d v="2026-03-03T00:00:00"/>
    <n v="452.95"/>
    <s v="Outright Gift"/>
    <x v="1"/>
    <x v="1"/>
    <s v="EFT/ACH"/>
    <s v="FY26"/>
    <n v="1"/>
    <n v="0"/>
    <n v="1"/>
    <s v="Retained/Active"/>
  </r>
  <r>
    <s v="TXN-11184"/>
    <s v="CON-1995"/>
    <x v="2"/>
    <d v="2024-10-24T00:00:00"/>
    <n v="53.68"/>
    <s v="Pledge Payment"/>
    <x v="0"/>
    <x v="4"/>
    <s v="Stock Transfer"/>
    <s v="FY25"/>
    <n v="1"/>
    <n v="1"/>
    <n v="1"/>
    <s v="Retained/Active"/>
  </r>
  <r>
    <s v="TXN-11185"/>
    <s v="CON-5070"/>
    <x v="0"/>
    <d v="2025-06-27T00:00:00"/>
    <n v="79.98"/>
    <s v="Outright Gift"/>
    <x v="0"/>
    <x v="0"/>
    <s v="Credit Card"/>
    <s v="FY25"/>
    <n v="1"/>
    <n v="1"/>
    <n v="1"/>
    <s v="Retained/Active"/>
  </r>
  <r>
    <s v="TXN-11186"/>
    <s v="CON-1202"/>
    <x v="2"/>
    <d v="2024-10-22T00:00:00"/>
    <n v="1065.51"/>
    <s v="Pledge Payment"/>
    <x v="0"/>
    <x v="0"/>
    <s v="Credit Card"/>
    <s v="FY25"/>
    <n v="1"/>
    <n v="1"/>
    <n v="0"/>
    <s v="LYBUNT (Lapsed 1 Yr)"/>
  </r>
  <r>
    <s v="TXN-11187"/>
    <s v="CON-8509"/>
    <x v="0"/>
    <d v="2026-04-27T00:00:00"/>
    <n v="68.95"/>
    <s v="Estate/Planned Gift"/>
    <x v="0"/>
    <x v="1"/>
    <s v="Credit Card"/>
    <s v="FY26"/>
    <n v="1"/>
    <n v="0"/>
    <n v="1"/>
    <s v="Retained/Active"/>
  </r>
  <r>
    <s v="TXN-11188"/>
    <s v="CON-8629"/>
    <x v="2"/>
    <d v="2024-06-07T00:00:00"/>
    <n v="146.78"/>
    <s v="Pledge Payment"/>
    <x v="0"/>
    <x v="1"/>
    <s v="EFT/ACH"/>
    <s v="FY24"/>
    <n v="1"/>
    <n v="1"/>
    <n v="0"/>
    <s v="LYBUNT (Lapsed 1 Yr)"/>
  </r>
  <r>
    <s v="TXN-11189"/>
    <s v="CON-6575"/>
    <x v="1"/>
    <d v="2024-05-27T00:00:00"/>
    <n v="270.8"/>
    <s v="Outright Gift"/>
    <x v="0"/>
    <x v="2"/>
    <s v="Check"/>
    <s v="FY24"/>
    <n v="1"/>
    <n v="1"/>
    <n v="1"/>
    <s v="Retained/Active"/>
  </r>
  <r>
    <s v="TXN-11190"/>
    <s v="CON-7287"/>
    <x v="1"/>
    <d v="2024-09-10T00:00:00"/>
    <n v="163.12"/>
    <s v="Recurring Gift"/>
    <x v="0"/>
    <x v="0"/>
    <s v="Credit Card"/>
    <s v="FY25"/>
    <n v="1"/>
    <n v="1"/>
    <n v="0"/>
    <s v="LYBUNT (Lapsed 1 Yr)"/>
  </r>
  <r>
    <s v="TXN-11191"/>
    <s v="CON-6390"/>
    <x v="2"/>
    <d v="2023-12-21T00:00:00"/>
    <n v="169.28"/>
    <s v="Outright Gift"/>
    <x v="0"/>
    <x v="4"/>
    <s v="EFT/ACH"/>
    <s v="FY24"/>
    <n v="1"/>
    <n v="1"/>
    <n v="0"/>
    <s v="LYBUNT (Lapsed 1 Yr)"/>
  </r>
  <r>
    <s v="TXN-11192"/>
    <s v="CON-8554"/>
    <x v="0"/>
    <d v="2025-01-09T00:00:00"/>
    <n v="112.9"/>
    <s v="Pledge Payment"/>
    <x v="0"/>
    <x v="2"/>
    <s v="EFT/ACH"/>
    <s v="FY25"/>
    <n v="1"/>
    <n v="1"/>
    <n v="1"/>
    <s v="Retained/Active"/>
  </r>
  <r>
    <s v="TXN-11193"/>
    <s v="CON-5499"/>
    <x v="1"/>
    <d v="2024-12-08T00:00:00"/>
    <n v="22.36"/>
    <s v="Recurring Gift"/>
    <x v="0"/>
    <x v="2"/>
    <s v="EFT/ACH"/>
    <s v="FY25"/>
    <n v="1"/>
    <n v="1"/>
    <n v="1"/>
    <s v="Retained/Active"/>
  </r>
  <r>
    <s v="TXN-11194"/>
    <s v="CON-5642"/>
    <x v="0"/>
    <d v="2025-04-19T00:00:00"/>
    <n v="191.1"/>
    <s v="Outright Gift"/>
    <x v="0"/>
    <x v="1"/>
    <s v="Credit Card"/>
    <s v="FY25"/>
    <n v="1"/>
    <n v="1"/>
    <n v="0"/>
    <s v="LYBUNT (Lapsed 1 Yr)"/>
  </r>
  <r>
    <s v="TXN-11195"/>
    <s v="CON-9755"/>
    <x v="1"/>
    <d v="2023-07-26T00:00:00"/>
    <n v="46.89"/>
    <s v="Outright Gift"/>
    <x v="0"/>
    <x v="1"/>
    <s v="Check"/>
    <s v="FY24"/>
    <n v="1"/>
    <n v="1"/>
    <n v="0"/>
    <s v="LYBUNT (Lapsed 1 Yr)"/>
  </r>
  <r>
    <s v="TXN-11196"/>
    <s v="CON-8004"/>
    <x v="0"/>
    <d v="2025-09-27T00:00:00"/>
    <n v="333.12"/>
    <s v="Outright Gift"/>
    <x v="1"/>
    <x v="0"/>
    <s v="Credit Card"/>
    <s v="FY26"/>
    <n v="1"/>
    <n v="0"/>
    <n v="1"/>
    <s v="Retained/Active"/>
  </r>
  <r>
    <s v="TXN-11197"/>
    <s v="CON-6892"/>
    <x v="0"/>
    <d v="2025-02-24T00:00:00"/>
    <n v="723.2"/>
    <s v="Outright Gift"/>
    <x v="0"/>
    <x v="1"/>
    <s v="EFT/ACH"/>
    <s v="FY25"/>
    <n v="1"/>
    <n v="1"/>
    <n v="1"/>
    <s v="Retained/Active"/>
  </r>
  <r>
    <s v="TXN-11198"/>
    <s v="CON-7614"/>
    <x v="2"/>
    <d v="2024-08-09T00:00:00"/>
    <n v="15"/>
    <s v="Pledge Payment"/>
    <x v="0"/>
    <x v="1"/>
    <s v="Credit Card"/>
    <s v="FY25"/>
    <n v="1"/>
    <n v="1"/>
    <n v="0"/>
    <s v="LYBUNT (Lapsed 1 Yr)"/>
  </r>
  <r>
    <s v="TXN-11199"/>
    <s v="CON-8916"/>
    <x v="3"/>
    <d v="2024-02-17T00:00:00"/>
    <n v="724.84"/>
    <s v="Outright Gift"/>
    <x v="0"/>
    <x v="4"/>
    <s v="Credit Card"/>
    <s v="FY24"/>
    <n v="1"/>
    <n v="1"/>
    <n v="0"/>
    <s v="LYBUNT (Lapsed 1 Yr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71213-638F-5D4E-8ED2-4D23C768145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mpaign">
  <location ref="A24:C30" firstHeaderRow="0" firstDataRow="1" firstDataCol="1"/>
  <pivotFields count="14">
    <pivotField showAll="0"/>
    <pivotField dataField="1" showAll="0"/>
    <pivotField showAll="0"/>
    <pivotField numFmtId="14" showAll="0"/>
    <pivotField dataField="1" showAll="0"/>
    <pivotField showAll="0"/>
    <pivotField showAll="0"/>
    <pivotField axis="axisRow" showAll="0" sortType="a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2"/>
    </i>
    <i>
      <x v="1"/>
    </i>
    <i>
      <x v="4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ift_Amount" fld="4" baseField="0" baseItem="0"/>
    <dataField name="Count of Constituent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FE2E8-9B91-124D-AFF8-352E46D0BF1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llege">
  <location ref="A12:D19" firstHeaderRow="1" firstDataRow="2" firstDataCol="1"/>
  <pivotFields count="14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Gift_Amount" fld="4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6B7BF-E17B-CA4E-B9AA-794F04CCFCE4}" name="GiftData" displayName="GiftData" ref="A1:N1201" totalsRowShown="0">
  <autoFilter ref="A1:N1201" xr:uid="{0456B7BF-E17B-CA4E-B9AA-794F04CCFCE4}"/>
  <tableColumns count="14">
    <tableColumn id="1" xr3:uid="{C475C533-EF07-3243-8E16-48B7F58E3408}" name="Transaction_ID"/>
    <tableColumn id="2" xr3:uid="{0FCECA95-E106-9A4A-B2CB-084D6B0CAE36}" name="Constituent_ID"/>
    <tableColumn id="3" xr3:uid="{F1333C99-3A15-4546-9D80-56C9F80CDA28}" name="College"/>
    <tableColumn id="4" xr3:uid="{47038635-51B2-DE42-89BE-476F545FF174}" name="Gift_Date" dataDxfId="5"/>
    <tableColumn id="5" xr3:uid="{F78F4058-A0FE-6744-AA16-05E3BD471ADF}" name="Gift_Amount"/>
    <tableColumn id="6" xr3:uid="{0D4DFA12-CCCC-4A42-8A02-0712DA4B0ACF}" name="Gift_Type"/>
    <tableColumn id="7" xr3:uid="{DCE355B7-2F03-6B46-998C-BDFAB32588A4}" name="Credit_Type"/>
    <tableColumn id="8" xr3:uid="{4AA46637-8B20-0644-8CE7-A82584461CF2}" name="Campaign"/>
    <tableColumn id="9" xr3:uid="{C238D1F4-3A50-8343-9252-D30779B6B9DB}" name="Payment_Method"/>
    <tableColumn id="10" xr3:uid="{854A7A04-E851-9A44-AE4C-19CE3879A8AA}" name="Fiscal_Year" dataDxfId="4">
      <calculatedColumnFormula>"FY" &amp; IF(MONTH(GiftData[[#This Row],[Gift_Date]])&gt;=7, RIGHT(YEAR(GiftData[[#This Row],[Gift_Date]])+1, 2), RIGHT(YEAR(GiftData[[#This Row],[Gift_Date]]), 2))</calculatedColumnFormula>
    </tableColumn>
    <tableColumn id="13" xr3:uid="{7C929A67-0CD9-BA44-9BB7-E6DDBB99C9BD}" name="Gave_FY24" dataDxfId="3">
      <calculatedColumnFormula>IF(COUNTIFS(GiftData[Constituent_ID], GiftData[[#This Row],[Constituent_ID]], GiftData[Fiscal_Year], "FY24")&gt;0, 1, 0)</calculatedColumnFormula>
    </tableColumn>
    <tableColumn id="11" xr3:uid="{137C5FD8-0424-FA48-ACDC-366B60B608DC}" name="Gave_FY25" dataDxfId="2">
      <calculatedColumnFormula>IF(COUNTIFS(GiftData[Constituent_ID], GiftData[[#This Row],[Constituent_ID]], GiftData[Fiscal_Year], "FY25")&gt;0, 1, 0)</calculatedColumnFormula>
    </tableColumn>
    <tableColumn id="12" xr3:uid="{628B5FEF-3BFA-4C43-AFCC-743768B903BD}" name="Gave_FY26" dataDxfId="1">
      <calculatedColumnFormula>IF(COUNTIFS(GiftData[Constituent_ID], GiftData[[#This Row],[Constituent_ID]], GiftData[Fiscal_Year], "FY26")&gt;0, 1, 0)</calculatedColumnFormula>
    </tableColumn>
    <tableColumn id="14" xr3:uid="{765F6E26-27DD-AD45-B9AC-2C560553D67C}" name="Donor_Status" dataDxfId="0">
      <calculatedColumnFormula array="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A5701F-E8BD-B244-B6DA-9FAA7E957DC9}" name="Table3" displayName="Table3" ref="A2:B9" totalsRowShown="0" headerRowDxfId="10" dataDxfId="9" tableBorderDxfId="8">
  <autoFilter ref="A2:B9" xr:uid="{42A5701F-E8BD-B244-B6DA-9FAA7E957DC9}"/>
  <tableColumns count="2">
    <tableColumn id="1" xr3:uid="{6B0825C2-0259-0440-94E3-A14F81DB1BEB}" name="KPIs" dataDxfId="7"/>
    <tableColumn id="2" xr3:uid="{F6BE5843-BA9D-FA46-BDE6-CBA2343D707A}" name="Insights" dataDxfId="6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9816-7093-F64B-8ECB-3E80919BB0E1}">
  <dimension ref="A1:N1201"/>
  <sheetViews>
    <sheetView topLeftCell="C1" workbookViewId="0">
      <selection activeCell="K6" sqref="K6"/>
    </sheetView>
  </sheetViews>
  <sheetFormatPr baseColWidth="10" defaultRowHeight="16" x14ac:dyDescent="0.2"/>
  <cols>
    <col min="1" max="1" width="15.83203125" customWidth="1"/>
    <col min="2" max="2" width="16" customWidth="1"/>
    <col min="3" max="3" width="27.83203125" bestFit="1" customWidth="1"/>
    <col min="4" max="4" width="11.5" customWidth="1"/>
    <col min="5" max="5" width="14" customWidth="1"/>
    <col min="6" max="6" width="17" bestFit="1" customWidth="1"/>
    <col min="7" max="7" width="13.1640625" customWidth="1"/>
    <col min="8" max="8" width="27.83203125" bestFit="1" customWidth="1"/>
    <col min="9" max="9" width="18" bestFit="1" customWidth="1"/>
    <col min="10" max="10" width="13.1640625" bestFit="1" customWidth="1"/>
    <col min="11" max="13" width="12.6640625" bestFit="1" customWidth="1"/>
    <col min="14" max="14" width="2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1598</v>
      </c>
      <c r="K1" t="s">
        <v>1601</v>
      </c>
      <c r="L1" t="s">
        <v>1599</v>
      </c>
      <c r="M1" t="s">
        <v>1600</v>
      </c>
      <c r="N1" t="s">
        <v>1602</v>
      </c>
    </row>
    <row r="2" spans="1:14" x14ac:dyDescent="0.2">
      <c r="A2" t="s">
        <v>9</v>
      </c>
      <c r="B2" t="s">
        <v>10</v>
      </c>
      <c r="C2" t="s">
        <v>11</v>
      </c>
      <c r="D2" s="1">
        <v>46059</v>
      </c>
      <c r="E2">
        <v>109.86</v>
      </c>
      <c r="F2" t="s">
        <v>12</v>
      </c>
      <c r="G2" t="s">
        <v>13</v>
      </c>
      <c r="H2" t="s">
        <v>14</v>
      </c>
      <c r="I2" t="s">
        <v>15</v>
      </c>
      <c r="J2" t="str">
        <f>"FY" &amp; IF(MONTH(GiftData[[#This Row],[Gift_Date]])&gt;=7, RIGHT(YEAR(GiftData[[#This Row],[Gift_Date]])+1, 2), RIGHT(YEAR(GiftData[[#This Row],[Gift_Date]]), 2))</f>
        <v>FY26</v>
      </c>
      <c r="K2">
        <f>IF(COUNTIFS(GiftData[Constituent_ID], GiftData[[#This Row],[Constituent_ID]], GiftData[Fiscal_Year], "FY24")&gt;0, 1, 0)</f>
        <v>0</v>
      </c>
      <c r="L2">
        <f>IF(COUNTIFS(GiftData[Constituent_ID], GiftData[[#This Row],[Constituent_ID]], GiftData[Fiscal_Year], "FY25")&gt;0, 1, 0)</f>
        <v>1</v>
      </c>
      <c r="M2">
        <f>IF(COUNTIFS(GiftData[Constituent_ID], GiftData[[#This Row],[Constituent_ID]], GiftData[Fiscal_Year], "FY26")&gt;0, 1, 0)</f>
        <v>1</v>
      </c>
      <c r="N2" t="str" cm="1">
        <f t="array" ref="N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" spans="1:14" x14ac:dyDescent="0.2">
      <c r="A3" t="s">
        <v>16</v>
      </c>
      <c r="B3" t="s">
        <v>17</v>
      </c>
      <c r="C3" t="s">
        <v>18</v>
      </c>
      <c r="D3" s="1">
        <v>45742</v>
      </c>
      <c r="E3">
        <v>277.25</v>
      </c>
      <c r="F3" t="s">
        <v>19</v>
      </c>
      <c r="G3" t="s">
        <v>13</v>
      </c>
      <c r="H3" t="s">
        <v>20</v>
      </c>
      <c r="I3" t="s">
        <v>15</v>
      </c>
      <c r="J3" t="str">
        <f>"FY" &amp; IF(MONTH(GiftData[[#This Row],[Gift_Date]])&gt;=7, RIGHT(YEAR(GiftData[[#This Row],[Gift_Date]])+1, 2), RIGHT(YEAR(GiftData[[#This Row],[Gift_Date]]), 2))</f>
        <v>FY25</v>
      </c>
      <c r="K3">
        <f>IF(COUNTIFS(GiftData[Constituent_ID], GiftData[[#This Row],[Constituent_ID]], GiftData[Fiscal_Year], "FY24")&gt;0, 1, 0)</f>
        <v>1</v>
      </c>
      <c r="L3">
        <f>IF(COUNTIFS(GiftData[Constituent_ID], GiftData[[#This Row],[Constituent_ID]], GiftData[Fiscal_Year], "FY25")&gt;0, 1, 0)</f>
        <v>1</v>
      </c>
      <c r="M3">
        <f>IF(COUNTIFS(GiftData[Constituent_ID], GiftData[[#This Row],[Constituent_ID]], GiftData[Fiscal_Year], "FY26")&gt;0, 1, 0)</f>
        <v>0</v>
      </c>
      <c r="N3" t="str" cm="1">
        <f t="array" ref="N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" spans="1:14" x14ac:dyDescent="0.2">
      <c r="A4" t="s">
        <v>21</v>
      </c>
      <c r="B4" t="s">
        <v>22</v>
      </c>
      <c r="C4" t="s">
        <v>18</v>
      </c>
      <c r="D4" s="1">
        <v>46095</v>
      </c>
      <c r="E4">
        <v>258.24</v>
      </c>
      <c r="F4" t="s">
        <v>12</v>
      </c>
      <c r="G4" t="s">
        <v>13</v>
      </c>
      <c r="H4" t="s">
        <v>14</v>
      </c>
      <c r="I4" t="s">
        <v>15</v>
      </c>
      <c r="J4" t="str">
        <f>"FY" &amp; IF(MONTH(GiftData[[#This Row],[Gift_Date]])&gt;=7, RIGHT(YEAR(GiftData[[#This Row],[Gift_Date]])+1, 2), RIGHT(YEAR(GiftData[[#This Row],[Gift_Date]]), 2))</f>
        <v>FY26</v>
      </c>
      <c r="K4">
        <f>IF(COUNTIFS(GiftData[Constituent_ID], GiftData[[#This Row],[Constituent_ID]], GiftData[Fiscal_Year], "FY24")&gt;0, 1, 0)</f>
        <v>1</v>
      </c>
      <c r="L4">
        <f>IF(COUNTIFS(GiftData[Constituent_ID], GiftData[[#This Row],[Constituent_ID]], GiftData[Fiscal_Year], "FY25")&gt;0, 1, 0)</f>
        <v>1</v>
      </c>
      <c r="M4">
        <f>IF(COUNTIFS(GiftData[Constituent_ID], GiftData[[#This Row],[Constituent_ID]], GiftData[Fiscal_Year], "FY26")&gt;0, 1, 0)</f>
        <v>1</v>
      </c>
      <c r="N4" t="str" cm="1">
        <f t="array" ref="N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" spans="1:14" x14ac:dyDescent="0.2">
      <c r="A5" t="s">
        <v>23</v>
      </c>
      <c r="B5" t="s">
        <v>24</v>
      </c>
      <c r="C5" t="s">
        <v>18</v>
      </c>
      <c r="D5" s="1">
        <v>46028</v>
      </c>
      <c r="E5">
        <v>577.99</v>
      </c>
      <c r="F5" t="s">
        <v>25</v>
      </c>
      <c r="G5" t="s">
        <v>13</v>
      </c>
      <c r="H5" t="s">
        <v>20</v>
      </c>
      <c r="I5" t="s">
        <v>15</v>
      </c>
      <c r="J5" t="str">
        <f>"FY" &amp; IF(MONTH(GiftData[[#This Row],[Gift_Date]])&gt;=7, RIGHT(YEAR(GiftData[[#This Row],[Gift_Date]])+1, 2), RIGHT(YEAR(GiftData[[#This Row],[Gift_Date]]), 2))</f>
        <v>FY26</v>
      </c>
      <c r="K5">
        <f>IF(COUNTIFS(GiftData[Constituent_ID], GiftData[[#This Row],[Constituent_ID]], GiftData[Fiscal_Year], "FY24")&gt;0, 1, 0)</f>
        <v>0</v>
      </c>
      <c r="L5">
        <f>IF(COUNTIFS(GiftData[Constituent_ID], GiftData[[#This Row],[Constituent_ID]], GiftData[Fiscal_Year], "FY25")&gt;0, 1, 0)</f>
        <v>0</v>
      </c>
      <c r="M5">
        <f>IF(COUNTIFS(GiftData[Constituent_ID], GiftData[[#This Row],[Constituent_ID]], GiftData[Fiscal_Year], "FY26")&gt;0, 1, 0)</f>
        <v>1</v>
      </c>
      <c r="N5" t="str" cm="1">
        <f t="array" ref="N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" spans="1:14" x14ac:dyDescent="0.2">
      <c r="A6" t="s">
        <v>26</v>
      </c>
      <c r="B6" t="s">
        <v>27</v>
      </c>
      <c r="C6" t="s">
        <v>28</v>
      </c>
      <c r="D6" s="1">
        <v>45845</v>
      </c>
      <c r="E6">
        <v>42.31</v>
      </c>
      <c r="F6" t="s">
        <v>25</v>
      </c>
      <c r="G6" t="s">
        <v>29</v>
      </c>
      <c r="H6" t="s">
        <v>20</v>
      </c>
      <c r="I6" t="s">
        <v>30</v>
      </c>
      <c r="J6" t="str">
        <f>"FY" &amp; IF(MONTH(GiftData[[#This Row],[Gift_Date]])&gt;=7, RIGHT(YEAR(GiftData[[#This Row],[Gift_Date]])+1, 2), RIGHT(YEAR(GiftData[[#This Row],[Gift_Date]]), 2))</f>
        <v>FY26</v>
      </c>
      <c r="K6">
        <f>IF(COUNTIFS(GiftData[Constituent_ID], GiftData[[#This Row],[Constituent_ID]], GiftData[Fiscal_Year], "FY24")&gt;0, 1, 0)</f>
        <v>1</v>
      </c>
      <c r="L6">
        <f>IF(COUNTIFS(GiftData[Constituent_ID], GiftData[[#This Row],[Constituent_ID]], GiftData[Fiscal_Year], "FY25")&gt;0, 1, 0)</f>
        <v>1</v>
      </c>
      <c r="M6">
        <f>IF(COUNTIFS(GiftData[Constituent_ID], GiftData[[#This Row],[Constituent_ID]], GiftData[Fiscal_Year], "FY26")&gt;0, 1, 0)</f>
        <v>1</v>
      </c>
      <c r="N6" t="str" cm="1">
        <f t="array" ref="N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" spans="1:14" x14ac:dyDescent="0.2">
      <c r="A7" t="s">
        <v>31</v>
      </c>
      <c r="B7" t="s">
        <v>32</v>
      </c>
      <c r="C7" t="s">
        <v>18</v>
      </c>
      <c r="D7" s="1">
        <v>45277</v>
      </c>
      <c r="E7">
        <v>201.41</v>
      </c>
      <c r="F7" t="s">
        <v>25</v>
      </c>
      <c r="G7" t="s">
        <v>13</v>
      </c>
      <c r="H7" t="s">
        <v>20</v>
      </c>
      <c r="I7" t="s">
        <v>15</v>
      </c>
      <c r="J7" t="str">
        <f>"FY" &amp; IF(MONTH(GiftData[[#This Row],[Gift_Date]])&gt;=7, RIGHT(YEAR(GiftData[[#This Row],[Gift_Date]])+1, 2), RIGHT(YEAR(GiftData[[#This Row],[Gift_Date]]), 2))</f>
        <v>FY24</v>
      </c>
      <c r="K7">
        <f>IF(COUNTIFS(GiftData[Constituent_ID], GiftData[[#This Row],[Constituent_ID]], GiftData[Fiscal_Year], "FY24")&gt;0, 1, 0)</f>
        <v>1</v>
      </c>
      <c r="L7">
        <f>IF(COUNTIFS(GiftData[Constituent_ID], GiftData[[#This Row],[Constituent_ID]], GiftData[Fiscal_Year], "FY25")&gt;0, 1, 0)</f>
        <v>0</v>
      </c>
      <c r="M7">
        <f>IF(COUNTIFS(GiftData[Constituent_ID], GiftData[[#This Row],[Constituent_ID]], GiftData[Fiscal_Year], "FY26")&gt;0, 1, 0)</f>
        <v>1</v>
      </c>
      <c r="N7" t="str" cm="1">
        <f t="array" ref="N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" spans="1:14" x14ac:dyDescent="0.2">
      <c r="A8" t="s">
        <v>33</v>
      </c>
      <c r="B8" t="s">
        <v>34</v>
      </c>
      <c r="C8" t="s">
        <v>35</v>
      </c>
      <c r="D8" s="1">
        <v>45628</v>
      </c>
      <c r="E8">
        <v>312.77999999999997</v>
      </c>
      <c r="F8" t="s">
        <v>12</v>
      </c>
      <c r="G8" t="s">
        <v>29</v>
      </c>
      <c r="H8" t="s">
        <v>14</v>
      </c>
      <c r="I8" t="s">
        <v>15</v>
      </c>
      <c r="J8" t="str">
        <f>"FY" &amp; IF(MONTH(GiftData[[#This Row],[Gift_Date]])&gt;=7, RIGHT(YEAR(GiftData[[#This Row],[Gift_Date]])+1, 2), RIGHT(YEAR(GiftData[[#This Row],[Gift_Date]]), 2))</f>
        <v>FY25</v>
      </c>
      <c r="K8">
        <f>IF(COUNTIFS(GiftData[Constituent_ID], GiftData[[#This Row],[Constituent_ID]], GiftData[Fiscal_Year], "FY24")&gt;0, 1, 0)</f>
        <v>0</v>
      </c>
      <c r="L8">
        <f>IF(COUNTIFS(GiftData[Constituent_ID], GiftData[[#This Row],[Constituent_ID]], GiftData[Fiscal_Year], "FY25")&gt;0, 1, 0)</f>
        <v>1</v>
      </c>
      <c r="M8">
        <f>IF(COUNTIFS(GiftData[Constituent_ID], GiftData[[#This Row],[Constituent_ID]], GiftData[Fiscal_Year], "FY26")&gt;0, 1, 0)</f>
        <v>0</v>
      </c>
      <c r="N8" t="str" cm="1">
        <f t="array" ref="N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" spans="1:14" x14ac:dyDescent="0.2">
      <c r="A9" t="s">
        <v>36</v>
      </c>
      <c r="B9" t="s">
        <v>37</v>
      </c>
      <c r="C9" t="s">
        <v>11</v>
      </c>
      <c r="D9" s="1">
        <v>45147</v>
      </c>
      <c r="E9">
        <v>50.58</v>
      </c>
      <c r="F9" t="s">
        <v>12</v>
      </c>
      <c r="G9" t="s">
        <v>13</v>
      </c>
      <c r="H9" t="s">
        <v>20</v>
      </c>
      <c r="I9" t="s">
        <v>38</v>
      </c>
      <c r="J9" t="str">
        <f>"FY" &amp; IF(MONTH(GiftData[[#This Row],[Gift_Date]])&gt;=7, RIGHT(YEAR(GiftData[[#This Row],[Gift_Date]])+1, 2), RIGHT(YEAR(GiftData[[#This Row],[Gift_Date]]), 2))</f>
        <v>FY24</v>
      </c>
      <c r="K9">
        <f>IF(COUNTIFS(GiftData[Constituent_ID], GiftData[[#This Row],[Constituent_ID]], GiftData[Fiscal_Year], "FY24")&gt;0, 1, 0)</f>
        <v>1</v>
      </c>
      <c r="L9">
        <f>IF(COUNTIFS(GiftData[Constituent_ID], GiftData[[#This Row],[Constituent_ID]], GiftData[Fiscal_Year], "FY25")&gt;0, 1, 0)</f>
        <v>0</v>
      </c>
      <c r="M9">
        <f>IF(COUNTIFS(GiftData[Constituent_ID], GiftData[[#This Row],[Constituent_ID]], GiftData[Fiscal_Year], "FY26")&gt;0, 1, 0)</f>
        <v>0</v>
      </c>
      <c r="N9" t="str" cm="1">
        <f t="array" ref="N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0" spans="1:14" x14ac:dyDescent="0.2">
      <c r="A10" t="s">
        <v>39</v>
      </c>
      <c r="B10" t="s">
        <v>40</v>
      </c>
      <c r="C10" t="s">
        <v>28</v>
      </c>
      <c r="D10" s="1">
        <v>46062</v>
      </c>
      <c r="E10">
        <v>92.77</v>
      </c>
      <c r="F10" t="s">
        <v>12</v>
      </c>
      <c r="G10" t="s">
        <v>13</v>
      </c>
      <c r="H10" t="s">
        <v>41</v>
      </c>
      <c r="I10" t="s">
        <v>15</v>
      </c>
      <c r="J10" t="str">
        <f>"FY" &amp; IF(MONTH(GiftData[[#This Row],[Gift_Date]])&gt;=7, RIGHT(YEAR(GiftData[[#This Row],[Gift_Date]])+1, 2), RIGHT(YEAR(GiftData[[#This Row],[Gift_Date]]), 2))</f>
        <v>FY26</v>
      </c>
      <c r="K10">
        <f>IF(COUNTIFS(GiftData[Constituent_ID], GiftData[[#This Row],[Constituent_ID]], GiftData[Fiscal_Year], "FY24")&gt;0, 1, 0)</f>
        <v>0</v>
      </c>
      <c r="L10">
        <f>IF(COUNTIFS(GiftData[Constituent_ID], GiftData[[#This Row],[Constituent_ID]], GiftData[Fiscal_Year], "FY25")&gt;0, 1, 0)</f>
        <v>1</v>
      </c>
      <c r="M10">
        <f>IF(COUNTIFS(GiftData[Constituent_ID], GiftData[[#This Row],[Constituent_ID]], GiftData[Fiscal_Year], "FY26")&gt;0, 1, 0)</f>
        <v>1</v>
      </c>
      <c r="N10" t="str" cm="1">
        <f t="array" ref="N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" spans="1:14" x14ac:dyDescent="0.2">
      <c r="A11" t="s">
        <v>42</v>
      </c>
      <c r="B11" t="s">
        <v>43</v>
      </c>
      <c r="C11" t="s">
        <v>11</v>
      </c>
      <c r="D11" s="1">
        <v>46091</v>
      </c>
      <c r="E11">
        <v>15</v>
      </c>
      <c r="F11" t="s">
        <v>12</v>
      </c>
      <c r="G11" t="s">
        <v>13</v>
      </c>
      <c r="H11" t="s">
        <v>41</v>
      </c>
      <c r="I11" t="s">
        <v>15</v>
      </c>
      <c r="J11" t="str">
        <f>"FY" &amp; IF(MONTH(GiftData[[#This Row],[Gift_Date]])&gt;=7, RIGHT(YEAR(GiftData[[#This Row],[Gift_Date]])+1, 2), RIGHT(YEAR(GiftData[[#This Row],[Gift_Date]]), 2))</f>
        <v>FY26</v>
      </c>
      <c r="K11">
        <f>IF(COUNTIFS(GiftData[Constituent_ID], GiftData[[#This Row],[Constituent_ID]], GiftData[Fiscal_Year], "FY24")&gt;0, 1, 0)</f>
        <v>1</v>
      </c>
      <c r="L11">
        <f>IF(COUNTIFS(GiftData[Constituent_ID], GiftData[[#This Row],[Constituent_ID]], GiftData[Fiscal_Year], "FY25")&gt;0, 1, 0)</f>
        <v>0</v>
      </c>
      <c r="M11">
        <f>IF(COUNTIFS(GiftData[Constituent_ID], GiftData[[#This Row],[Constituent_ID]], GiftData[Fiscal_Year], "FY26")&gt;0, 1, 0)</f>
        <v>1</v>
      </c>
      <c r="N11" t="str" cm="1">
        <f t="array" ref="N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" spans="1:14" x14ac:dyDescent="0.2">
      <c r="A12" t="s">
        <v>44</v>
      </c>
      <c r="B12" t="s">
        <v>45</v>
      </c>
      <c r="C12" t="s">
        <v>28</v>
      </c>
      <c r="D12" s="1">
        <v>46082</v>
      </c>
      <c r="E12">
        <v>395.01</v>
      </c>
      <c r="F12" t="s">
        <v>12</v>
      </c>
      <c r="G12" t="s">
        <v>13</v>
      </c>
      <c r="H12" t="s">
        <v>14</v>
      </c>
      <c r="I12" t="s">
        <v>15</v>
      </c>
      <c r="J12" t="str">
        <f>"FY" &amp; IF(MONTH(GiftData[[#This Row],[Gift_Date]])&gt;=7, RIGHT(YEAR(GiftData[[#This Row],[Gift_Date]])+1, 2), RIGHT(YEAR(GiftData[[#This Row],[Gift_Date]]), 2))</f>
        <v>FY26</v>
      </c>
      <c r="K12">
        <f>IF(COUNTIFS(GiftData[Constituent_ID], GiftData[[#This Row],[Constituent_ID]], GiftData[Fiscal_Year], "FY24")&gt;0, 1, 0)</f>
        <v>1</v>
      </c>
      <c r="L12">
        <f>IF(COUNTIFS(GiftData[Constituent_ID], GiftData[[#This Row],[Constituent_ID]], GiftData[Fiscal_Year], "FY25")&gt;0, 1, 0)</f>
        <v>0</v>
      </c>
      <c r="M12">
        <f>IF(COUNTIFS(GiftData[Constituent_ID], GiftData[[#This Row],[Constituent_ID]], GiftData[Fiscal_Year], "FY26")&gt;0, 1, 0)</f>
        <v>1</v>
      </c>
      <c r="N12" t="str" cm="1">
        <f t="array" ref="N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" spans="1:14" x14ac:dyDescent="0.2">
      <c r="A13" t="s">
        <v>46</v>
      </c>
      <c r="B13" t="s">
        <v>47</v>
      </c>
      <c r="C13" t="s">
        <v>48</v>
      </c>
      <c r="D13" s="1">
        <v>45145</v>
      </c>
      <c r="E13">
        <v>91.82</v>
      </c>
      <c r="F13" t="s">
        <v>12</v>
      </c>
      <c r="G13" t="s">
        <v>13</v>
      </c>
      <c r="H13" t="s">
        <v>41</v>
      </c>
      <c r="I13" t="s">
        <v>15</v>
      </c>
      <c r="J13" t="str">
        <f>"FY" &amp; IF(MONTH(GiftData[[#This Row],[Gift_Date]])&gt;=7, RIGHT(YEAR(GiftData[[#This Row],[Gift_Date]])+1, 2), RIGHT(YEAR(GiftData[[#This Row],[Gift_Date]]), 2))</f>
        <v>FY24</v>
      </c>
      <c r="K13">
        <f>IF(COUNTIFS(GiftData[Constituent_ID], GiftData[[#This Row],[Constituent_ID]], GiftData[Fiscal_Year], "FY24")&gt;0, 1, 0)</f>
        <v>1</v>
      </c>
      <c r="L13">
        <f>IF(COUNTIFS(GiftData[Constituent_ID], GiftData[[#This Row],[Constituent_ID]], GiftData[Fiscal_Year], "FY25")&gt;0, 1, 0)</f>
        <v>1</v>
      </c>
      <c r="M13">
        <f>IF(COUNTIFS(GiftData[Constituent_ID], GiftData[[#This Row],[Constituent_ID]], GiftData[Fiscal_Year], "FY26")&gt;0, 1, 0)</f>
        <v>1</v>
      </c>
      <c r="N13" t="str" cm="1">
        <f t="array" ref="N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" spans="1:14" x14ac:dyDescent="0.2">
      <c r="A14" t="s">
        <v>49</v>
      </c>
      <c r="B14" t="s">
        <v>50</v>
      </c>
      <c r="C14" t="s">
        <v>18</v>
      </c>
      <c r="D14" s="1">
        <v>45435</v>
      </c>
      <c r="E14">
        <v>346.73</v>
      </c>
      <c r="F14" t="s">
        <v>12</v>
      </c>
      <c r="G14" t="s">
        <v>13</v>
      </c>
      <c r="H14" t="s">
        <v>51</v>
      </c>
      <c r="I14" t="s">
        <v>15</v>
      </c>
      <c r="J14" t="str">
        <f>"FY" &amp; IF(MONTH(GiftData[[#This Row],[Gift_Date]])&gt;=7, RIGHT(YEAR(GiftData[[#This Row],[Gift_Date]])+1, 2), RIGHT(YEAR(GiftData[[#This Row],[Gift_Date]]), 2))</f>
        <v>FY24</v>
      </c>
      <c r="K14">
        <f>IF(COUNTIFS(GiftData[Constituent_ID], GiftData[[#This Row],[Constituent_ID]], GiftData[Fiscal_Year], "FY24")&gt;0, 1, 0)</f>
        <v>1</v>
      </c>
      <c r="L14">
        <f>IF(COUNTIFS(GiftData[Constituent_ID], GiftData[[#This Row],[Constituent_ID]], GiftData[Fiscal_Year], "FY25")&gt;0, 1, 0)</f>
        <v>1</v>
      </c>
      <c r="M14">
        <f>IF(COUNTIFS(GiftData[Constituent_ID], GiftData[[#This Row],[Constituent_ID]], GiftData[Fiscal_Year], "FY26")&gt;0, 1, 0)</f>
        <v>0</v>
      </c>
      <c r="N14" t="str" cm="1">
        <f t="array" ref="N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5" spans="1:14" x14ac:dyDescent="0.2">
      <c r="A15" t="s">
        <v>52</v>
      </c>
      <c r="B15" t="s">
        <v>53</v>
      </c>
      <c r="C15" t="s">
        <v>11</v>
      </c>
      <c r="D15" s="1">
        <v>46021</v>
      </c>
      <c r="E15">
        <v>158.83000000000001</v>
      </c>
      <c r="F15" t="s">
        <v>12</v>
      </c>
      <c r="G15" t="s">
        <v>13</v>
      </c>
      <c r="H15" t="s">
        <v>14</v>
      </c>
      <c r="I15" t="s">
        <v>15</v>
      </c>
      <c r="J15" t="str">
        <f>"FY" &amp; IF(MONTH(GiftData[[#This Row],[Gift_Date]])&gt;=7, RIGHT(YEAR(GiftData[[#This Row],[Gift_Date]])+1, 2), RIGHT(YEAR(GiftData[[#This Row],[Gift_Date]]), 2))</f>
        <v>FY26</v>
      </c>
      <c r="K15">
        <f>IF(COUNTIFS(GiftData[Constituent_ID], GiftData[[#This Row],[Constituent_ID]], GiftData[Fiscal_Year], "FY24")&gt;0, 1, 0)</f>
        <v>1</v>
      </c>
      <c r="L15">
        <f>IF(COUNTIFS(GiftData[Constituent_ID], GiftData[[#This Row],[Constituent_ID]], GiftData[Fiscal_Year], "FY25")&gt;0, 1, 0)</f>
        <v>1</v>
      </c>
      <c r="M15">
        <f>IF(COUNTIFS(GiftData[Constituent_ID], GiftData[[#This Row],[Constituent_ID]], GiftData[Fiscal_Year], "FY26")&gt;0, 1, 0)</f>
        <v>1</v>
      </c>
      <c r="N15" t="str" cm="1">
        <f t="array" ref="N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" spans="1:14" x14ac:dyDescent="0.2">
      <c r="A16" t="s">
        <v>54</v>
      </c>
      <c r="B16" t="s">
        <v>55</v>
      </c>
      <c r="C16" t="s">
        <v>35</v>
      </c>
      <c r="D16" s="1">
        <v>45561</v>
      </c>
      <c r="E16">
        <v>95.52</v>
      </c>
      <c r="F16" t="s">
        <v>25</v>
      </c>
      <c r="G16" t="s">
        <v>13</v>
      </c>
      <c r="H16" t="s">
        <v>41</v>
      </c>
      <c r="I16" t="s">
        <v>56</v>
      </c>
      <c r="J16" t="str">
        <f>"FY" &amp; IF(MONTH(GiftData[[#This Row],[Gift_Date]])&gt;=7, RIGHT(YEAR(GiftData[[#This Row],[Gift_Date]])+1, 2), RIGHT(YEAR(GiftData[[#This Row],[Gift_Date]]), 2))</f>
        <v>FY25</v>
      </c>
      <c r="K16">
        <f>IF(COUNTIFS(GiftData[Constituent_ID], GiftData[[#This Row],[Constituent_ID]], GiftData[Fiscal_Year], "FY24")&gt;0, 1, 0)</f>
        <v>1</v>
      </c>
      <c r="L16">
        <f>IF(COUNTIFS(GiftData[Constituent_ID], GiftData[[#This Row],[Constituent_ID]], GiftData[Fiscal_Year], "FY25")&gt;0, 1, 0)</f>
        <v>1</v>
      </c>
      <c r="M16">
        <f>IF(COUNTIFS(GiftData[Constituent_ID], GiftData[[#This Row],[Constituent_ID]], GiftData[Fiscal_Year], "FY26")&gt;0, 1, 0)</f>
        <v>1</v>
      </c>
      <c r="N16" t="str" cm="1">
        <f t="array" ref="N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" spans="1:14" x14ac:dyDescent="0.2">
      <c r="A17" t="s">
        <v>57</v>
      </c>
      <c r="B17" t="s">
        <v>58</v>
      </c>
      <c r="C17" t="s">
        <v>18</v>
      </c>
      <c r="D17" s="1">
        <v>45144</v>
      </c>
      <c r="E17">
        <v>15.32</v>
      </c>
      <c r="F17" t="s">
        <v>59</v>
      </c>
      <c r="G17" t="s">
        <v>13</v>
      </c>
      <c r="H17" t="s">
        <v>20</v>
      </c>
      <c r="I17" t="s">
        <v>15</v>
      </c>
      <c r="J17" t="str">
        <f>"FY" &amp; IF(MONTH(GiftData[[#This Row],[Gift_Date]])&gt;=7, RIGHT(YEAR(GiftData[[#This Row],[Gift_Date]])+1, 2), RIGHT(YEAR(GiftData[[#This Row],[Gift_Date]]), 2))</f>
        <v>FY24</v>
      </c>
      <c r="K17">
        <f>IF(COUNTIFS(GiftData[Constituent_ID], GiftData[[#This Row],[Constituent_ID]], GiftData[Fiscal_Year], "FY24")&gt;0, 1, 0)</f>
        <v>1</v>
      </c>
      <c r="L17">
        <f>IF(COUNTIFS(GiftData[Constituent_ID], GiftData[[#This Row],[Constituent_ID]], GiftData[Fiscal_Year], "FY25")&gt;0, 1, 0)</f>
        <v>1</v>
      </c>
      <c r="M17">
        <f>IF(COUNTIFS(GiftData[Constituent_ID], GiftData[[#This Row],[Constituent_ID]], GiftData[Fiscal_Year], "FY26")&gt;0, 1, 0)</f>
        <v>0</v>
      </c>
      <c r="N17" t="str" cm="1">
        <f t="array" ref="N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8" spans="1:14" x14ac:dyDescent="0.2">
      <c r="A18" t="s">
        <v>60</v>
      </c>
      <c r="B18" t="s">
        <v>61</v>
      </c>
      <c r="C18" t="s">
        <v>18</v>
      </c>
      <c r="D18" s="1">
        <v>46080</v>
      </c>
      <c r="E18">
        <v>19.309999999999999</v>
      </c>
      <c r="F18" t="s">
        <v>59</v>
      </c>
      <c r="G18" t="s">
        <v>13</v>
      </c>
      <c r="H18" t="s">
        <v>51</v>
      </c>
      <c r="I18" t="s">
        <v>38</v>
      </c>
      <c r="J18" t="str">
        <f>"FY" &amp; IF(MONTH(GiftData[[#This Row],[Gift_Date]])&gt;=7, RIGHT(YEAR(GiftData[[#This Row],[Gift_Date]])+1, 2), RIGHT(YEAR(GiftData[[#This Row],[Gift_Date]]), 2))</f>
        <v>FY26</v>
      </c>
      <c r="K18">
        <f>IF(COUNTIFS(GiftData[Constituent_ID], GiftData[[#This Row],[Constituent_ID]], GiftData[Fiscal_Year], "FY24")&gt;0, 1, 0)</f>
        <v>0</v>
      </c>
      <c r="L18">
        <f>IF(COUNTIFS(GiftData[Constituent_ID], GiftData[[#This Row],[Constituent_ID]], GiftData[Fiscal_Year], "FY25")&gt;0, 1, 0)</f>
        <v>0</v>
      </c>
      <c r="M18">
        <f>IF(COUNTIFS(GiftData[Constituent_ID], GiftData[[#This Row],[Constituent_ID]], GiftData[Fiscal_Year], "FY26")&gt;0, 1, 0)</f>
        <v>1</v>
      </c>
      <c r="N18" t="str" cm="1">
        <f t="array" ref="N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" spans="1:14" x14ac:dyDescent="0.2">
      <c r="A19" t="s">
        <v>62</v>
      </c>
      <c r="B19" t="s">
        <v>63</v>
      </c>
      <c r="C19" t="s">
        <v>11</v>
      </c>
      <c r="D19" s="1">
        <v>45903</v>
      </c>
      <c r="E19">
        <v>15</v>
      </c>
      <c r="F19" t="s">
        <v>12</v>
      </c>
      <c r="G19" t="s">
        <v>13</v>
      </c>
      <c r="H19" t="s">
        <v>20</v>
      </c>
      <c r="I19" t="s">
        <v>38</v>
      </c>
      <c r="J19" t="str">
        <f>"FY" &amp; IF(MONTH(GiftData[[#This Row],[Gift_Date]])&gt;=7, RIGHT(YEAR(GiftData[[#This Row],[Gift_Date]])+1, 2), RIGHT(YEAR(GiftData[[#This Row],[Gift_Date]]), 2))</f>
        <v>FY26</v>
      </c>
      <c r="K19">
        <f>IF(COUNTIFS(GiftData[Constituent_ID], GiftData[[#This Row],[Constituent_ID]], GiftData[Fiscal_Year], "FY24")&gt;0, 1, 0)</f>
        <v>0</v>
      </c>
      <c r="L19">
        <f>IF(COUNTIFS(GiftData[Constituent_ID], GiftData[[#This Row],[Constituent_ID]], GiftData[Fiscal_Year], "FY25")&gt;0, 1, 0)</f>
        <v>1</v>
      </c>
      <c r="M19">
        <f>IF(COUNTIFS(GiftData[Constituent_ID], GiftData[[#This Row],[Constituent_ID]], GiftData[Fiscal_Year], "FY26")&gt;0, 1, 0)</f>
        <v>1</v>
      </c>
      <c r="N19" t="str" cm="1">
        <f t="array" ref="N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" spans="1:14" x14ac:dyDescent="0.2">
      <c r="A20" t="s">
        <v>64</v>
      </c>
      <c r="B20" t="s">
        <v>65</v>
      </c>
      <c r="C20" t="s">
        <v>18</v>
      </c>
      <c r="D20" s="1">
        <v>46080</v>
      </c>
      <c r="E20">
        <v>58.48</v>
      </c>
      <c r="F20" t="s">
        <v>25</v>
      </c>
      <c r="G20" t="s">
        <v>13</v>
      </c>
      <c r="H20" t="s">
        <v>20</v>
      </c>
      <c r="I20" t="s">
        <v>15</v>
      </c>
      <c r="J20" t="str">
        <f>"FY" &amp; IF(MONTH(GiftData[[#This Row],[Gift_Date]])&gt;=7, RIGHT(YEAR(GiftData[[#This Row],[Gift_Date]])+1, 2), RIGHT(YEAR(GiftData[[#This Row],[Gift_Date]]), 2))</f>
        <v>FY26</v>
      </c>
      <c r="K20">
        <f>IF(COUNTIFS(GiftData[Constituent_ID], GiftData[[#This Row],[Constituent_ID]], GiftData[Fiscal_Year], "FY24")&gt;0, 1, 0)</f>
        <v>0</v>
      </c>
      <c r="L20">
        <f>IF(COUNTIFS(GiftData[Constituent_ID], GiftData[[#This Row],[Constituent_ID]], GiftData[Fiscal_Year], "FY25")&gt;0, 1, 0)</f>
        <v>0</v>
      </c>
      <c r="M20">
        <f>IF(COUNTIFS(GiftData[Constituent_ID], GiftData[[#This Row],[Constituent_ID]], GiftData[Fiscal_Year], "FY26")&gt;0, 1, 0)</f>
        <v>1</v>
      </c>
      <c r="N20" t="str" cm="1">
        <f t="array" ref="N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" spans="1:14" x14ac:dyDescent="0.2">
      <c r="A21" t="s">
        <v>66</v>
      </c>
      <c r="B21" t="s">
        <v>67</v>
      </c>
      <c r="C21" t="s">
        <v>28</v>
      </c>
      <c r="D21" s="1">
        <v>45700</v>
      </c>
      <c r="E21">
        <v>2348.9499999999998</v>
      </c>
      <c r="F21" t="s">
        <v>59</v>
      </c>
      <c r="G21" t="s">
        <v>13</v>
      </c>
      <c r="H21" t="s">
        <v>41</v>
      </c>
      <c r="I21" t="s">
        <v>15</v>
      </c>
      <c r="J21" t="str">
        <f>"FY" &amp; IF(MONTH(GiftData[[#This Row],[Gift_Date]])&gt;=7, RIGHT(YEAR(GiftData[[#This Row],[Gift_Date]])+1, 2), RIGHT(YEAR(GiftData[[#This Row],[Gift_Date]]), 2))</f>
        <v>FY25</v>
      </c>
      <c r="K21">
        <f>IF(COUNTIFS(GiftData[Constituent_ID], GiftData[[#This Row],[Constituent_ID]], GiftData[Fiscal_Year], "FY24")&gt;0, 1, 0)</f>
        <v>0</v>
      </c>
      <c r="L21">
        <f>IF(COUNTIFS(GiftData[Constituent_ID], GiftData[[#This Row],[Constituent_ID]], GiftData[Fiscal_Year], "FY25")&gt;0, 1, 0)</f>
        <v>1</v>
      </c>
      <c r="M21">
        <f>IF(COUNTIFS(GiftData[Constituent_ID], GiftData[[#This Row],[Constituent_ID]], GiftData[Fiscal_Year], "FY26")&gt;0, 1, 0)</f>
        <v>0</v>
      </c>
      <c r="N21" t="str" cm="1">
        <f t="array" ref="N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2" spans="1:14" x14ac:dyDescent="0.2">
      <c r="A22" t="s">
        <v>68</v>
      </c>
      <c r="B22" t="s">
        <v>69</v>
      </c>
      <c r="C22" t="s">
        <v>18</v>
      </c>
      <c r="D22" s="1">
        <v>45331</v>
      </c>
      <c r="E22">
        <v>22.78</v>
      </c>
      <c r="F22" t="s">
        <v>12</v>
      </c>
      <c r="G22" t="s">
        <v>13</v>
      </c>
      <c r="H22" t="s">
        <v>20</v>
      </c>
      <c r="I22" t="s">
        <v>15</v>
      </c>
      <c r="J22" t="str">
        <f>"FY" &amp; IF(MONTH(GiftData[[#This Row],[Gift_Date]])&gt;=7, RIGHT(YEAR(GiftData[[#This Row],[Gift_Date]])+1, 2), RIGHT(YEAR(GiftData[[#This Row],[Gift_Date]]), 2))</f>
        <v>FY24</v>
      </c>
      <c r="K22">
        <f>IF(COUNTIFS(GiftData[Constituent_ID], GiftData[[#This Row],[Constituent_ID]], GiftData[Fiscal_Year], "FY24")&gt;0, 1, 0)</f>
        <v>1</v>
      </c>
      <c r="L22">
        <f>IF(COUNTIFS(GiftData[Constituent_ID], GiftData[[#This Row],[Constituent_ID]], GiftData[Fiscal_Year], "FY25")&gt;0, 1, 0)</f>
        <v>0</v>
      </c>
      <c r="M22">
        <f>IF(COUNTIFS(GiftData[Constituent_ID], GiftData[[#This Row],[Constituent_ID]], GiftData[Fiscal_Year], "FY26")&gt;0, 1, 0)</f>
        <v>1</v>
      </c>
      <c r="N22" t="str" cm="1">
        <f t="array" ref="N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" spans="1:14" x14ac:dyDescent="0.2">
      <c r="A23" t="s">
        <v>70</v>
      </c>
      <c r="B23" t="s">
        <v>71</v>
      </c>
      <c r="C23" t="s">
        <v>35</v>
      </c>
      <c r="D23" s="1">
        <v>45425</v>
      </c>
      <c r="E23">
        <v>15</v>
      </c>
      <c r="F23" t="s">
        <v>12</v>
      </c>
      <c r="G23" t="s">
        <v>13</v>
      </c>
      <c r="H23" t="s">
        <v>20</v>
      </c>
      <c r="I23" t="s">
        <v>38</v>
      </c>
      <c r="J23" t="str">
        <f>"FY" &amp; IF(MONTH(GiftData[[#This Row],[Gift_Date]])&gt;=7, RIGHT(YEAR(GiftData[[#This Row],[Gift_Date]])+1, 2), RIGHT(YEAR(GiftData[[#This Row],[Gift_Date]]), 2))</f>
        <v>FY24</v>
      </c>
      <c r="K23">
        <f>IF(COUNTIFS(GiftData[Constituent_ID], GiftData[[#This Row],[Constituent_ID]], GiftData[Fiscal_Year], "FY24")&gt;0, 1, 0)</f>
        <v>1</v>
      </c>
      <c r="L23">
        <f>IF(COUNTIFS(GiftData[Constituent_ID], GiftData[[#This Row],[Constituent_ID]], GiftData[Fiscal_Year], "FY25")&gt;0, 1, 0)</f>
        <v>1</v>
      </c>
      <c r="M23">
        <f>IF(COUNTIFS(GiftData[Constituent_ID], GiftData[[#This Row],[Constituent_ID]], GiftData[Fiscal_Year], "FY26")&gt;0, 1, 0)</f>
        <v>1</v>
      </c>
      <c r="N23" t="str" cm="1">
        <f t="array" ref="N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" spans="1:14" x14ac:dyDescent="0.2">
      <c r="A24" t="s">
        <v>72</v>
      </c>
      <c r="B24" t="s">
        <v>73</v>
      </c>
      <c r="C24" t="s">
        <v>35</v>
      </c>
      <c r="D24" s="1">
        <v>45456</v>
      </c>
      <c r="E24">
        <v>424.74</v>
      </c>
      <c r="F24" t="s">
        <v>59</v>
      </c>
      <c r="G24" t="s">
        <v>29</v>
      </c>
      <c r="H24" t="s">
        <v>14</v>
      </c>
      <c r="I24" t="s">
        <v>38</v>
      </c>
      <c r="J24" t="str">
        <f>"FY" &amp; IF(MONTH(GiftData[[#This Row],[Gift_Date]])&gt;=7, RIGHT(YEAR(GiftData[[#This Row],[Gift_Date]])+1, 2), RIGHT(YEAR(GiftData[[#This Row],[Gift_Date]]), 2))</f>
        <v>FY24</v>
      </c>
      <c r="K24">
        <f>IF(COUNTIFS(GiftData[Constituent_ID], GiftData[[#This Row],[Constituent_ID]], GiftData[Fiscal_Year], "FY24")&gt;0, 1, 0)</f>
        <v>1</v>
      </c>
      <c r="L24">
        <f>IF(COUNTIFS(GiftData[Constituent_ID], GiftData[[#This Row],[Constituent_ID]], GiftData[Fiscal_Year], "FY25")&gt;0, 1, 0)</f>
        <v>0</v>
      </c>
      <c r="M24">
        <f>IF(COUNTIFS(GiftData[Constituent_ID], GiftData[[#This Row],[Constituent_ID]], GiftData[Fiscal_Year], "FY26")&gt;0, 1, 0)</f>
        <v>1</v>
      </c>
      <c r="N24" t="str" cm="1">
        <f t="array" ref="N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" spans="1:14" x14ac:dyDescent="0.2">
      <c r="A25" t="s">
        <v>74</v>
      </c>
      <c r="B25" t="s">
        <v>75</v>
      </c>
      <c r="C25" t="s">
        <v>28</v>
      </c>
      <c r="D25" s="1">
        <v>45222</v>
      </c>
      <c r="E25">
        <v>2624.99</v>
      </c>
      <c r="F25" t="s">
        <v>12</v>
      </c>
      <c r="G25" t="s">
        <v>13</v>
      </c>
      <c r="H25" t="s">
        <v>14</v>
      </c>
      <c r="I25" t="s">
        <v>38</v>
      </c>
      <c r="J25" t="str">
        <f>"FY" &amp; IF(MONTH(GiftData[[#This Row],[Gift_Date]])&gt;=7, RIGHT(YEAR(GiftData[[#This Row],[Gift_Date]])+1, 2), RIGHT(YEAR(GiftData[[#This Row],[Gift_Date]]), 2))</f>
        <v>FY24</v>
      </c>
      <c r="K25">
        <f>IF(COUNTIFS(GiftData[Constituent_ID], GiftData[[#This Row],[Constituent_ID]], GiftData[Fiscal_Year], "FY24")&gt;0, 1, 0)</f>
        <v>1</v>
      </c>
      <c r="L25">
        <f>IF(COUNTIFS(GiftData[Constituent_ID], GiftData[[#This Row],[Constituent_ID]], GiftData[Fiscal_Year], "FY25")&gt;0, 1, 0)</f>
        <v>1</v>
      </c>
      <c r="M25">
        <f>IF(COUNTIFS(GiftData[Constituent_ID], GiftData[[#This Row],[Constituent_ID]], GiftData[Fiscal_Year], "FY26")&gt;0, 1, 0)</f>
        <v>1</v>
      </c>
      <c r="N25" t="str" cm="1">
        <f t="array" ref="N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" spans="1:14" x14ac:dyDescent="0.2">
      <c r="A26" t="s">
        <v>76</v>
      </c>
      <c r="B26" t="s">
        <v>77</v>
      </c>
      <c r="C26" t="s">
        <v>28</v>
      </c>
      <c r="D26" s="1">
        <v>45805</v>
      </c>
      <c r="E26">
        <v>178.98</v>
      </c>
      <c r="F26" t="s">
        <v>12</v>
      </c>
      <c r="G26" t="s">
        <v>13</v>
      </c>
      <c r="H26" t="s">
        <v>41</v>
      </c>
      <c r="I26" t="s">
        <v>15</v>
      </c>
      <c r="J26" t="str">
        <f>"FY" &amp; IF(MONTH(GiftData[[#This Row],[Gift_Date]])&gt;=7, RIGHT(YEAR(GiftData[[#This Row],[Gift_Date]])+1, 2), RIGHT(YEAR(GiftData[[#This Row],[Gift_Date]]), 2))</f>
        <v>FY25</v>
      </c>
      <c r="K26">
        <f>IF(COUNTIFS(GiftData[Constituent_ID], GiftData[[#This Row],[Constituent_ID]], GiftData[Fiscal_Year], "FY24")&gt;0, 1, 0)</f>
        <v>1</v>
      </c>
      <c r="L26">
        <f>IF(COUNTIFS(GiftData[Constituent_ID], GiftData[[#This Row],[Constituent_ID]], GiftData[Fiscal_Year], "FY25")&gt;0, 1, 0)</f>
        <v>1</v>
      </c>
      <c r="M26">
        <f>IF(COUNTIFS(GiftData[Constituent_ID], GiftData[[#This Row],[Constituent_ID]], GiftData[Fiscal_Year], "FY26")&gt;0, 1, 0)</f>
        <v>1</v>
      </c>
      <c r="N26" t="str" cm="1">
        <f t="array" ref="N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" spans="1:14" x14ac:dyDescent="0.2">
      <c r="A27" t="s">
        <v>78</v>
      </c>
      <c r="B27" t="s">
        <v>79</v>
      </c>
      <c r="C27" t="s">
        <v>35</v>
      </c>
      <c r="D27" s="1">
        <v>45147</v>
      </c>
      <c r="E27">
        <v>176.86</v>
      </c>
      <c r="F27" t="s">
        <v>12</v>
      </c>
      <c r="G27" t="s">
        <v>13</v>
      </c>
      <c r="H27" t="s">
        <v>51</v>
      </c>
      <c r="I27" t="s">
        <v>56</v>
      </c>
      <c r="J27" t="str">
        <f>"FY" &amp; IF(MONTH(GiftData[[#This Row],[Gift_Date]])&gt;=7, RIGHT(YEAR(GiftData[[#This Row],[Gift_Date]])+1, 2), RIGHT(YEAR(GiftData[[#This Row],[Gift_Date]]), 2))</f>
        <v>FY24</v>
      </c>
      <c r="K27">
        <f>IF(COUNTIFS(GiftData[Constituent_ID], GiftData[[#This Row],[Constituent_ID]], GiftData[Fiscal_Year], "FY24")&gt;0, 1, 0)</f>
        <v>1</v>
      </c>
      <c r="L27">
        <f>IF(COUNTIFS(GiftData[Constituent_ID], GiftData[[#This Row],[Constituent_ID]], GiftData[Fiscal_Year], "FY25")&gt;0, 1, 0)</f>
        <v>1</v>
      </c>
      <c r="M27">
        <f>IF(COUNTIFS(GiftData[Constituent_ID], GiftData[[#This Row],[Constituent_ID]], GiftData[Fiscal_Year], "FY26")&gt;0, 1, 0)</f>
        <v>1</v>
      </c>
      <c r="N27" t="str" cm="1">
        <f t="array" ref="N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" spans="1:14" x14ac:dyDescent="0.2">
      <c r="A28" t="s">
        <v>80</v>
      </c>
      <c r="B28" t="s">
        <v>81</v>
      </c>
      <c r="C28" t="s">
        <v>18</v>
      </c>
      <c r="D28" s="1">
        <v>45323</v>
      </c>
      <c r="E28">
        <v>81.22</v>
      </c>
      <c r="F28" t="s">
        <v>12</v>
      </c>
      <c r="G28" t="s">
        <v>29</v>
      </c>
      <c r="H28" t="s">
        <v>20</v>
      </c>
      <c r="I28" t="s">
        <v>15</v>
      </c>
      <c r="J28" t="str">
        <f>"FY" &amp; IF(MONTH(GiftData[[#This Row],[Gift_Date]])&gt;=7, RIGHT(YEAR(GiftData[[#This Row],[Gift_Date]])+1, 2), RIGHT(YEAR(GiftData[[#This Row],[Gift_Date]]), 2))</f>
        <v>FY24</v>
      </c>
      <c r="K28">
        <f>IF(COUNTIFS(GiftData[Constituent_ID], GiftData[[#This Row],[Constituent_ID]], GiftData[Fiscal_Year], "FY24")&gt;0, 1, 0)</f>
        <v>1</v>
      </c>
      <c r="L28">
        <f>IF(COUNTIFS(GiftData[Constituent_ID], GiftData[[#This Row],[Constituent_ID]], GiftData[Fiscal_Year], "FY25")&gt;0, 1, 0)</f>
        <v>1</v>
      </c>
      <c r="M28">
        <f>IF(COUNTIFS(GiftData[Constituent_ID], GiftData[[#This Row],[Constituent_ID]], GiftData[Fiscal_Year], "FY26")&gt;0, 1, 0)</f>
        <v>0</v>
      </c>
      <c r="N28" t="str" cm="1">
        <f t="array" ref="N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9" spans="1:14" x14ac:dyDescent="0.2">
      <c r="A29" t="s">
        <v>82</v>
      </c>
      <c r="B29" t="s">
        <v>83</v>
      </c>
      <c r="C29" t="s">
        <v>35</v>
      </c>
      <c r="D29" s="1">
        <v>45443</v>
      </c>
      <c r="E29">
        <v>15</v>
      </c>
      <c r="F29" t="s">
        <v>59</v>
      </c>
      <c r="G29" t="s">
        <v>13</v>
      </c>
      <c r="H29" t="s">
        <v>20</v>
      </c>
      <c r="I29" t="s">
        <v>15</v>
      </c>
      <c r="J29" t="str">
        <f>"FY" &amp; IF(MONTH(GiftData[[#This Row],[Gift_Date]])&gt;=7, RIGHT(YEAR(GiftData[[#This Row],[Gift_Date]])+1, 2), RIGHT(YEAR(GiftData[[#This Row],[Gift_Date]]), 2))</f>
        <v>FY24</v>
      </c>
      <c r="K29">
        <f>IF(COUNTIFS(GiftData[Constituent_ID], GiftData[[#This Row],[Constituent_ID]], GiftData[Fiscal_Year], "FY24")&gt;0, 1, 0)</f>
        <v>1</v>
      </c>
      <c r="L29">
        <f>IF(COUNTIFS(GiftData[Constituent_ID], GiftData[[#This Row],[Constituent_ID]], GiftData[Fiscal_Year], "FY25")&gt;0, 1, 0)</f>
        <v>1</v>
      </c>
      <c r="M29">
        <f>IF(COUNTIFS(GiftData[Constituent_ID], GiftData[[#This Row],[Constituent_ID]], GiftData[Fiscal_Year], "FY26")&gt;0, 1, 0)</f>
        <v>0</v>
      </c>
      <c r="N29" t="str" cm="1">
        <f t="array" ref="N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0" spans="1:14" x14ac:dyDescent="0.2">
      <c r="A30" t="s">
        <v>84</v>
      </c>
      <c r="B30" t="s">
        <v>85</v>
      </c>
      <c r="C30" t="s">
        <v>35</v>
      </c>
      <c r="D30" s="1">
        <v>45199</v>
      </c>
      <c r="E30">
        <v>18.43</v>
      </c>
      <c r="F30" t="s">
        <v>25</v>
      </c>
      <c r="G30" t="s">
        <v>29</v>
      </c>
      <c r="H30" t="s">
        <v>41</v>
      </c>
      <c r="I30" t="s">
        <v>15</v>
      </c>
      <c r="J30" t="str">
        <f>"FY" &amp; IF(MONTH(GiftData[[#This Row],[Gift_Date]])&gt;=7, RIGHT(YEAR(GiftData[[#This Row],[Gift_Date]])+1, 2), RIGHT(YEAR(GiftData[[#This Row],[Gift_Date]]), 2))</f>
        <v>FY24</v>
      </c>
      <c r="K30">
        <f>IF(COUNTIFS(GiftData[Constituent_ID], GiftData[[#This Row],[Constituent_ID]], GiftData[Fiscal_Year], "FY24")&gt;0, 1, 0)</f>
        <v>1</v>
      </c>
      <c r="L30">
        <f>IF(COUNTIFS(GiftData[Constituent_ID], GiftData[[#This Row],[Constituent_ID]], GiftData[Fiscal_Year], "FY25")&gt;0, 1, 0)</f>
        <v>1</v>
      </c>
      <c r="M30">
        <f>IF(COUNTIFS(GiftData[Constituent_ID], GiftData[[#This Row],[Constituent_ID]], GiftData[Fiscal_Year], "FY26")&gt;0, 1, 0)</f>
        <v>1</v>
      </c>
      <c r="N30" t="str" cm="1">
        <f t="array" ref="N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" spans="1:14" x14ac:dyDescent="0.2">
      <c r="A31" t="s">
        <v>86</v>
      </c>
      <c r="B31" t="s">
        <v>87</v>
      </c>
      <c r="C31" t="s">
        <v>28</v>
      </c>
      <c r="D31" s="1">
        <v>45460</v>
      </c>
      <c r="E31">
        <v>80.5</v>
      </c>
      <c r="F31" t="s">
        <v>12</v>
      </c>
      <c r="G31" t="s">
        <v>13</v>
      </c>
      <c r="H31" t="s">
        <v>20</v>
      </c>
      <c r="I31" t="s">
        <v>15</v>
      </c>
      <c r="J31" t="str">
        <f>"FY" &amp; IF(MONTH(GiftData[[#This Row],[Gift_Date]])&gt;=7, RIGHT(YEAR(GiftData[[#This Row],[Gift_Date]])+1, 2), RIGHT(YEAR(GiftData[[#This Row],[Gift_Date]]), 2))</f>
        <v>FY24</v>
      </c>
      <c r="K31">
        <f>IF(COUNTIFS(GiftData[Constituent_ID], GiftData[[#This Row],[Constituent_ID]], GiftData[Fiscal_Year], "FY24")&gt;0, 1, 0)</f>
        <v>1</v>
      </c>
      <c r="L31">
        <f>IF(COUNTIFS(GiftData[Constituent_ID], GiftData[[#This Row],[Constituent_ID]], GiftData[Fiscal_Year], "FY25")&gt;0, 1, 0)</f>
        <v>1</v>
      </c>
      <c r="M31">
        <f>IF(COUNTIFS(GiftData[Constituent_ID], GiftData[[#This Row],[Constituent_ID]], GiftData[Fiscal_Year], "FY26")&gt;0, 1, 0)</f>
        <v>0</v>
      </c>
      <c r="N31" t="str" cm="1">
        <f t="array" ref="N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2" spans="1:14" x14ac:dyDescent="0.2">
      <c r="A32" t="s">
        <v>88</v>
      </c>
      <c r="B32" t="s">
        <v>89</v>
      </c>
      <c r="C32" t="s">
        <v>28</v>
      </c>
      <c r="D32" s="1">
        <v>45678</v>
      </c>
      <c r="E32">
        <v>62.74</v>
      </c>
      <c r="F32" t="s">
        <v>12</v>
      </c>
      <c r="G32" t="s">
        <v>13</v>
      </c>
      <c r="H32" t="s">
        <v>41</v>
      </c>
      <c r="I32" t="s">
        <v>15</v>
      </c>
      <c r="J32" t="str">
        <f>"FY" &amp; IF(MONTH(GiftData[[#This Row],[Gift_Date]])&gt;=7, RIGHT(YEAR(GiftData[[#This Row],[Gift_Date]])+1, 2), RIGHT(YEAR(GiftData[[#This Row],[Gift_Date]]), 2))</f>
        <v>FY25</v>
      </c>
      <c r="K32">
        <f>IF(COUNTIFS(GiftData[Constituent_ID], GiftData[[#This Row],[Constituent_ID]], GiftData[Fiscal_Year], "FY24")&gt;0, 1, 0)</f>
        <v>1</v>
      </c>
      <c r="L32">
        <f>IF(COUNTIFS(GiftData[Constituent_ID], GiftData[[#This Row],[Constituent_ID]], GiftData[Fiscal_Year], "FY25")&gt;0, 1, 0)</f>
        <v>1</v>
      </c>
      <c r="M32">
        <f>IF(COUNTIFS(GiftData[Constituent_ID], GiftData[[#This Row],[Constituent_ID]], GiftData[Fiscal_Year], "FY26")&gt;0, 1, 0)</f>
        <v>0</v>
      </c>
      <c r="N32" t="str" cm="1">
        <f t="array" ref="N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3" spans="1:14" x14ac:dyDescent="0.2">
      <c r="A33" t="s">
        <v>90</v>
      </c>
      <c r="B33" t="s">
        <v>91</v>
      </c>
      <c r="C33" t="s">
        <v>18</v>
      </c>
      <c r="D33" s="1">
        <v>45923</v>
      </c>
      <c r="E33">
        <v>104.61</v>
      </c>
      <c r="F33" t="s">
        <v>12</v>
      </c>
      <c r="G33" t="s">
        <v>29</v>
      </c>
      <c r="H33" t="s">
        <v>20</v>
      </c>
      <c r="I33" t="s">
        <v>38</v>
      </c>
      <c r="J33" t="str">
        <f>"FY" &amp; IF(MONTH(GiftData[[#This Row],[Gift_Date]])&gt;=7, RIGHT(YEAR(GiftData[[#This Row],[Gift_Date]])+1, 2), RIGHT(YEAR(GiftData[[#This Row],[Gift_Date]]), 2))</f>
        <v>FY26</v>
      </c>
      <c r="K33">
        <f>IF(COUNTIFS(GiftData[Constituent_ID], GiftData[[#This Row],[Constituent_ID]], GiftData[Fiscal_Year], "FY24")&gt;0, 1, 0)</f>
        <v>0</v>
      </c>
      <c r="L33">
        <f>IF(COUNTIFS(GiftData[Constituent_ID], GiftData[[#This Row],[Constituent_ID]], GiftData[Fiscal_Year], "FY25")&gt;0, 1, 0)</f>
        <v>1</v>
      </c>
      <c r="M33">
        <f>IF(COUNTIFS(GiftData[Constituent_ID], GiftData[[#This Row],[Constituent_ID]], GiftData[Fiscal_Year], "FY26")&gt;0, 1, 0)</f>
        <v>1</v>
      </c>
      <c r="N33" t="str" cm="1">
        <f t="array" ref="N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" spans="1:14" x14ac:dyDescent="0.2">
      <c r="A34" t="s">
        <v>92</v>
      </c>
      <c r="B34" t="s">
        <v>93</v>
      </c>
      <c r="C34" t="s">
        <v>11</v>
      </c>
      <c r="D34" s="1">
        <v>45888</v>
      </c>
      <c r="E34">
        <v>357.14</v>
      </c>
      <c r="F34" t="s">
        <v>12</v>
      </c>
      <c r="G34" t="s">
        <v>13</v>
      </c>
      <c r="H34" t="s">
        <v>14</v>
      </c>
      <c r="I34" t="s">
        <v>56</v>
      </c>
      <c r="J34" t="str">
        <f>"FY" &amp; IF(MONTH(GiftData[[#This Row],[Gift_Date]])&gt;=7, RIGHT(YEAR(GiftData[[#This Row],[Gift_Date]])+1, 2), RIGHT(YEAR(GiftData[[#This Row],[Gift_Date]]), 2))</f>
        <v>FY26</v>
      </c>
      <c r="K34">
        <f>IF(COUNTIFS(GiftData[Constituent_ID], GiftData[[#This Row],[Constituent_ID]], GiftData[Fiscal_Year], "FY24")&gt;0, 1, 0)</f>
        <v>1</v>
      </c>
      <c r="L34">
        <f>IF(COUNTIFS(GiftData[Constituent_ID], GiftData[[#This Row],[Constituent_ID]], GiftData[Fiscal_Year], "FY25")&gt;0, 1, 0)</f>
        <v>1</v>
      </c>
      <c r="M34">
        <f>IF(COUNTIFS(GiftData[Constituent_ID], GiftData[[#This Row],[Constituent_ID]], GiftData[Fiscal_Year], "FY26")&gt;0, 1, 0)</f>
        <v>1</v>
      </c>
      <c r="N34" t="str" cm="1">
        <f t="array" ref="N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" spans="1:14" x14ac:dyDescent="0.2">
      <c r="A35" t="s">
        <v>94</v>
      </c>
      <c r="B35" t="s">
        <v>95</v>
      </c>
      <c r="C35" t="s">
        <v>35</v>
      </c>
      <c r="D35" s="1">
        <v>45470</v>
      </c>
      <c r="E35">
        <v>57.03</v>
      </c>
      <c r="F35" t="s">
        <v>12</v>
      </c>
      <c r="G35" t="s">
        <v>13</v>
      </c>
      <c r="H35" t="s">
        <v>14</v>
      </c>
      <c r="I35" t="s">
        <v>56</v>
      </c>
      <c r="J35" t="str">
        <f>"FY" &amp; IF(MONTH(GiftData[[#This Row],[Gift_Date]])&gt;=7, RIGHT(YEAR(GiftData[[#This Row],[Gift_Date]])+1, 2), RIGHT(YEAR(GiftData[[#This Row],[Gift_Date]]), 2))</f>
        <v>FY24</v>
      </c>
      <c r="K35">
        <f>IF(COUNTIFS(GiftData[Constituent_ID], GiftData[[#This Row],[Constituent_ID]], GiftData[Fiscal_Year], "FY24")&gt;0, 1, 0)</f>
        <v>1</v>
      </c>
      <c r="L35">
        <f>IF(COUNTIFS(GiftData[Constituent_ID], GiftData[[#This Row],[Constituent_ID]], GiftData[Fiscal_Year], "FY25")&gt;0, 1, 0)</f>
        <v>0</v>
      </c>
      <c r="M35">
        <f>IF(COUNTIFS(GiftData[Constituent_ID], GiftData[[#This Row],[Constituent_ID]], GiftData[Fiscal_Year], "FY26")&gt;0, 1, 0)</f>
        <v>1</v>
      </c>
      <c r="N35" t="str" cm="1">
        <f t="array" ref="N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" spans="1:14" x14ac:dyDescent="0.2">
      <c r="A36" t="s">
        <v>96</v>
      </c>
      <c r="B36" t="s">
        <v>97</v>
      </c>
      <c r="C36" t="s">
        <v>18</v>
      </c>
      <c r="D36" s="1">
        <v>45664</v>
      </c>
      <c r="E36">
        <v>366.73</v>
      </c>
      <c r="F36" t="s">
        <v>59</v>
      </c>
      <c r="G36" t="s">
        <v>13</v>
      </c>
      <c r="H36" t="s">
        <v>14</v>
      </c>
      <c r="I36" t="s">
        <v>15</v>
      </c>
      <c r="J36" t="str">
        <f>"FY" &amp; IF(MONTH(GiftData[[#This Row],[Gift_Date]])&gt;=7, RIGHT(YEAR(GiftData[[#This Row],[Gift_Date]])+1, 2), RIGHT(YEAR(GiftData[[#This Row],[Gift_Date]]), 2))</f>
        <v>FY25</v>
      </c>
      <c r="K36">
        <f>IF(COUNTIFS(GiftData[Constituent_ID], GiftData[[#This Row],[Constituent_ID]], GiftData[Fiscal_Year], "FY24")&gt;0, 1, 0)</f>
        <v>1</v>
      </c>
      <c r="L36">
        <f>IF(COUNTIFS(GiftData[Constituent_ID], GiftData[[#This Row],[Constituent_ID]], GiftData[Fiscal_Year], "FY25")&gt;0, 1, 0)</f>
        <v>1</v>
      </c>
      <c r="M36">
        <f>IF(COUNTIFS(GiftData[Constituent_ID], GiftData[[#This Row],[Constituent_ID]], GiftData[Fiscal_Year], "FY26")&gt;0, 1, 0)</f>
        <v>1</v>
      </c>
      <c r="N36" t="str" cm="1">
        <f t="array" ref="N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" spans="1:14" x14ac:dyDescent="0.2">
      <c r="A37" t="s">
        <v>98</v>
      </c>
      <c r="B37" t="s">
        <v>99</v>
      </c>
      <c r="C37" t="s">
        <v>35</v>
      </c>
      <c r="D37" s="1">
        <v>45463</v>
      </c>
      <c r="E37">
        <v>57.52</v>
      </c>
      <c r="F37" t="s">
        <v>12</v>
      </c>
      <c r="G37" t="s">
        <v>29</v>
      </c>
      <c r="H37" t="s">
        <v>14</v>
      </c>
      <c r="I37" t="s">
        <v>38</v>
      </c>
      <c r="J37" t="str">
        <f>"FY" &amp; IF(MONTH(GiftData[[#This Row],[Gift_Date]])&gt;=7, RIGHT(YEAR(GiftData[[#This Row],[Gift_Date]])+1, 2), RIGHT(YEAR(GiftData[[#This Row],[Gift_Date]]), 2))</f>
        <v>FY24</v>
      </c>
      <c r="K37">
        <f>IF(COUNTIFS(GiftData[Constituent_ID], GiftData[[#This Row],[Constituent_ID]], GiftData[Fiscal_Year], "FY24")&gt;0, 1, 0)</f>
        <v>1</v>
      </c>
      <c r="L37">
        <f>IF(COUNTIFS(GiftData[Constituent_ID], GiftData[[#This Row],[Constituent_ID]], GiftData[Fiscal_Year], "FY25")&gt;0, 1, 0)</f>
        <v>0</v>
      </c>
      <c r="M37">
        <f>IF(COUNTIFS(GiftData[Constituent_ID], GiftData[[#This Row],[Constituent_ID]], GiftData[Fiscal_Year], "FY26")&gt;0, 1, 0)</f>
        <v>1</v>
      </c>
      <c r="N37" t="str" cm="1">
        <f t="array" ref="N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" spans="1:14" x14ac:dyDescent="0.2">
      <c r="A38" t="s">
        <v>100</v>
      </c>
      <c r="B38" t="s">
        <v>101</v>
      </c>
      <c r="C38" t="s">
        <v>18</v>
      </c>
      <c r="D38" s="1">
        <v>45298</v>
      </c>
      <c r="E38">
        <v>468.58</v>
      </c>
      <c r="F38" t="s">
        <v>12</v>
      </c>
      <c r="G38" t="s">
        <v>13</v>
      </c>
      <c r="H38" t="s">
        <v>14</v>
      </c>
      <c r="I38" t="s">
        <v>15</v>
      </c>
      <c r="J38" t="str">
        <f>"FY" &amp; IF(MONTH(GiftData[[#This Row],[Gift_Date]])&gt;=7, RIGHT(YEAR(GiftData[[#This Row],[Gift_Date]])+1, 2), RIGHT(YEAR(GiftData[[#This Row],[Gift_Date]]), 2))</f>
        <v>FY24</v>
      </c>
      <c r="K38">
        <f>IF(COUNTIFS(GiftData[Constituent_ID], GiftData[[#This Row],[Constituent_ID]], GiftData[Fiscal_Year], "FY24")&gt;0, 1, 0)</f>
        <v>1</v>
      </c>
      <c r="L38">
        <f>IF(COUNTIFS(GiftData[Constituent_ID], GiftData[[#This Row],[Constituent_ID]], GiftData[Fiscal_Year], "FY25")&gt;0, 1, 0)</f>
        <v>1</v>
      </c>
      <c r="M38">
        <f>IF(COUNTIFS(GiftData[Constituent_ID], GiftData[[#This Row],[Constituent_ID]], GiftData[Fiscal_Year], "FY26")&gt;0, 1, 0)</f>
        <v>1</v>
      </c>
      <c r="N38" t="str" cm="1">
        <f t="array" ref="N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" spans="1:14" x14ac:dyDescent="0.2">
      <c r="A39" t="s">
        <v>102</v>
      </c>
      <c r="B39" t="s">
        <v>103</v>
      </c>
      <c r="C39" t="s">
        <v>18</v>
      </c>
      <c r="D39" s="1">
        <v>45529</v>
      </c>
      <c r="E39">
        <v>135.94999999999999</v>
      </c>
      <c r="F39" t="s">
        <v>25</v>
      </c>
      <c r="G39" t="s">
        <v>13</v>
      </c>
      <c r="H39" t="s">
        <v>20</v>
      </c>
      <c r="I39" t="s">
        <v>15</v>
      </c>
      <c r="J39" t="str">
        <f>"FY" &amp; IF(MONTH(GiftData[[#This Row],[Gift_Date]])&gt;=7, RIGHT(YEAR(GiftData[[#This Row],[Gift_Date]])+1, 2), RIGHT(YEAR(GiftData[[#This Row],[Gift_Date]]), 2))</f>
        <v>FY25</v>
      </c>
      <c r="K39">
        <f>IF(COUNTIFS(GiftData[Constituent_ID], GiftData[[#This Row],[Constituent_ID]], GiftData[Fiscal_Year], "FY24")&gt;0, 1, 0)</f>
        <v>1</v>
      </c>
      <c r="L39">
        <f>IF(COUNTIFS(GiftData[Constituent_ID], GiftData[[#This Row],[Constituent_ID]], GiftData[Fiscal_Year], "FY25")&gt;0, 1, 0)</f>
        <v>1</v>
      </c>
      <c r="M39">
        <f>IF(COUNTIFS(GiftData[Constituent_ID], GiftData[[#This Row],[Constituent_ID]], GiftData[Fiscal_Year], "FY26")&gt;0, 1, 0)</f>
        <v>1</v>
      </c>
      <c r="N39" t="str" cm="1">
        <f t="array" ref="N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" spans="1:14" x14ac:dyDescent="0.2">
      <c r="A40" t="s">
        <v>104</v>
      </c>
      <c r="B40" t="s">
        <v>105</v>
      </c>
      <c r="C40" t="s">
        <v>18</v>
      </c>
      <c r="D40" s="1">
        <v>45807</v>
      </c>
      <c r="E40">
        <v>68.95</v>
      </c>
      <c r="F40" t="s">
        <v>12</v>
      </c>
      <c r="G40" t="s">
        <v>13</v>
      </c>
      <c r="H40" t="s">
        <v>20</v>
      </c>
      <c r="I40" t="s">
        <v>15</v>
      </c>
      <c r="J40" t="str">
        <f>"FY" &amp; IF(MONTH(GiftData[[#This Row],[Gift_Date]])&gt;=7, RIGHT(YEAR(GiftData[[#This Row],[Gift_Date]])+1, 2), RIGHT(YEAR(GiftData[[#This Row],[Gift_Date]]), 2))</f>
        <v>FY25</v>
      </c>
      <c r="K40">
        <f>IF(COUNTIFS(GiftData[Constituent_ID], GiftData[[#This Row],[Constituent_ID]], GiftData[Fiscal_Year], "FY24")&gt;0, 1, 0)</f>
        <v>1</v>
      </c>
      <c r="L40">
        <f>IF(COUNTIFS(GiftData[Constituent_ID], GiftData[[#This Row],[Constituent_ID]], GiftData[Fiscal_Year], "FY25")&gt;0, 1, 0)</f>
        <v>1</v>
      </c>
      <c r="M40">
        <f>IF(COUNTIFS(GiftData[Constituent_ID], GiftData[[#This Row],[Constituent_ID]], GiftData[Fiscal_Year], "FY26")&gt;0, 1, 0)</f>
        <v>1</v>
      </c>
      <c r="N40" t="str" cm="1">
        <f t="array" ref="N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" spans="1:14" x14ac:dyDescent="0.2">
      <c r="A41" t="s">
        <v>106</v>
      </c>
      <c r="B41" t="s">
        <v>107</v>
      </c>
      <c r="C41" t="s">
        <v>18</v>
      </c>
      <c r="D41" s="1">
        <v>45114</v>
      </c>
      <c r="E41">
        <v>132.96</v>
      </c>
      <c r="F41" t="s">
        <v>59</v>
      </c>
      <c r="G41" t="s">
        <v>13</v>
      </c>
      <c r="H41" t="s">
        <v>20</v>
      </c>
      <c r="I41" t="s">
        <v>15</v>
      </c>
      <c r="J41" t="str">
        <f>"FY" &amp; IF(MONTH(GiftData[[#This Row],[Gift_Date]])&gt;=7, RIGHT(YEAR(GiftData[[#This Row],[Gift_Date]])+1, 2), RIGHT(YEAR(GiftData[[#This Row],[Gift_Date]]), 2))</f>
        <v>FY24</v>
      </c>
      <c r="K41">
        <f>IF(COUNTIFS(GiftData[Constituent_ID], GiftData[[#This Row],[Constituent_ID]], GiftData[Fiscal_Year], "FY24")&gt;0, 1, 0)</f>
        <v>1</v>
      </c>
      <c r="L41">
        <f>IF(COUNTIFS(GiftData[Constituent_ID], GiftData[[#This Row],[Constituent_ID]], GiftData[Fiscal_Year], "FY25")&gt;0, 1, 0)</f>
        <v>1</v>
      </c>
      <c r="M41">
        <f>IF(COUNTIFS(GiftData[Constituent_ID], GiftData[[#This Row],[Constituent_ID]], GiftData[Fiscal_Year], "FY26")&gt;0, 1, 0)</f>
        <v>1</v>
      </c>
      <c r="N41" t="str" cm="1">
        <f t="array" ref="N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" spans="1:14" x14ac:dyDescent="0.2">
      <c r="A42" t="s">
        <v>108</v>
      </c>
      <c r="B42" t="s">
        <v>109</v>
      </c>
      <c r="C42" t="s">
        <v>11</v>
      </c>
      <c r="D42" s="1">
        <v>45240</v>
      </c>
      <c r="E42">
        <v>82.96</v>
      </c>
      <c r="F42" t="s">
        <v>25</v>
      </c>
      <c r="G42" t="s">
        <v>29</v>
      </c>
      <c r="H42" t="s">
        <v>14</v>
      </c>
      <c r="I42" t="s">
        <v>15</v>
      </c>
      <c r="J42" t="str">
        <f>"FY" &amp; IF(MONTH(GiftData[[#This Row],[Gift_Date]])&gt;=7, RIGHT(YEAR(GiftData[[#This Row],[Gift_Date]])+1, 2), RIGHT(YEAR(GiftData[[#This Row],[Gift_Date]]), 2))</f>
        <v>FY24</v>
      </c>
      <c r="K42">
        <f>IF(COUNTIFS(GiftData[Constituent_ID], GiftData[[#This Row],[Constituent_ID]], GiftData[Fiscal_Year], "FY24")&gt;0, 1, 0)</f>
        <v>1</v>
      </c>
      <c r="L42">
        <f>IF(COUNTIFS(GiftData[Constituent_ID], GiftData[[#This Row],[Constituent_ID]], GiftData[Fiscal_Year], "FY25")&gt;0, 1, 0)</f>
        <v>1</v>
      </c>
      <c r="M42">
        <f>IF(COUNTIFS(GiftData[Constituent_ID], GiftData[[#This Row],[Constituent_ID]], GiftData[Fiscal_Year], "FY26")&gt;0, 1, 0)</f>
        <v>1</v>
      </c>
      <c r="N42" t="str" cm="1">
        <f t="array" ref="N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" spans="1:14" x14ac:dyDescent="0.2">
      <c r="A43" t="s">
        <v>110</v>
      </c>
      <c r="B43" t="s">
        <v>111</v>
      </c>
      <c r="C43" t="s">
        <v>18</v>
      </c>
      <c r="D43" s="1">
        <v>45664</v>
      </c>
      <c r="E43">
        <v>140.76</v>
      </c>
      <c r="F43" t="s">
        <v>25</v>
      </c>
      <c r="G43" t="s">
        <v>13</v>
      </c>
      <c r="H43" t="s">
        <v>14</v>
      </c>
      <c r="I43" t="s">
        <v>15</v>
      </c>
      <c r="J43" t="str">
        <f>"FY" &amp; IF(MONTH(GiftData[[#This Row],[Gift_Date]])&gt;=7, RIGHT(YEAR(GiftData[[#This Row],[Gift_Date]])+1, 2), RIGHT(YEAR(GiftData[[#This Row],[Gift_Date]]), 2))</f>
        <v>FY25</v>
      </c>
      <c r="K43">
        <f>IF(COUNTIFS(GiftData[Constituent_ID], GiftData[[#This Row],[Constituent_ID]], GiftData[Fiscal_Year], "FY24")&gt;0, 1, 0)</f>
        <v>0</v>
      </c>
      <c r="L43">
        <f>IF(COUNTIFS(GiftData[Constituent_ID], GiftData[[#This Row],[Constituent_ID]], GiftData[Fiscal_Year], "FY25")&gt;0, 1, 0)</f>
        <v>1</v>
      </c>
      <c r="M43">
        <f>IF(COUNTIFS(GiftData[Constituent_ID], GiftData[[#This Row],[Constituent_ID]], GiftData[Fiscal_Year], "FY26")&gt;0, 1, 0)</f>
        <v>0</v>
      </c>
      <c r="N43" t="str" cm="1">
        <f t="array" ref="N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4" spans="1:14" x14ac:dyDescent="0.2">
      <c r="A44" t="s">
        <v>112</v>
      </c>
      <c r="B44" t="s">
        <v>107</v>
      </c>
      <c r="C44" t="s">
        <v>48</v>
      </c>
      <c r="D44" s="1">
        <v>45933</v>
      </c>
      <c r="E44">
        <v>325.56</v>
      </c>
      <c r="F44" t="s">
        <v>12</v>
      </c>
      <c r="G44" t="s">
        <v>13</v>
      </c>
      <c r="H44" t="s">
        <v>14</v>
      </c>
      <c r="I44" t="s">
        <v>38</v>
      </c>
      <c r="J44" t="str">
        <f>"FY" &amp; IF(MONTH(GiftData[[#This Row],[Gift_Date]])&gt;=7, RIGHT(YEAR(GiftData[[#This Row],[Gift_Date]])+1, 2), RIGHT(YEAR(GiftData[[#This Row],[Gift_Date]]), 2))</f>
        <v>FY26</v>
      </c>
      <c r="K44">
        <f>IF(COUNTIFS(GiftData[Constituent_ID], GiftData[[#This Row],[Constituent_ID]], GiftData[Fiscal_Year], "FY24")&gt;0, 1, 0)</f>
        <v>1</v>
      </c>
      <c r="L44">
        <f>IF(COUNTIFS(GiftData[Constituent_ID], GiftData[[#This Row],[Constituent_ID]], GiftData[Fiscal_Year], "FY25")&gt;0, 1, 0)</f>
        <v>1</v>
      </c>
      <c r="M44">
        <f>IF(COUNTIFS(GiftData[Constituent_ID], GiftData[[#This Row],[Constituent_ID]], GiftData[Fiscal_Year], "FY26")&gt;0, 1, 0)</f>
        <v>1</v>
      </c>
      <c r="N44" t="str" cm="1">
        <f t="array" ref="N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" spans="1:14" x14ac:dyDescent="0.2">
      <c r="A45" t="s">
        <v>113</v>
      </c>
      <c r="B45" t="s">
        <v>114</v>
      </c>
      <c r="C45" t="s">
        <v>28</v>
      </c>
      <c r="D45" s="1">
        <v>45868</v>
      </c>
      <c r="E45">
        <v>108.49</v>
      </c>
      <c r="F45" t="s">
        <v>12</v>
      </c>
      <c r="G45" t="s">
        <v>29</v>
      </c>
      <c r="H45" t="s">
        <v>20</v>
      </c>
      <c r="I45" t="s">
        <v>56</v>
      </c>
      <c r="J45" t="str">
        <f>"FY" &amp; IF(MONTH(GiftData[[#This Row],[Gift_Date]])&gt;=7, RIGHT(YEAR(GiftData[[#This Row],[Gift_Date]])+1, 2), RIGHT(YEAR(GiftData[[#This Row],[Gift_Date]]), 2))</f>
        <v>FY26</v>
      </c>
      <c r="K45">
        <f>IF(COUNTIFS(GiftData[Constituent_ID], GiftData[[#This Row],[Constituent_ID]], GiftData[Fiscal_Year], "FY24")&gt;0, 1, 0)</f>
        <v>1</v>
      </c>
      <c r="L45">
        <f>IF(COUNTIFS(GiftData[Constituent_ID], GiftData[[#This Row],[Constituent_ID]], GiftData[Fiscal_Year], "FY25")&gt;0, 1, 0)</f>
        <v>0</v>
      </c>
      <c r="M45">
        <f>IF(COUNTIFS(GiftData[Constituent_ID], GiftData[[#This Row],[Constituent_ID]], GiftData[Fiscal_Year], "FY26")&gt;0, 1, 0)</f>
        <v>1</v>
      </c>
      <c r="N45" t="str" cm="1">
        <f t="array" ref="N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" spans="1:14" x14ac:dyDescent="0.2">
      <c r="A46" t="s">
        <v>115</v>
      </c>
      <c r="B46" t="s">
        <v>116</v>
      </c>
      <c r="C46" t="s">
        <v>18</v>
      </c>
      <c r="D46" s="1">
        <v>45642</v>
      </c>
      <c r="E46">
        <v>75.16</v>
      </c>
      <c r="F46" t="s">
        <v>12</v>
      </c>
      <c r="G46" t="s">
        <v>13</v>
      </c>
      <c r="H46" t="s">
        <v>41</v>
      </c>
      <c r="I46" t="s">
        <v>15</v>
      </c>
      <c r="J46" t="str">
        <f>"FY" &amp; IF(MONTH(GiftData[[#This Row],[Gift_Date]])&gt;=7, RIGHT(YEAR(GiftData[[#This Row],[Gift_Date]])+1, 2), RIGHT(YEAR(GiftData[[#This Row],[Gift_Date]]), 2))</f>
        <v>FY25</v>
      </c>
      <c r="K46">
        <f>IF(COUNTIFS(GiftData[Constituent_ID], GiftData[[#This Row],[Constituent_ID]], GiftData[Fiscal_Year], "FY24")&gt;0, 1, 0)</f>
        <v>0</v>
      </c>
      <c r="L46">
        <f>IF(COUNTIFS(GiftData[Constituent_ID], GiftData[[#This Row],[Constituent_ID]], GiftData[Fiscal_Year], "FY25")&gt;0, 1, 0)</f>
        <v>1</v>
      </c>
      <c r="M46">
        <f>IF(COUNTIFS(GiftData[Constituent_ID], GiftData[[#This Row],[Constituent_ID]], GiftData[Fiscal_Year], "FY26")&gt;0, 1, 0)</f>
        <v>1</v>
      </c>
      <c r="N46" t="str" cm="1">
        <f t="array" ref="N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" spans="1:14" x14ac:dyDescent="0.2">
      <c r="A47" t="s">
        <v>117</v>
      </c>
      <c r="B47" t="s">
        <v>118</v>
      </c>
      <c r="C47" t="s">
        <v>28</v>
      </c>
      <c r="D47" s="1">
        <v>45533</v>
      </c>
      <c r="E47">
        <v>28.2</v>
      </c>
      <c r="F47" t="s">
        <v>12</v>
      </c>
      <c r="G47" t="s">
        <v>13</v>
      </c>
      <c r="H47" t="s">
        <v>51</v>
      </c>
      <c r="I47" t="s">
        <v>30</v>
      </c>
      <c r="J47" t="str">
        <f>"FY" &amp; IF(MONTH(GiftData[[#This Row],[Gift_Date]])&gt;=7, RIGHT(YEAR(GiftData[[#This Row],[Gift_Date]])+1, 2), RIGHT(YEAR(GiftData[[#This Row],[Gift_Date]]), 2))</f>
        <v>FY25</v>
      </c>
      <c r="K47">
        <f>IF(COUNTIFS(GiftData[Constituent_ID], GiftData[[#This Row],[Constituent_ID]], GiftData[Fiscal_Year], "FY24")&gt;0, 1, 0)</f>
        <v>1</v>
      </c>
      <c r="L47">
        <f>IF(COUNTIFS(GiftData[Constituent_ID], GiftData[[#This Row],[Constituent_ID]], GiftData[Fiscal_Year], "FY25")&gt;0, 1, 0)</f>
        <v>1</v>
      </c>
      <c r="M47">
        <f>IF(COUNTIFS(GiftData[Constituent_ID], GiftData[[#This Row],[Constituent_ID]], GiftData[Fiscal_Year], "FY26")&gt;0, 1, 0)</f>
        <v>1</v>
      </c>
      <c r="N47" t="str" cm="1">
        <f t="array" ref="N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" spans="1:14" x14ac:dyDescent="0.2">
      <c r="A48" t="s">
        <v>119</v>
      </c>
      <c r="B48" t="s">
        <v>120</v>
      </c>
      <c r="C48" t="s">
        <v>35</v>
      </c>
      <c r="D48" s="1">
        <v>45779</v>
      </c>
      <c r="E48">
        <v>257.99</v>
      </c>
      <c r="F48" t="s">
        <v>25</v>
      </c>
      <c r="G48" t="s">
        <v>13</v>
      </c>
      <c r="H48" t="s">
        <v>20</v>
      </c>
      <c r="I48" t="s">
        <v>38</v>
      </c>
      <c r="J48" t="str">
        <f>"FY" &amp; IF(MONTH(GiftData[[#This Row],[Gift_Date]])&gt;=7, RIGHT(YEAR(GiftData[[#This Row],[Gift_Date]])+1, 2), RIGHT(YEAR(GiftData[[#This Row],[Gift_Date]]), 2))</f>
        <v>FY25</v>
      </c>
      <c r="K48">
        <f>IF(COUNTIFS(GiftData[Constituent_ID], GiftData[[#This Row],[Constituent_ID]], GiftData[Fiscal_Year], "FY24")&gt;0, 1, 0)</f>
        <v>1</v>
      </c>
      <c r="L48">
        <f>IF(COUNTIFS(GiftData[Constituent_ID], GiftData[[#This Row],[Constituent_ID]], GiftData[Fiscal_Year], "FY25")&gt;0, 1, 0)</f>
        <v>1</v>
      </c>
      <c r="M48">
        <f>IF(COUNTIFS(GiftData[Constituent_ID], GiftData[[#This Row],[Constituent_ID]], GiftData[Fiscal_Year], "FY26")&gt;0, 1, 0)</f>
        <v>0</v>
      </c>
      <c r="N48" t="str" cm="1">
        <f t="array" ref="N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9" spans="1:14" x14ac:dyDescent="0.2">
      <c r="A49" t="s">
        <v>121</v>
      </c>
      <c r="B49" t="s">
        <v>122</v>
      </c>
      <c r="C49" t="s">
        <v>28</v>
      </c>
      <c r="D49" s="1">
        <v>45470</v>
      </c>
      <c r="E49">
        <v>191.09</v>
      </c>
      <c r="F49" t="s">
        <v>59</v>
      </c>
      <c r="G49" t="s">
        <v>13</v>
      </c>
      <c r="H49" t="s">
        <v>20</v>
      </c>
      <c r="I49" t="s">
        <v>15</v>
      </c>
      <c r="J49" t="str">
        <f>"FY" &amp; IF(MONTH(GiftData[[#This Row],[Gift_Date]])&gt;=7, RIGHT(YEAR(GiftData[[#This Row],[Gift_Date]])+1, 2), RIGHT(YEAR(GiftData[[#This Row],[Gift_Date]]), 2))</f>
        <v>FY24</v>
      </c>
      <c r="K49">
        <f>IF(COUNTIFS(GiftData[Constituent_ID], GiftData[[#This Row],[Constituent_ID]], GiftData[Fiscal_Year], "FY24")&gt;0, 1, 0)</f>
        <v>1</v>
      </c>
      <c r="L49">
        <f>IF(COUNTIFS(GiftData[Constituent_ID], GiftData[[#This Row],[Constituent_ID]], GiftData[Fiscal_Year], "FY25")&gt;0, 1, 0)</f>
        <v>0</v>
      </c>
      <c r="M49">
        <f>IF(COUNTIFS(GiftData[Constituent_ID], GiftData[[#This Row],[Constituent_ID]], GiftData[Fiscal_Year], "FY26")&gt;0, 1, 0)</f>
        <v>0</v>
      </c>
      <c r="N49" t="str" cm="1">
        <f t="array" ref="N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0" spans="1:14" x14ac:dyDescent="0.2">
      <c r="A50" t="s">
        <v>123</v>
      </c>
      <c r="B50" t="s">
        <v>124</v>
      </c>
      <c r="C50" t="s">
        <v>18</v>
      </c>
      <c r="D50" s="1">
        <v>45189</v>
      </c>
      <c r="E50">
        <v>26.14</v>
      </c>
      <c r="F50" t="s">
        <v>25</v>
      </c>
      <c r="G50" t="s">
        <v>13</v>
      </c>
      <c r="H50" t="s">
        <v>20</v>
      </c>
      <c r="I50" t="s">
        <v>38</v>
      </c>
      <c r="J50" t="str">
        <f>"FY" &amp; IF(MONTH(GiftData[[#This Row],[Gift_Date]])&gt;=7, RIGHT(YEAR(GiftData[[#This Row],[Gift_Date]])+1, 2), RIGHT(YEAR(GiftData[[#This Row],[Gift_Date]]), 2))</f>
        <v>FY24</v>
      </c>
      <c r="K50">
        <f>IF(COUNTIFS(GiftData[Constituent_ID], GiftData[[#This Row],[Constituent_ID]], GiftData[Fiscal_Year], "FY24")&gt;0, 1, 0)</f>
        <v>1</v>
      </c>
      <c r="L50">
        <f>IF(COUNTIFS(GiftData[Constituent_ID], GiftData[[#This Row],[Constituent_ID]], GiftData[Fiscal_Year], "FY25")&gt;0, 1, 0)</f>
        <v>0</v>
      </c>
      <c r="M50">
        <f>IF(COUNTIFS(GiftData[Constituent_ID], GiftData[[#This Row],[Constituent_ID]], GiftData[Fiscal_Year], "FY26")&gt;0, 1, 0)</f>
        <v>0</v>
      </c>
      <c r="N50" t="str" cm="1">
        <f t="array" ref="N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1" spans="1:14" x14ac:dyDescent="0.2">
      <c r="A51" t="s">
        <v>125</v>
      </c>
      <c r="B51" t="s">
        <v>126</v>
      </c>
      <c r="C51" t="s">
        <v>35</v>
      </c>
      <c r="D51" s="1">
        <v>45463</v>
      </c>
      <c r="E51">
        <v>360.01</v>
      </c>
      <c r="F51" t="s">
        <v>59</v>
      </c>
      <c r="G51" t="s">
        <v>13</v>
      </c>
      <c r="H51" t="s">
        <v>41</v>
      </c>
      <c r="I51" t="s">
        <v>15</v>
      </c>
      <c r="J51" t="str">
        <f>"FY" &amp; IF(MONTH(GiftData[[#This Row],[Gift_Date]])&gt;=7, RIGHT(YEAR(GiftData[[#This Row],[Gift_Date]])+1, 2), RIGHT(YEAR(GiftData[[#This Row],[Gift_Date]]), 2))</f>
        <v>FY24</v>
      </c>
      <c r="K51">
        <f>IF(COUNTIFS(GiftData[Constituent_ID], GiftData[[#This Row],[Constituent_ID]], GiftData[Fiscal_Year], "FY24")&gt;0, 1, 0)</f>
        <v>1</v>
      </c>
      <c r="L51">
        <f>IF(COUNTIFS(GiftData[Constituent_ID], GiftData[[#This Row],[Constituent_ID]], GiftData[Fiscal_Year], "FY25")&gt;0, 1, 0)</f>
        <v>1</v>
      </c>
      <c r="M51">
        <f>IF(COUNTIFS(GiftData[Constituent_ID], GiftData[[#This Row],[Constituent_ID]], GiftData[Fiscal_Year], "FY26")&gt;0, 1, 0)</f>
        <v>1</v>
      </c>
      <c r="N51" t="str" cm="1">
        <f t="array" ref="N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" spans="1:14" x14ac:dyDescent="0.2">
      <c r="A52" t="s">
        <v>127</v>
      </c>
      <c r="B52" t="s">
        <v>128</v>
      </c>
      <c r="C52" t="s">
        <v>35</v>
      </c>
      <c r="D52" s="1">
        <v>45696</v>
      </c>
      <c r="E52">
        <v>25.59</v>
      </c>
      <c r="F52" t="s">
        <v>25</v>
      </c>
      <c r="G52" t="s">
        <v>13</v>
      </c>
      <c r="H52" t="s">
        <v>14</v>
      </c>
      <c r="I52" t="s">
        <v>56</v>
      </c>
      <c r="J52" t="str">
        <f>"FY" &amp; IF(MONTH(GiftData[[#This Row],[Gift_Date]])&gt;=7, RIGHT(YEAR(GiftData[[#This Row],[Gift_Date]])+1, 2), RIGHT(YEAR(GiftData[[#This Row],[Gift_Date]]), 2))</f>
        <v>FY25</v>
      </c>
      <c r="K52">
        <f>IF(COUNTIFS(GiftData[Constituent_ID], GiftData[[#This Row],[Constituent_ID]], GiftData[Fiscal_Year], "FY24")&gt;0, 1, 0)</f>
        <v>1</v>
      </c>
      <c r="L52">
        <f>IF(COUNTIFS(GiftData[Constituent_ID], GiftData[[#This Row],[Constituent_ID]], GiftData[Fiscal_Year], "FY25")&gt;0, 1, 0)</f>
        <v>1</v>
      </c>
      <c r="M52">
        <f>IF(COUNTIFS(GiftData[Constituent_ID], GiftData[[#This Row],[Constituent_ID]], GiftData[Fiscal_Year], "FY26")&gt;0, 1, 0)</f>
        <v>1</v>
      </c>
      <c r="N52" t="str" cm="1">
        <f t="array" ref="N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" spans="1:14" x14ac:dyDescent="0.2">
      <c r="A53" t="s">
        <v>129</v>
      </c>
      <c r="B53" t="s">
        <v>130</v>
      </c>
      <c r="C53" t="s">
        <v>18</v>
      </c>
      <c r="D53" s="1">
        <v>45402</v>
      </c>
      <c r="E53">
        <v>463.12</v>
      </c>
      <c r="F53" t="s">
        <v>12</v>
      </c>
      <c r="G53" t="s">
        <v>13</v>
      </c>
      <c r="H53" t="s">
        <v>20</v>
      </c>
      <c r="I53" t="s">
        <v>38</v>
      </c>
      <c r="J53" t="str">
        <f>"FY" &amp; IF(MONTH(GiftData[[#This Row],[Gift_Date]])&gt;=7, RIGHT(YEAR(GiftData[[#This Row],[Gift_Date]])+1, 2), RIGHT(YEAR(GiftData[[#This Row],[Gift_Date]]), 2))</f>
        <v>FY24</v>
      </c>
      <c r="K53">
        <f>IF(COUNTIFS(GiftData[Constituent_ID], GiftData[[#This Row],[Constituent_ID]], GiftData[Fiscal_Year], "FY24")&gt;0, 1, 0)</f>
        <v>1</v>
      </c>
      <c r="L53">
        <f>IF(COUNTIFS(GiftData[Constituent_ID], GiftData[[#This Row],[Constituent_ID]], GiftData[Fiscal_Year], "FY25")&gt;0, 1, 0)</f>
        <v>0</v>
      </c>
      <c r="M53">
        <f>IF(COUNTIFS(GiftData[Constituent_ID], GiftData[[#This Row],[Constituent_ID]], GiftData[Fiscal_Year], "FY26")&gt;0, 1, 0)</f>
        <v>1</v>
      </c>
      <c r="N53" t="str" cm="1">
        <f t="array" ref="N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" spans="1:14" x14ac:dyDescent="0.2">
      <c r="A54" t="s">
        <v>131</v>
      </c>
      <c r="B54" t="s">
        <v>132</v>
      </c>
      <c r="C54" t="s">
        <v>18</v>
      </c>
      <c r="D54" s="1">
        <v>45124</v>
      </c>
      <c r="E54">
        <v>297.14999999999998</v>
      </c>
      <c r="F54" t="s">
        <v>12</v>
      </c>
      <c r="G54" t="s">
        <v>13</v>
      </c>
      <c r="H54" t="s">
        <v>41</v>
      </c>
      <c r="I54" t="s">
        <v>30</v>
      </c>
      <c r="J54" t="str">
        <f>"FY" &amp; IF(MONTH(GiftData[[#This Row],[Gift_Date]])&gt;=7, RIGHT(YEAR(GiftData[[#This Row],[Gift_Date]])+1, 2), RIGHT(YEAR(GiftData[[#This Row],[Gift_Date]]), 2))</f>
        <v>FY24</v>
      </c>
      <c r="K54">
        <f>IF(COUNTIFS(GiftData[Constituent_ID], GiftData[[#This Row],[Constituent_ID]], GiftData[Fiscal_Year], "FY24")&gt;0, 1, 0)</f>
        <v>1</v>
      </c>
      <c r="L54">
        <f>IF(COUNTIFS(GiftData[Constituent_ID], GiftData[[#This Row],[Constituent_ID]], GiftData[Fiscal_Year], "FY25")&gt;0, 1, 0)</f>
        <v>0</v>
      </c>
      <c r="M54">
        <f>IF(COUNTIFS(GiftData[Constituent_ID], GiftData[[#This Row],[Constituent_ID]], GiftData[Fiscal_Year], "FY26")&gt;0, 1, 0)</f>
        <v>1</v>
      </c>
      <c r="N54" t="str" cm="1">
        <f t="array" ref="N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" spans="1:14" x14ac:dyDescent="0.2">
      <c r="A55" t="s">
        <v>133</v>
      </c>
      <c r="B55" t="s">
        <v>134</v>
      </c>
      <c r="C55" t="s">
        <v>28</v>
      </c>
      <c r="D55" s="1">
        <v>45467</v>
      </c>
      <c r="E55">
        <v>209.68</v>
      </c>
      <c r="F55" t="s">
        <v>25</v>
      </c>
      <c r="G55" t="s">
        <v>13</v>
      </c>
      <c r="H55" t="s">
        <v>20</v>
      </c>
      <c r="I55" t="s">
        <v>38</v>
      </c>
      <c r="J55" t="str">
        <f>"FY" &amp; IF(MONTH(GiftData[[#This Row],[Gift_Date]])&gt;=7, RIGHT(YEAR(GiftData[[#This Row],[Gift_Date]])+1, 2), RIGHT(YEAR(GiftData[[#This Row],[Gift_Date]]), 2))</f>
        <v>FY24</v>
      </c>
      <c r="K55">
        <f>IF(COUNTIFS(GiftData[Constituent_ID], GiftData[[#This Row],[Constituent_ID]], GiftData[Fiscal_Year], "FY24")&gt;0, 1, 0)</f>
        <v>1</v>
      </c>
      <c r="L55">
        <f>IF(COUNTIFS(GiftData[Constituent_ID], GiftData[[#This Row],[Constituent_ID]], GiftData[Fiscal_Year], "FY25")&gt;0, 1, 0)</f>
        <v>0</v>
      </c>
      <c r="M55">
        <f>IF(COUNTIFS(GiftData[Constituent_ID], GiftData[[#This Row],[Constituent_ID]], GiftData[Fiscal_Year], "FY26")&gt;0, 1, 0)</f>
        <v>1</v>
      </c>
      <c r="N55" t="str" cm="1">
        <f t="array" ref="N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" spans="1:14" x14ac:dyDescent="0.2">
      <c r="A56" t="s">
        <v>135</v>
      </c>
      <c r="B56" t="s">
        <v>136</v>
      </c>
      <c r="C56" t="s">
        <v>18</v>
      </c>
      <c r="D56" s="1">
        <v>45973</v>
      </c>
      <c r="E56">
        <v>74.430000000000007</v>
      </c>
      <c r="F56" t="s">
        <v>12</v>
      </c>
      <c r="G56" t="s">
        <v>13</v>
      </c>
      <c r="H56" t="s">
        <v>14</v>
      </c>
      <c r="I56" t="s">
        <v>56</v>
      </c>
      <c r="J56" t="str">
        <f>"FY" &amp; IF(MONTH(GiftData[[#This Row],[Gift_Date]])&gt;=7, RIGHT(YEAR(GiftData[[#This Row],[Gift_Date]])+1, 2), RIGHT(YEAR(GiftData[[#This Row],[Gift_Date]]), 2))</f>
        <v>FY26</v>
      </c>
      <c r="K56">
        <f>IF(COUNTIFS(GiftData[Constituent_ID], GiftData[[#This Row],[Constituent_ID]], GiftData[Fiscal_Year], "FY24")&gt;0, 1, 0)</f>
        <v>1</v>
      </c>
      <c r="L56">
        <f>IF(COUNTIFS(GiftData[Constituent_ID], GiftData[[#This Row],[Constituent_ID]], GiftData[Fiscal_Year], "FY25")&gt;0, 1, 0)</f>
        <v>0</v>
      </c>
      <c r="M56">
        <f>IF(COUNTIFS(GiftData[Constituent_ID], GiftData[[#This Row],[Constituent_ID]], GiftData[Fiscal_Year], "FY26")&gt;0, 1, 0)</f>
        <v>1</v>
      </c>
      <c r="N56" t="str" cm="1">
        <f t="array" ref="N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" spans="1:14" x14ac:dyDescent="0.2">
      <c r="A57" t="s">
        <v>137</v>
      </c>
      <c r="B57" t="s">
        <v>138</v>
      </c>
      <c r="C57" t="s">
        <v>35</v>
      </c>
      <c r="D57" s="1">
        <v>45807</v>
      </c>
      <c r="E57">
        <v>256.86</v>
      </c>
      <c r="F57" t="s">
        <v>12</v>
      </c>
      <c r="G57" t="s">
        <v>13</v>
      </c>
      <c r="H57" t="s">
        <v>14</v>
      </c>
      <c r="I57" t="s">
        <v>38</v>
      </c>
      <c r="J57" t="str">
        <f>"FY" &amp; IF(MONTH(GiftData[[#This Row],[Gift_Date]])&gt;=7, RIGHT(YEAR(GiftData[[#This Row],[Gift_Date]])+1, 2), RIGHT(YEAR(GiftData[[#This Row],[Gift_Date]]), 2))</f>
        <v>FY25</v>
      </c>
      <c r="K57">
        <f>IF(COUNTIFS(GiftData[Constituent_ID], GiftData[[#This Row],[Constituent_ID]], GiftData[Fiscal_Year], "FY24")&gt;0, 1, 0)</f>
        <v>0</v>
      </c>
      <c r="L57">
        <f>IF(COUNTIFS(GiftData[Constituent_ID], GiftData[[#This Row],[Constituent_ID]], GiftData[Fiscal_Year], "FY25")&gt;0, 1, 0)</f>
        <v>1</v>
      </c>
      <c r="M57">
        <f>IF(COUNTIFS(GiftData[Constituent_ID], GiftData[[#This Row],[Constituent_ID]], GiftData[Fiscal_Year], "FY26")&gt;0, 1, 0)</f>
        <v>0</v>
      </c>
      <c r="N57" t="str" cm="1">
        <f t="array" ref="N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8" spans="1:14" x14ac:dyDescent="0.2">
      <c r="A58" t="s">
        <v>139</v>
      </c>
      <c r="B58" t="s">
        <v>140</v>
      </c>
      <c r="C58" t="s">
        <v>11</v>
      </c>
      <c r="D58" s="1">
        <v>45555</v>
      </c>
      <c r="E58">
        <v>492.4</v>
      </c>
      <c r="F58" t="s">
        <v>12</v>
      </c>
      <c r="G58" t="s">
        <v>29</v>
      </c>
      <c r="H58" t="s">
        <v>41</v>
      </c>
      <c r="I58" t="s">
        <v>15</v>
      </c>
      <c r="J58" t="str">
        <f>"FY" &amp; IF(MONTH(GiftData[[#This Row],[Gift_Date]])&gt;=7, RIGHT(YEAR(GiftData[[#This Row],[Gift_Date]])+1, 2), RIGHT(YEAR(GiftData[[#This Row],[Gift_Date]]), 2))</f>
        <v>FY25</v>
      </c>
      <c r="K58">
        <f>IF(COUNTIFS(GiftData[Constituent_ID], GiftData[[#This Row],[Constituent_ID]], GiftData[Fiscal_Year], "FY24")&gt;0, 1, 0)</f>
        <v>1</v>
      </c>
      <c r="L58">
        <f>IF(COUNTIFS(GiftData[Constituent_ID], GiftData[[#This Row],[Constituent_ID]], GiftData[Fiscal_Year], "FY25")&gt;0, 1, 0)</f>
        <v>1</v>
      </c>
      <c r="M58">
        <f>IF(COUNTIFS(GiftData[Constituent_ID], GiftData[[#This Row],[Constituent_ID]], GiftData[Fiscal_Year], "FY26")&gt;0, 1, 0)</f>
        <v>0</v>
      </c>
      <c r="N58" t="str" cm="1">
        <f t="array" ref="N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9" spans="1:14" x14ac:dyDescent="0.2">
      <c r="A59" t="s">
        <v>141</v>
      </c>
      <c r="B59" t="s">
        <v>142</v>
      </c>
      <c r="C59" t="s">
        <v>48</v>
      </c>
      <c r="D59" s="1">
        <v>45963</v>
      </c>
      <c r="E59">
        <v>262.45</v>
      </c>
      <c r="F59" t="s">
        <v>59</v>
      </c>
      <c r="G59" t="s">
        <v>13</v>
      </c>
      <c r="H59" t="s">
        <v>20</v>
      </c>
      <c r="I59" t="s">
        <v>15</v>
      </c>
      <c r="J59" t="str">
        <f>"FY" &amp; IF(MONTH(GiftData[[#This Row],[Gift_Date]])&gt;=7, RIGHT(YEAR(GiftData[[#This Row],[Gift_Date]])+1, 2), RIGHT(YEAR(GiftData[[#This Row],[Gift_Date]]), 2))</f>
        <v>FY26</v>
      </c>
      <c r="K59">
        <f>IF(COUNTIFS(GiftData[Constituent_ID], GiftData[[#This Row],[Constituent_ID]], GiftData[Fiscal_Year], "FY24")&gt;0, 1, 0)</f>
        <v>0</v>
      </c>
      <c r="L59">
        <f>IF(COUNTIFS(GiftData[Constituent_ID], GiftData[[#This Row],[Constituent_ID]], GiftData[Fiscal_Year], "FY25")&gt;0, 1, 0)</f>
        <v>1</v>
      </c>
      <c r="M59">
        <f>IF(COUNTIFS(GiftData[Constituent_ID], GiftData[[#This Row],[Constituent_ID]], GiftData[Fiscal_Year], "FY26")&gt;0, 1, 0)</f>
        <v>1</v>
      </c>
      <c r="N59" t="str" cm="1">
        <f t="array" ref="N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" spans="1:14" x14ac:dyDescent="0.2">
      <c r="A60" t="s">
        <v>143</v>
      </c>
      <c r="B60" t="s">
        <v>144</v>
      </c>
      <c r="C60" t="s">
        <v>28</v>
      </c>
      <c r="D60" s="1">
        <v>45472</v>
      </c>
      <c r="E60">
        <v>50.84</v>
      </c>
      <c r="F60" t="s">
        <v>12</v>
      </c>
      <c r="G60" t="s">
        <v>13</v>
      </c>
      <c r="H60" t="s">
        <v>51</v>
      </c>
      <c r="I60" t="s">
        <v>15</v>
      </c>
      <c r="J60" t="str">
        <f>"FY" &amp; IF(MONTH(GiftData[[#This Row],[Gift_Date]])&gt;=7, RIGHT(YEAR(GiftData[[#This Row],[Gift_Date]])+1, 2), RIGHT(YEAR(GiftData[[#This Row],[Gift_Date]]), 2))</f>
        <v>FY24</v>
      </c>
      <c r="K60">
        <f>IF(COUNTIFS(GiftData[Constituent_ID], GiftData[[#This Row],[Constituent_ID]], GiftData[Fiscal_Year], "FY24")&gt;0, 1, 0)</f>
        <v>1</v>
      </c>
      <c r="L60">
        <f>IF(COUNTIFS(GiftData[Constituent_ID], GiftData[[#This Row],[Constituent_ID]], GiftData[Fiscal_Year], "FY25")&gt;0, 1, 0)</f>
        <v>1</v>
      </c>
      <c r="M60">
        <f>IF(COUNTIFS(GiftData[Constituent_ID], GiftData[[#This Row],[Constituent_ID]], GiftData[Fiscal_Year], "FY26")&gt;0, 1, 0)</f>
        <v>1</v>
      </c>
      <c r="N60" t="str" cm="1">
        <f t="array" ref="N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" spans="1:14" x14ac:dyDescent="0.2">
      <c r="A61" t="s">
        <v>145</v>
      </c>
      <c r="B61" t="s">
        <v>146</v>
      </c>
      <c r="C61" t="s">
        <v>18</v>
      </c>
      <c r="D61" s="1">
        <v>45782</v>
      </c>
      <c r="E61">
        <v>172.02</v>
      </c>
      <c r="F61" t="s">
        <v>25</v>
      </c>
      <c r="G61" t="s">
        <v>13</v>
      </c>
      <c r="H61" t="s">
        <v>41</v>
      </c>
      <c r="I61" t="s">
        <v>15</v>
      </c>
      <c r="J61" t="str">
        <f>"FY" &amp; IF(MONTH(GiftData[[#This Row],[Gift_Date]])&gt;=7, RIGHT(YEAR(GiftData[[#This Row],[Gift_Date]])+1, 2), RIGHT(YEAR(GiftData[[#This Row],[Gift_Date]]), 2))</f>
        <v>FY25</v>
      </c>
      <c r="K61">
        <f>IF(COUNTIFS(GiftData[Constituent_ID], GiftData[[#This Row],[Constituent_ID]], GiftData[Fiscal_Year], "FY24")&gt;0, 1, 0)</f>
        <v>1</v>
      </c>
      <c r="L61">
        <f>IF(COUNTIFS(GiftData[Constituent_ID], GiftData[[#This Row],[Constituent_ID]], GiftData[Fiscal_Year], "FY25")&gt;0, 1, 0)</f>
        <v>1</v>
      </c>
      <c r="M61">
        <f>IF(COUNTIFS(GiftData[Constituent_ID], GiftData[[#This Row],[Constituent_ID]], GiftData[Fiscal_Year], "FY26")&gt;0, 1, 0)</f>
        <v>1</v>
      </c>
      <c r="N61" t="str" cm="1">
        <f t="array" ref="N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" spans="1:14" x14ac:dyDescent="0.2">
      <c r="A62" t="s">
        <v>147</v>
      </c>
      <c r="B62" t="s">
        <v>148</v>
      </c>
      <c r="C62" t="s">
        <v>18</v>
      </c>
      <c r="D62" s="1">
        <v>46115</v>
      </c>
      <c r="E62">
        <v>529.35</v>
      </c>
      <c r="F62" t="s">
        <v>59</v>
      </c>
      <c r="G62" t="s">
        <v>13</v>
      </c>
      <c r="H62" t="s">
        <v>20</v>
      </c>
      <c r="I62" t="s">
        <v>15</v>
      </c>
      <c r="J62" t="str">
        <f>"FY" &amp; IF(MONTH(GiftData[[#This Row],[Gift_Date]])&gt;=7, RIGHT(YEAR(GiftData[[#This Row],[Gift_Date]])+1, 2), RIGHT(YEAR(GiftData[[#This Row],[Gift_Date]]), 2))</f>
        <v>FY26</v>
      </c>
      <c r="K62">
        <f>IF(COUNTIFS(GiftData[Constituent_ID], GiftData[[#This Row],[Constituent_ID]], GiftData[Fiscal_Year], "FY24")&gt;0, 1, 0)</f>
        <v>1</v>
      </c>
      <c r="L62">
        <f>IF(COUNTIFS(GiftData[Constituent_ID], GiftData[[#This Row],[Constituent_ID]], GiftData[Fiscal_Year], "FY25")&gt;0, 1, 0)</f>
        <v>1</v>
      </c>
      <c r="M62">
        <f>IF(COUNTIFS(GiftData[Constituent_ID], GiftData[[#This Row],[Constituent_ID]], GiftData[Fiscal_Year], "FY26")&gt;0, 1, 0)</f>
        <v>1</v>
      </c>
      <c r="N62" t="str" cm="1">
        <f t="array" ref="N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" spans="1:14" x14ac:dyDescent="0.2">
      <c r="A63" t="s">
        <v>149</v>
      </c>
      <c r="B63" t="s">
        <v>150</v>
      </c>
      <c r="C63" t="s">
        <v>28</v>
      </c>
      <c r="D63" s="1">
        <v>45574</v>
      </c>
      <c r="E63">
        <v>2119.27</v>
      </c>
      <c r="F63" t="s">
        <v>12</v>
      </c>
      <c r="G63" t="s">
        <v>13</v>
      </c>
      <c r="H63" t="s">
        <v>20</v>
      </c>
      <c r="I63" t="s">
        <v>56</v>
      </c>
      <c r="J63" t="str">
        <f>"FY" &amp; IF(MONTH(GiftData[[#This Row],[Gift_Date]])&gt;=7, RIGHT(YEAR(GiftData[[#This Row],[Gift_Date]])+1, 2), RIGHT(YEAR(GiftData[[#This Row],[Gift_Date]]), 2))</f>
        <v>FY25</v>
      </c>
      <c r="K63">
        <f>IF(COUNTIFS(GiftData[Constituent_ID], GiftData[[#This Row],[Constituent_ID]], GiftData[Fiscal_Year], "FY24")&gt;0, 1, 0)</f>
        <v>1</v>
      </c>
      <c r="L63">
        <f>IF(COUNTIFS(GiftData[Constituent_ID], GiftData[[#This Row],[Constituent_ID]], GiftData[Fiscal_Year], "FY25")&gt;0, 1, 0)</f>
        <v>1</v>
      </c>
      <c r="M63">
        <f>IF(COUNTIFS(GiftData[Constituent_ID], GiftData[[#This Row],[Constituent_ID]], GiftData[Fiscal_Year], "FY26")&gt;0, 1, 0)</f>
        <v>0</v>
      </c>
      <c r="N63" t="str" cm="1">
        <f t="array" ref="N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4" spans="1:14" x14ac:dyDescent="0.2">
      <c r="A64" t="s">
        <v>151</v>
      </c>
      <c r="B64" t="s">
        <v>17</v>
      </c>
      <c r="C64" t="s">
        <v>35</v>
      </c>
      <c r="D64" s="1">
        <v>45521</v>
      </c>
      <c r="E64">
        <v>93.06</v>
      </c>
      <c r="F64" t="s">
        <v>12</v>
      </c>
      <c r="G64" t="s">
        <v>13</v>
      </c>
      <c r="H64" t="s">
        <v>14</v>
      </c>
      <c r="I64" t="s">
        <v>15</v>
      </c>
      <c r="J64" t="str">
        <f>"FY" &amp; IF(MONTH(GiftData[[#This Row],[Gift_Date]])&gt;=7, RIGHT(YEAR(GiftData[[#This Row],[Gift_Date]])+1, 2), RIGHT(YEAR(GiftData[[#This Row],[Gift_Date]]), 2))</f>
        <v>FY25</v>
      </c>
      <c r="K64">
        <f>IF(COUNTIFS(GiftData[Constituent_ID], GiftData[[#This Row],[Constituent_ID]], GiftData[Fiscal_Year], "FY24")&gt;0, 1, 0)</f>
        <v>1</v>
      </c>
      <c r="L64">
        <f>IF(COUNTIFS(GiftData[Constituent_ID], GiftData[[#This Row],[Constituent_ID]], GiftData[Fiscal_Year], "FY25")&gt;0, 1, 0)</f>
        <v>1</v>
      </c>
      <c r="M64">
        <f>IF(COUNTIFS(GiftData[Constituent_ID], GiftData[[#This Row],[Constituent_ID]], GiftData[Fiscal_Year], "FY26")&gt;0, 1, 0)</f>
        <v>0</v>
      </c>
      <c r="N64" t="str" cm="1">
        <f t="array" ref="N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" spans="1:14" x14ac:dyDescent="0.2">
      <c r="A65" t="s">
        <v>152</v>
      </c>
      <c r="B65" t="s">
        <v>53</v>
      </c>
      <c r="C65" t="s">
        <v>35</v>
      </c>
      <c r="D65" s="1">
        <v>45693</v>
      </c>
      <c r="E65">
        <v>370.65</v>
      </c>
      <c r="F65" t="s">
        <v>12</v>
      </c>
      <c r="G65" t="s">
        <v>13</v>
      </c>
      <c r="H65" t="s">
        <v>51</v>
      </c>
      <c r="I65" t="s">
        <v>30</v>
      </c>
      <c r="J65" t="str">
        <f>"FY" &amp; IF(MONTH(GiftData[[#This Row],[Gift_Date]])&gt;=7, RIGHT(YEAR(GiftData[[#This Row],[Gift_Date]])+1, 2), RIGHT(YEAR(GiftData[[#This Row],[Gift_Date]]), 2))</f>
        <v>FY25</v>
      </c>
      <c r="K65">
        <f>IF(COUNTIFS(GiftData[Constituent_ID], GiftData[[#This Row],[Constituent_ID]], GiftData[Fiscal_Year], "FY24")&gt;0, 1, 0)</f>
        <v>1</v>
      </c>
      <c r="L65">
        <f>IF(COUNTIFS(GiftData[Constituent_ID], GiftData[[#This Row],[Constituent_ID]], GiftData[Fiscal_Year], "FY25")&gt;0, 1, 0)</f>
        <v>1</v>
      </c>
      <c r="M65">
        <f>IF(COUNTIFS(GiftData[Constituent_ID], GiftData[[#This Row],[Constituent_ID]], GiftData[Fiscal_Year], "FY26")&gt;0, 1, 0)</f>
        <v>1</v>
      </c>
      <c r="N65" t="str" cm="1">
        <f t="array" ref="N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" spans="1:14" x14ac:dyDescent="0.2">
      <c r="A66" t="s">
        <v>153</v>
      </c>
      <c r="B66" t="s">
        <v>154</v>
      </c>
      <c r="C66" t="s">
        <v>11</v>
      </c>
      <c r="D66" s="1">
        <v>46101</v>
      </c>
      <c r="E66">
        <v>531.03</v>
      </c>
      <c r="F66" t="s">
        <v>25</v>
      </c>
      <c r="G66" t="s">
        <v>29</v>
      </c>
      <c r="H66" t="s">
        <v>51</v>
      </c>
      <c r="I66" t="s">
        <v>56</v>
      </c>
      <c r="J66" t="str">
        <f>"FY" &amp; IF(MONTH(GiftData[[#This Row],[Gift_Date]])&gt;=7, RIGHT(YEAR(GiftData[[#This Row],[Gift_Date]])+1, 2), RIGHT(YEAR(GiftData[[#This Row],[Gift_Date]]), 2))</f>
        <v>FY26</v>
      </c>
      <c r="K66">
        <f>IF(COUNTIFS(GiftData[Constituent_ID], GiftData[[#This Row],[Constituent_ID]], GiftData[Fiscal_Year], "FY24")&gt;0, 1, 0)</f>
        <v>0</v>
      </c>
      <c r="L66">
        <f>IF(COUNTIFS(GiftData[Constituent_ID], GiftData[[#This Row],[Constituent_ID]], GiftData[Fiscal_Year], "FY25")&gt;0, 1, 0)</f>
        <v>0</v>
      </c>
      <c r="M66">
        <f>IF(COUNTIFS(GiftData[Constituent_ID], GiftData[[#This Row],[Constituent_ID]], GiftData[Fiscal_Year], "FY26")&gt;0, 1, 0)</f>
        <v>1</v>
      </c>
      <c r="N66" t="str" cm="1">
        <f t="array" ref="N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" spans="1:14" x14ac:dyDescent="0.2">
      <c r="A67" t="s">
        <v>155</v>
      </c>
      <c r="B67" t="s">
        <v>156</v>
      </c>
      <c r="C67" t="s">
        <v>18</v>
      </c>
      <c r="D67" s="1">
        <v>45679</v>
      </c>
      <c r="E67">
        <v>42.26</v>
      </c>
      <c r="F67" t="s">
        <v>25</v>
      </c>
      <c r="G67" t="s">
        <v>13</v>
      </c>
      <c r="H67" t="s">
        <v>14</v>
      </c>
      <c r="I67" t="s">
        <v>38</v>
      </c>
      <c r="J67" t="str">
        <f>"FY" &amp; IF(MONTH(GiftData[[#This Row],[Gift_Date]])&gt;=7, RIGHT(YEAR(GiftData[[#This Row],[Gift_Date]])+1, 2), RIGHT(YEAR(GiftData[[#This Row],[Gift_Date]]), 2))</f>
        <v>FY25</v>
      </c>
      <c r="K67">
        <f>IF(COUNTIFS(GiftData[Constituent_ID], GiftData[[#This Row],[Constituent_ID]], GiftData[Fiscal_Year], "FY24")&gt;0, 1, 0)</f>
        <v>1</v>
      </c>
      <c r="L67">
        <f>IF(COUNTIFS(GiftData[Constituent_ID], GiftData[[#This Row],[Constituent_ID]], GiftData[Fiscal_Year], "FY25")&gt;0, 1, 0)</f>
        <v>1</v>
      </c>
      <c r="M67">
        <f>IF(COUNTIFS(GiftData[Constituent_ID], GiftData[[#This Row],[Constituent_ID]], GiftData[Fiscal_Year], "FY26")&gt;0, 1, 0)</f>
        <v>0</v>
      </c>
      <c r="N67" t="str" cm="1">
        <f t="array" ref="N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8" spans="1:14" x14ac:dyDescent="0.2">
      <c r="A68" t="s">
        <v>157</v>
      </c>
      <c r="B68" t="s">
        <v>158</v>
      </c>
      <c r="C68" t="s">
        <v>18</v>
      </c>
      <c r="D68" s="1">
        <v>45442</v>
      </c>
      <c r="E68">
        <v>1232.3800000000001</v>
      </c>
      <c r="F68" t="s">
        <v>59</v>
      </c>
      <c r="G68" t="s">
        <v>13</v>
      </c>
      <c r="H68" t="s">
        <v>51</v>
      </c>
      <c r="I68" t="s">
        <v>56</v>
      </c>
      <c r="J68" t="str">
        <f>"FY" &amp; IF(MONTH(GiftData[[#This Row],[Gift_Date]])&gt;=7, RIGHT(YEAR(GiftData[[#This Row],[Gift_Date]])+1, 2), RIGHT(YEAR(GiftData[[#This Row],[Gift_Date]]), 2))</f>
        <v>FY24</v>
      </c>
      <c r="K68">
        <f>IF(COUNTIFS(GiftData[Constituent_ID], GiftData[[#This Row],[Constituent_ID]], GiftData[Fiscal_Year], "FY24")&gt;0, 1, 0)</f>
        <v>1</v>
      </c>
      <c r="L68">
        <f>IF(COUNTIFS(GiftData[Constituent_ID], GiftData[[#This Row],[Constituent_ID]], GiftData[Fiscal_Year], "FY25")&gt;0, 1, 0)</f>
        <v>1</v>
      </c>
      <c r="M68">
        <f>IF(COUNTIFS(GiftData[Constituent_ID], GiftData[[#This Row],[Constituent_ID]], GiftData[Fiscal_Year], "FY26")&gt;0, 1, 0)</f>
        <v>1</v>
      </c>
      <c r="N68" t="str" cm="1">
        <f t="array" ref="N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" spans="1:14" x14ac:dyDescent="0.2">
      <c r="A69" t="s">
        <v>159</v>
      </c>
      <c r="B69" t="s">
        <v>160</v>
      </c>
      <c r="C69" t="s">
        <v>28</v>
      </c>
      <c r="D69" s="1">
        <v>45144</v>
      </c>
      <c r="E69">
        <v>30.42</v>
      </c>
      <c r="F69" t="s">
        <v>12</v>
      </c>
      <c r="G69" t="s">
        <v>13</v>
      </c>
      <c r="H69" t="s">
        <v>20</v>
      </c>
      <c r="I69" t="s">
        <v>15</v>
      </c>
      <c r="J69" t="str">
        <f>"FY" &amp; IF(MONTH(GiftData[[#This Row],[Gift_Date]])&gt;=7, RIGHT(YEAR(GiftData[[#This Row],[Gift_Date]])+1, 2), RIGHT(YEAR(GiftData[[#This Row],[Gift_Date]]), 2))</f>
        <v>FY24</v>
      </c>
      <c r="K69">
        <f>IF(COUNTIFS(GiftData[Constituent_ID], GiftData[[#This Row],[Constituent_ID]], GiftData[Fiscal_Year], "FY24")&gt;0, 1, 0)</f>
        <v>1</v>
      </c>
      <c r="L69">
        <f>IF(COUNTIFS(GiftData[Constituent_ID], GiftData[[#This Row],[Constituent_ID]], GiftData[Fiscal_Year], "FY25")&gt;0, 1, 0)</f>
        <v>0</v>
      </c>
      <c r="M69">
        <f>IF(COUNTIFS(GiftData[Constituent_ID], GiftData[[#This Row],[Constituent_ID]], GiftData[Fiscal_Year], "FY26")&gt;0, 1, 0)</f>
        <v>0</v>
      </c>
      <c r="N69" t="str" cm="1">
        <f t="array" ref="N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70" spans="1:14" x14ac:dyDescent="0.2">
      <c r="A70" t="s">
        <v>161</v>
      </c>
      <c r="B70" t="s">
        <v>71</v>
      </c>
      <c r="C70" t="s">
        <v>18</v>
      </c>
      <c r="D70" s="1">
        <v>46096</v>
      </c>
      <c r="E70">
        <v>347.82</v>
      </c>
      <c r="F70" t="s">
        <v>12</v>
      </c>
      <c r="G70" t="s">
        <v>13</v>
      </c>
      <c r="H70" t="s">
        <v>20</v>
      </c>
      <c r="I70" t="s">
        <v>56</v>
      </c>
      <c r="J70" t="str">
        <f>"FY" &amp; IF(MONTH(GiftData[[#This Row],[Gift_Date]])&gt;=7, RIGHT(YEAR(GiftData[[#This Row],[Gift_Date]])+1, 2), RIGHT(YEAR(GiftData[[#This Row],[Gift_Date]]), 2))</f>
        <v>FY26</v>
      </c>
      <c r="K70">
        <f>IF(COUNTIFS(GiftData[Constituent_ID], GiftData[[#This Row],[Constituent_ID]], GiftData[Fiscal_Year], "FY24")&gt;0, 1, 0)</f>
        <v>1</v>
      </c>
      <c r="L70">
        <f>IF(COUNTIFS(GiftData[Constituent_ID], GiftData[[#This Row],[Constituent_ID]], GiftData[Fiscal_Year], "FY25")&gt;0, 1, 0)</f>
        <v>1</v>
      </c>
      <c r="M70">
        <f>IF(COUNTIFS(GiftData[Constituent_ID], GiftData[[#This Row],[Constituent_ID]], GiftData[Fiscal_Year], "FY26")&gt;0, 1, 0)</f>
        <v>1</v>
      </c>
      <c r="N70" t="str" cm="1">
        <f t="array" ref="N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" spans="1:14" x14ac:dyDescent="0.2">
      <c r="A71" t="s">
        <v>162</v>
      </c>
      <c r="B71" t="s">
        <v>163</v>
      </c>
      <c r="C71" t="s">
        <v>11</v>
      </c>
      <c r="D71" s="1">
        <v>45385</v>
      </c>
      <c r="E71">
        <v>180.71</v>
      </c>
      <c r="F71" t="s">
        <v>12</v>
      </c>
      <c r="G71" t="s">
        <v>13</v>
      </c>
      <c r="H71" t="s">
        <v>164</v>
      </c>
      <c r="I71" t="s">
        <v>15</v>
      </c>
      <c r="J71" t="str">
        <f>"FY" &amp; IF(MONTH(GiftData[[#This Row],[Gift_Date]])&gt;=7, RIGHT(YEAR(GiftData[[#This Row],[Gift_Date]])+1, 2), RIGHT(YEAR(GiftData[[#This Row],[Gift_Date]]), 2))</f>
        <v>FY24</v>
      </c>
      <c r="K71">
        <f>IF(COUNTIFS(GiftData[Constituent_ID], GiftData[[#This Row],[Constituent_ID]], GiftData[Fiscal_Year], "FY24")&gt;0, 1, 0)</f>
        <v>1</v>
      </c>
      <c r="L71">
        <f>IF(COUNTIFS(GiftData[Constituent_ID], GiftData[[#This Row],[Constituent_ID]], GiftData[Fiscal_Year], "FY25")&gt;0, 1, 0)</f>
        <v>1</v>
      </c>
      <c r="M71">
        <f>IF(COUNTIFS(GiftData[Constituent_ID], GiftData[[#This Row],[Constituent_ID]], GiftData[Fiscal_Year], "FY26")&gt;0, 1, 0)</f>
        <v>1</v>
      </c>
      <c r="N71" t="str" cm="1">
        <f t="array" ref="N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" spans="1:14" x14ac:dyDescent="0.2">
      <c r="A72" t="s">
        <v>165</v>
      </c>
      <c r="B72" t="s">
        <v>166</v>
      </c>
      <c r="C72" t="s">
        <v>28</v>
      </c>
      <c r="D72" s="1">
        <v>46023</v>
      </c>
      <c r="E72">
        <v>130.61000000000001</v>
      </c>
      <c r="F72" t="s">
        <v>25</v>
      </c>
      <c r="G72" t="s">
        <v>13</v>
      </c>
      <c r="H72" t="s">
        <v>41</v>
      </c>
      <c r="I72" t="s">
        <v>15</v>
      </c>
      <c r="J72" t="str">
        <f>"FY" &amp; IF(MONTH(GiftData[[#This Row],[Gift_Date]])&gt;=7, RIGHT(YEAR(GiftData[[#This Row],[Gift_Date]])+1, 2), RIGHT(YEAR(GiftData[[#This Row],[Gift_Date]]), 2))</f>
        <v>FY26</v>
      </c>
      <c r="K72">
        <f>IF(COUNTIFS(GiftData[Constituent_ID], GiftData[[#This Row],[Constituent_ID]], GiftData[Fiscal_Year], "FY24")&gt;0, 1, 0)</f>
        <v>1</v>
      </c>
      <c r="L72">
        <f>IF(COUNTIFS(GiftData[Constituent_ID], GiftData[[#This Row],[Constituent_ID]], GiftData[Fiscal_Year], "FY25")&gt;0, 1, 0)</f>
        <v>1</v>
      </c>
      <c r="M72">
        <f>IF(COUNTIFS(GiftData[Constituent_ID], GiftData[[#This Row],[Constituent_ID]], GiftData[Fiscal_Year], "FY26")&gt;0, 1, 0)</f>
        <v>1</v>
      </c>
      <c r="N72" t="str" cm="1">
        <f t="array" ref="N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" spans="1:14" x14ac:dyDescent="0.2">
      <c r="A73" t="s">
        <v>167</v>
      </c>
      <c r="B73" t="s">
        <v>168</v>
      </c>
      <c r="C73" t="s">
        <v>48</v>
      </c>
      <c r="D73" s="1">
        <v>45591</v>
      </c>
      <c r="E73">
        <v>3330.52</v>
      </c>
      <c r="F73" t="s">
        <v>12</v>
      </c>
      <c r="G73" t="s">
        <v>13</v>
      </c>
      <c r="H73" t="s">
        <v>14</v>
      </c>
      <c r="I73" t="s">
        <v>15</v>
      </c>
      <c r="J73" t="str">
        <f>"FY" &amp; IF(MONTH(GiftData[[#This Row],[Gift_Date]])&gt;=7, RIGHT(YEAR(GiftData[[#This Row],[Gift_Date]])+1, 2), RIGHT(YEAR(GiftData[[#This Row],[Gift_Date]]), 2))</f>
        <v>FY25</v>
      </c>
      <c r="K73">
        <f>IF(COUNTIFS(GiftData[Constituent_ID], GiftData[[#This Row],[Constituent_ID]], GiftData[Fiscal_Year], "FY24")&gt;0, 1, 0)</f>
        <v>0</v>
      </c>
      <c r="L73">
        <f>IF(COUNTIFS(GiftData[Constituent_ID], GiftData[[#This Row],[Constituent_ID]], GiftData[Fiscal_Year], "FY25")&gt;0, 1, 0)</f>
        <v>1</v>
      </c>
      <c r="M73">
        <f>IF(COUNTIFS(GiftData[Constituent_ID], GiftData[[#This Row],[Constituent_ID]], GiftData[Fiscal_Year], "FY26")&gt;0, 1, 0)</f>
        <v>1</v>
      </c>
      <c r="N73" t="str" cm="1">
        <f t="array" ref="N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" spans="1:14" x14ac:dyDescent="0.2">
      <c r="A74" t="s">
        <v>169</v>
      </c>
      <c r="B74" t="s">
        <v>170</v>
      </c>
      <c r="C74" t="s">
        <v>11</v>
      </c>
      <c r="D74" s="1">
        <v>45838</v>
      </c>
      <c r="E74">
        <v>82.14</v>
      </c>
      <c r="F74" t="s">
        <v>12</v>
      </c>
      <c r="G74" t="s">
        <v>13</v>
      </c>
      <c r="H74" t="s">
        <v>41</v>
      </c>
      <c r="I74" t="s">
        <v>15</v>
      </c>
      <c r="J74" t="str">
        <f>"FY" &amp; IF(MONTH(GiftData[[#This Row],[Gift_Date]])&gt;=7, RIGHT(YEAR(GiftData[[#This Row],[Gift_Date]])+1, 2), RIGHT(YEAR(GiftData[[#This Row],[Gift_Date]]), 2))</f>
        <v>FY25</v>
      </c>
      <c r="K74">
        <f>IF(COUNTIFS(GiftData[Constituent_ID], GiftData[[#This Row],[Constituent_ID]], GiftData[Fiscal_Year], "FY24")&gt;0, 1, 0)</f>
        <v>0</v>
      </c>
      <c r="L74">
        <f>IF(COUNTIFS(GiftData[Constituent_ID], GiftData[[#This Row],[Constituent_ID]], GiftData[Fiscal_Year], "FY25")&gt;0, 1, 0)</f>
        <v>1</v>
      </c>
      <c r="M74">
        <f>IF(COUNTIFS(GiftData[Constituent_ID], GiftData[[#This Row],[Constituent_ID]], GiftData[Fiscal_Year], "FY26")&gt;0, 1, 0)</f>
        <v>0</v>
      </c>
      <c r="N74" t="str" cm="1">
        <f t="array" ref="N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5" spans="1:14" x14ac:dyDescent="0.2">
      <c r="A75" t="s">
        <v>171</v>
      </c>
      <c r="B75" t="s">
        <v>130</v>
      </c>
      <c r="C75" t="s">
        <v>18</v>
      </c>
      <c r="D75" s="1">
        <v>45299</v>
      </c>
      <c r="E75">
        <v>80.44</v>
      </c>
      <c r="F75" t="s">
        <v>12</v>
      </c>
      <c r="G75" t="s">
        <v>13</v>
      </c>
      <c r="H75" t="s">
        <v>164</v>
      </c>
      <c r="I75" t="s">
        <v>38</v>
      </c>
      <c r="J75" t="str">
        <f>"FY" &amp; IF(MONTH(GiftData[[#This Row],[Gift_Date]])&gt;=7, RIGHT(YEAR(GiftData[[#This Row],[Gift_Date]])+1, 2), RIGHT(YEAR(GiftData[[#This Row],[Gift_Date]]), 2))</f>
        <v>FY24</v>
      </c>
      <c r="K75">
        <f>IF(COUNTIFS(GiftData[Constituent_ID], GiftData[[#This Row],[Constituent_ID]], GiftData[Fiscal_Year], "FY24")&gt;0, 1, 0)</f>
        <v>1</v>
      </c>
      <c r="L75">
        <f>IF(COUNTIFS(GiftData[Constituent_ID], GiftData[[#This Row],[Constituent_ID]], GiftData[Fiscal_Year], "FY25")&gt;0, 1, 0)</f>
        <v>0</v>
      </c>
      <c r="M75">
        <f>IF(COUNTIFS(GiftData[Constituent_ID], GiftData[[#This Row],[Constituent_ID]], GiftData[Fiscal_Year], "FY26")&gt;0, 1, 0)</f>
        <v>1</v>
      </c>
      <c r="N75" t="str" cm="1">
        <f t="array" ref="N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" spans="1:14" x14ac:dyDescent="0.2">
      <c r="A76" t="s">
        <v>172</v>
      </c>
      <c r="B76" t="s">
        <v>173</v>
      </c>
      <c r="C76" t="s">
        <v>28</v>
      </c>
      <c r="D76" s="1">
        <v>46148</v>
      </c>
      <c r="E76">
        <v>686.03</v>
      </c>
      <c r="F76" t="s">
        <v>12</v>
      </c>
      <c r="G76" t="s">
        <v>13</v>
      </c>
      <c r="H76" t="s">
        <v>41</v>
      </c>
      <c r="I76" t="s">
        <v>15</v>
      </c>
      <c r="J76" t="str">
        <f>"FY" &amp; IF(MONTH(GiftData[[#This Row],[Gift_Date]])&gt;=7, RIGHT(YEAR(GiftData[[#This Row],[Gift_Date]])+1, 2), RIGHT(YEAR(GiftData[[#This Row],[Gift_Date]]), 2))</f>
        <v>FY26</v>
      </c>
      <c r="K76">
        <f>IF(COUNTIFS(GiftData[Constituent_ID], GiftData[[#This Row],[Constituent_ID]], GiftData[Fiscal_Year], "FY24")&gt;0, 1, 0)</f>
        <v>1</v>
      </c>
      <c r="L76">
        <f>IF(COUNTIFS(GiftData[Constituent_ID], GiftData[[#This Row],[Constituent_ID]], GiftData[Fiscal_Year], "FY25")&gt;0, 1, 0)</f>
        <v>0</v>
      </c>
      <c r="M76">
        <f>IF(COUNTIFS(GiftData[Constituent_ID], GiftData[[#This Row],[Constituent_ID]], GiftData[Fiscal_Year], "FY26")&gt;0, 1, 0)</f>
        <v>1</v>
      </c>
      <c r="N76" t="str" cm="1">
        <f t="array" ref="N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" spans="1:14" x14ac:dyDescent="0.2">
      <c r="A77" t="s">
        <v>174</v>
      </c>
      <c r="B77" t="s">
        <v>175</v>
      </c>
      <c r="C77" t="s">
        <v>28</v>
      </c>
      <c r="D77" s="1">
        <v>45631</v>
      </c>
      <c r="E77">
        <v>327.13</v>
      </c>
      <c r="F77" t="s">
        <v>12</v>
      </c>
      <c r="G77" t="s">
        <v>13</v>
      </c>
      <c r="H77" t="s">
        <v>51</v>
      </c>
      <c r="I77" t="s">
        <v>15</v>
      </c>
      <c r="J77" t="str">
        <f>"FY" &amp; IF(MONTH(GiftData[[#This Row],[Gift_Date]])&gt;=7, RIGHT(YEAR(GiftData[[#This Row],[Gift_Date]])+1, 2), RIGHT(YEAR(GiftData[[#This Row],[Gift_Date]]), 2))</f>
        <v>FY25</v>
      </c>
      <c r="K77">
        <f>IF(COUNTIFS(GiftData[Constituent_ID], GiftData[[#This Row],[Constituent_ID]], GiftData[Fiscal_Year], "FY24")&gt;0, 1, 0)</f>
        <v>0</v>
      </c>
      <c r="L77">
        <f>IF(COUNTIFS(GiftData[Constituent_ID], GiftData[[#This Row],[Constituent_ID]], GiftData[Fiscal_Year], "FY25")&gt;0, 1, 0)</f>
        <v>1</v>
      </c>
      <c r="M77">
        <f>IF(COUNTIFS(GiftData[Constituent_ID], GiftData[[#This Row],[Constituent_ID]], GiftData[Fiscal_Year], "FY26")&gt;0, 1, 0)</f>
        <v>1</v>
      </c>
      <c r="N77" t="str" cm="1">
        <f t="array" ref="N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" spans="1:14" x14ac:dyDescent="0.2">
      <c r="A78" t="s">
        <v>176</v>
      </c>
      <c r="B78" t="s">
        <v>177</v>
      </c>
      <c r="C78" t="s">
        <v>11</v>
      </c>
      <c r="D78" s="1">
        <v>46025</v>
      </c>
      <c r="E78">
        <v>643.38</v>
      </c>
      <c r="F78" t="s">
        <v>12</v>
      </c>
      <c r="G78" t="s">
        <v>13</v>
      </c>
      <c r="H78" t="s">
        <v>41</v>
      </c>
      <c r="I78" t="s">
        <v>56</v>
      </c>
      <c r="J78" t="str">
        <f>"FY" &amp; IF(MONTH(GiftData[[#This Row],[Gift_Date]])&gt;=7, RIGHT(YEAR(GiftData[[#This Row],[Gift_Date]])+1, 2), RIGHT(YEAR(GiftData[[#This Row],[Gift_Date]]), 2))</f>
        <v>FY26</v>
      </c>
      <c r="K78">
        <f>IF(COUNTIFS(GiftData[Constituent_ID], GiftData[[#This Row],[Constituent_ID]], GiftData[Fiscal_Year], "FY24")&gt;0, 1, 0)</f>
        <v>1</v>
      </c>
      <c r="L78">
        <f>IF(COUNTIFS(GiftData[Constituent_ID], GiftData[[#This Row],[Constituent_ID]], GiftData[Fiscal_Year], "FY25")&gt;0, 1, 0)</f>
        <v>1</v>
      </c>
      <c r="M78">
        <f>IF(COUNTIFS(GiftData[Constituent_ID], GiftData[[#This Row],[Constituent_ID]], GiftData[Fiscal_Year], "FY26")&gt;0, 1, 0)</f>
        <v>1</v>
      </c>
      <c r="N78" t="str" cm="1">
        <f t="array" ref="N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" spans="1:14" x14ac:dyDescent="0.2">
      <c r="A79" t="s">
        <v>178</v>
      </c>
      <c r="B79" t="s">
        <v>179</v>
      </c>
      <c r="C79" t="s">
        <v>48</v>
      </c>
      <c r="D79" s="1">
        <v>45508</v>
      </c>
      <c r="E79">
        <v>141.44999999999999</v>
      </c>
      <c r="F79" t="s">
        <v>12</v>
      </c>
      <c r="G79" t="s">
        <v>13</v>
      </c>
      <c r="H79" t="s">
        <v>20</v>
      </c>
      <c r="I79" t="s">
        <v>38</v>
      </c>
      <c r="J79" t="str">
        <f>"FY" &amp; IF(MONTH(GiftData[[#This Row],[Gift_Date]])&gt;=7, RIGHT(YEAR(GiftData[[#This Row],[Gift_Date]])+1, 2), RIGHT(YEAR(GiftData[[#This Row],[Gift_Date]]), 2))</f>
        <v>FY25</v>
      </c>
      <c r="K79">
        <f>IF(COUNTIFS(GiftData[Constituent_ID], GiftData[[#This Row],[Constituent_ID]], GiftData[Fiscal_Year], "FY24")&gt;0, 1, 0)</f>
        <v>0</v>
      </c>
      <c r="L79">
        <f>IF(COUNTIFS(GiftData[Constituent_ID], GiftData[[#This Row],[Constituent_ID]], GiftData[Fiscal_Year], "FY25")&gt;0, 1, 0)</f>
        <v>1</v>
      </c>
      <c r="M79">
        <f>IF(COUNTIFS(GiftData[Constituent_ID], GiftData[[#This Row],[Constituent_ID]], GiftData[Fiscal_Year], "FY26")&gt;0, 1, 0)</f>
        <v>1</v>
      </c>
      <c r="N79" t="str" cm="1">
        <f t="array" ref="N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" spans="1:14" x14ac:dyDescent="0.2">
      <c r="A80" t="s">
        <v>180</v>
      </c>
      <c r="B80" t="s">
        <v>163</v>
      </c>
      <c r="C80" t="s">
        <v>35</v>
      </c>
      <c r="D80" s="1">
        <v>45993</v>
      </c>
      <c r="E80">
        <v>183.47</v>
      </c>
      <c r="F80" t="s">
        <v>12</v>
      </c>
      <c r="G80" t="s">
        <v>13</v>
      </c>
      <c r="H80" t="s">
        <v>51</v>
      </c>
      <c r="I80" t="s">
        <v>15</v>
      </c>
      <c r="J80" t="str">
        <f>"FY" &amp; IF(MONTH(GiftData[[#This Row],[Gift_Date]])&gt;=7, RIGHT(YEAR(GiftData[[#This Row],[Gift_Date]])+1, 2), RIGHT(YEAR(GiftData[[#This Row],[Gift_Date]]), 2))</f>
        <v>FY26</v>
      </c>
      <c r="K80">
        <f>IF(COUNTIFS(GiftData[Constituent_ID], GiftData[[#This Row],[Constituent_ID]], GiftData[Fiscal_Year], "FY24")&gt;0, 1, 0)</f>
        <v>1</v>
      </c>
      <c r="L80">
        <f>IF(COUNTIFS(GiftData[Constituent_ID], GiftData[[#This Row],[Constituent_ID]], GiftData[Fiscal_Year], "FY25")&gt;0, 1, 0)</f>
        <v>1</v>
      </c>
      <c r="M80">
        <f>IF(COUNTIFS(GiftData[Constituent_ID], GiftData[[#This Row],[Constituent_ID]], GiftData[Fiscal_Year], "FY26")&gt;0, 1, 0)</f>
        <v>1</v>
      </c>
      <c r="N80" t="str" cm="1">
        <f t="array" ref="N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" spans="1:14" x14ac:dyDescent="0.2">
      <c r="A81" t="s">
        <v>181</v>
      </c>
      <c r="B81" t="s">
        <v>182</v>
      </c>
      <c r="C81" t="s">
        <v>18</v>
      </c>
      <c r="D81" s="1">
        <v>45812</v>
      </c>
      <c r="E81">
        <v>1438.3</v>
      </c>
      <c r="F81" t="s">
        <v>25</v>
      </c>
      <c r="G81" t="s">
        <v>13</v>
      </c>
      <c r="H81" t="s">
        <v>20</v>
      </c>
      <c r="I81" t="s">
        <v>38</v>
      </c>
      <c r="J81" t="str">
        <f>"FY" &amp; IF(MONTH(GiftData[[#This Row],[Gift_Date]])&gt;=7, RIGHT(YEAR(GiftData[[#This Row],[Gift_Date]])+1, 2), RIGHT(YEAR(GiftData[[#This Row],[Gift_Date]]), 2))</f>
        <v>FY25</v>
      </c>
      <c r="K81">
        <f>IF(COUNTIFS(GiftData[Constituent_ID], GiftData[[#This Row],[Constituent_ID]], GiftData[Fiscal_Year], "FY24")&gt;0, 1, 0)</f>
        <v>1</v>
      </c>
      <c r="L81">
        <f>IF(COUNTIFS(GiftData[Constituent_ID], GiftData[[#This Row],[Constituent_ID]], GiftData[Fiscal_Year], "FY25")&gt;0, 1, 0)</f>
        <v>1</v>
      </c>
      <c r="M81">
        <f>IF(COUNTIFS(GiftData[Constituent_ID], GiftData[[#This Row],[Constituent_ID]], GiftData[Fiscal_Year], "FY26")&gt;0, 1, 0)</f>
        <v>0</v>
      </c>
      <c r="N81" t="str" cm="1">
        <f t="array" ref="N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2" spans="1:14" x14ac:dyDescent="0.2">
      <c r="A82" t="s">
        <v>183</v>
      </c>
      <c r="B82" t="s">
        <v>184</v>
      </c>
      <c r="C82" t="s">
        <v>18</v>
      </c>
      <c r="D82" s="1">
        <v>45129</v>
      </c>
      <c r="E82">
        <v>40.99</v>
      </c>
      <c r="F82" t="s">
        <v>59</v>
      </c>
      <c r="G82" t="s">
        <v>29</v>
      </c>
      <c r="H82" t="s">
        <v>51</v>
      </c>
      <c r="I82" t="s">
        <v>38</v>
      </c>
      <c r="J82" t="str">
        <f>"FY" &amp; IF(MONTH(GiftData[[#This Row],[Gift_Date]])&gt;=7, RIGHT(YEAR(GiftData[[#This Row],[Gift_Date]])+1, 2), RIGHT(YEAR(GiftData[[#This Row],[Gift_Date]]), 2))</f>
        <v>FY24</v>
      </c>
      <c r="K82">
        <f>IF(COUNTIFS(GiftData[Constituent_ID], GiftData[[#This Row],[Constituent_ID]], GiftData[Fiscal_Year], "FY24")&gt;0, 1, 0)</f>
        <v>1</v>
      </c>
      <c r="L82">
        <f>IF(COUNTIFS(GiftData[Constituent_ID], GiftData[[#This Row],[Constituent_ID]], GiftData[Fiscal_Year], "FY25")&gt;0, 1, 0)</f>
        <v>1</v>
      </c>
      <c r="M82">
        <f>IF(COUNTIFS(GiftData[Constituent_ID], GiftData[[#This Row],[Constituent_ID]], GiftData[Fiscal_Year], "FY26")&gt;0, 1, 0)</f>
        <v>0</v>
      </c>
      <c r="N82" t="str" cm="1">
        <f t="array" ref="N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3" spans="1:14" x14ac:dyDescent="0.2">
      <c r="A83" t="s">
        <v>185</v>
      </c>
      <c r="B83" t="s">
        <v>186</v>
      </c>
      <c r="C83" t="s">
        <v>11</v>
      </c>
      <c r="D83" s="1">
        <v>45581</v>
      </c>
      <c r="E83">
        <v>106.3</v>
      </c>
      <c r="F83" t="s">
        <v>12</v>
      </c>
      <c r="G83" t="s">
        <v>13</v>
      </c>
      <c r="H83" t="s">
        <v>14</v>
      </c>
      <c r="I83" t="s">
        <v>30</v>
      </c>
      <c r="J83" t="str">
        <f>"FY" &amp; IF(MONTH(GiftData[[#This Row],[Gift_Date]])&gt;=7, RIGHT(YEAR(GiftData[[#This Row],[Gift_Date]])+1, 2), RIGHT(YEAR(GiftData[[#This Row],[Gift_Date]]), 2))</f>
        <v>FY25</v>
      </c>
      <c r="K83">
        <f>IF(COUNTIFS(GiftData[Constituent_ID], GiftData[[#This Row],[Constituent_ID]], GiftData[Fiscal_Year], "FY24")&gt;0, 1, 0)</f>
        <v>1</v>
      </c>
      <c r="L83">
        <f>IF(COUNTIFS(GiftData[Constituent_ID], GiftData[[#This Row],[Constituent_ID]], GiftData[Fiscal_Year], "FY25")&gt;0, 1, 0)</f>
        <v>1</v>
      </c>
      <c r="M83">
        <f>IF(COUNTIFS(GiftData[Constituent_ID], GiftData[[#This Row],[Constituent_ID]], GiftData[Fiscal_Year], "FY26")&gt;0, 1, 0)</f>
        <v>0</v>
      </c>
      <c r="N83" t="str" cm="1">
        <f t="array" ref="N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4" spans="1:14" x14ac:dyDescent="0.2">
      <c r="A84" t="s">
        <v>187</v>
      </c>
      <c r="B84" t="s">
        <v>130</v>
      </c>
      <c r="C84" t="s">
        <v>35</v>
      </c>
      <c r="D84" s="1">
        <v>45317</v>
      </c>
      <c r="E84">
        <v>343</v>
      </c>
      <c r="F84" t="s">
        <v>25</v>
      </c>
      <c r="G84" t="s">
        <v>13</v>
      </c>
      <c r="H84" t="s">
        <v>41</v>
      </c>
      <c r="I84" t="s">
        <v>15</v>
      </c>
      <c r="J84" t="str">
        <f>"FY" &amp; IF(MONTH(GiftData[[#This Row],[Gift_Date]])&gt;=7, RIGHT(YEAR(GiftData[[#This Row],[Gift_Date]])+1, 2), RIGHT(YEAR(GiftData[[#This Row],[Gift_Date]]), 2))</f>
        <v>FY24</v>
      </c>
      <c r="K84">
        <f>IF(COUNTIFS(GiftData[Constituent_ID], GiftData[[#This Row],[Constituent_ID]], GiftData[Fiscal_Year], "FY24")&gt;0, 1, 0)</f>
        <v>1</v>
      </c>
      <c r="L84">
        <f>IF(COUNTIFS(GiftData[Constituent_ID], GiftData[[#This Row],[Constituent_ID]], GiftData[Fiscal_Year], "FY25")&gt;0, 1, 0)</f>
        <v>0</v>
      </c>
      <c r="M84">
        <f>IF(COUNTIFS(GiftData[Constituent_ID], GiftData[[#This Row],[Constituent_ID]], GiftData[Fiscal_Year], "FY26")&gt;0, 1, 0)</f>
        <v>1</v>
      </c>
      <c r="N84" t="str" cm="1">
        <f t="array" ref="N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" spans="1:14" x14ac:dyDescent="0.2">
      <c r="A85" t="s">
        <v>188</v>
      </c>
      <c r="B85" t="s">
        <v>189</v>
      </c>
      <c r="C85" t="s">
        <v>18</v>
      </c>
      <c r="D85" s="1">
        <v>45413</v>
      </c>
      <c r="E85">
        <v>94.2</v>
      </c>
      <c r="F85" t="s">
        <v>12</v>
      </c>
      <c r="G85" t="s">
        <v>13</v>
      </c>
      <c r="H85" t="s">
        <v>14</v>
      </c>
      <c r="I85" t="s">
        <v>15</v>
      </c>
      <c r="J85" t="str">
        <f>"FY" &amp; IF(MONTH(GiftData[[#This Row],[Gift_Date]])&gt;=7, RIGHT(YEAR(GiftData[[#This Row],[Gift_Date]])+1, 2), RIGHT(YEAR(GiftData[[#This Row],[Gift_Date]]), 2))</f>
        <v>FY24</v>
      </c>
      <c r="K85">
        <f>IF(COUNTIFS(GiftData[Constituent_ID], GiftData[[#This Row],[Constituent_ID]], GiftData[Fiscal_Year], "FY24")&gt;0, 1, 0)</f>
        <v>1</v>
      </c>
      <c r="L85">
        <f>IF(COUNTIFS(GiftData[Constituent_ID], GiftData[[#This Row],[Constituent_ID]], GiftData[Fiscal_Year], "FY25")&gt;0, 1, 0)</f>
        <v>1</v>
      </c>
      <c r="M85">
        <f>IF(COUNTIFS(GiftData[Constituent_ID], GiftData[[#This Row],[Constituent_ID]], GiftData[Fiscal_Year], "FY26")&gt;0, 1, 0)</f>
        <v>1</v>
      </c>
      <c r="N85" t="str" cm="1">
        <f t="array" ref="N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" spans="1:14" x14ac:dyDescent="0.2">
      <c r="A86" t="s">
        <v>190</v>
      </c>
      <c r="B86" t="s">
        <v>87</v>
      </c>
      <c r="C86" t="s">
        <v>28</v>
      </c>
      <c r="D86" s="1">
        <v>45811</v>
      </c>
      <c r="E86">
        <v>57.91</v>
      </c>
      <c r="F86" t="s">
        <v>12</v>
      </c>
      <c r="G86" t="s">
        <v>13</v>
      </c>
      <c r="H86" t="s">
        <v>20</v>
      </c>
      <c r="I86" t="s">
        <v>15</v>
      </c>
      <c r="J86" t="str">
        <f>"FY" &amp; IF(MONTH(GiftData[[#This Row],[Gift_Date]])&gt;=7, RIGHT(YEAR(GiftData[[#This Row],[Gift_Date]])+1, 2), RIGHT(YEAR(GiftData[[#This Row],[Gift_Date]]), 2))</f>
        <v>FY25</v>
      </c>
      <c r="K86">
        <f>IF(COUNTIFS(GiftData[Constituent_ID], GiftData[[#This Row],[Constituent_ID]], GiftData[Fiscal_Year], "FY24")&gt;0, 1, 0)</f>
        <v>1</v>
      </c>
      <c r="L86">
        <f>IF(COUNTIFS(GiftData[Constituent_ID], GiftData[[#This Row],[Constituent_ID]], GiftData[Fiscal_Year], "FY25")&gt;0, 1, 0)</f>
        <v>1</v>
      </c>
      <c r="M86">
        <f>IF(COUNTIFS(GiftData[Constituent_ID], GiftData[[#This Row],[Constituent_ID]], GiftData[Fiscal_Year], "FY26")&gt;0, 1, 0)</f>
        <v>0</v>
      </c>
      <c r="N86" t="str" cm="1">
        <f t="array" ref="N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7" spans="1:14" x14ac:dyDescent="0.2">
      <c r="A87" t="s">
        <v>191</v>
      </c>
      <c r="B87" t="s">
        <v>192</v>
      </c>
      <c r="C87" t="s">
        <v>28</v>
      </c>
      <c r="D87" s="1">
        <v>45794</v>
      </c>
      <c r="E87">
        <v>271.52</v>
      </c>
      <c r="F87" t="s">
        <v>59</v>
      </c>
      <c r="G87" t="s">
        <v>13</v>
      </c>
      <c r="H87" t="s">
        <v>20</v>
      </c>
      <c r="I87" t="s">
        <v>15</v>
      </c>
      <c r="J87" t="str">
        <f>"FY" &amp; IF(MONTH(GiftData[[#This Row],[Gift_Date]])&gt;=7, RIGHT(YEAR(GiftData[[#This Row],[Gift_Date]])+1, 2), RIGHT(YEAR(GiftData[[#This Row],[Gift_Date]]), 2))</f>
        <v>FY25</v>
      </c>
      <c r="K87">
        <f>IF(COUNTIFS(GiftData[Constituent_ID], GiftData[[#This Row],[Constituent_ID]], GiftData[Fiscal_Year], "FY24")&gt;0, 1, 0)</f>
        <v>1</v>
      </c>
      <c r="L87">
        <f>IF(COUNTIFS(GiftData[Constituent_ID], GiftData[[#This Row],[Constituent_ID]], GiftData[Fiscal_Year], "FY25")&gt;0, 1, 0)</f>
        <v>1</v>
      </c>
      <c r="M87">
        <f>IF(COUNTIFS(GiftData[Constituent_ID], GiftData[[#This Row],[Constituent_ID]], GiftData[Fiscal_Year], "FY26")&gt;0, 1, 0)</f>
        <v>1</v>
      </c>
      <c r="N87" t="str" cm="1">
        <f t="array" ref="N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" spans="1:14" x14ac:dyDescent="0.2">
      <c r="A88" t="s">
        <v>193</v>
      </c>
      <c r="B88" t="s">
        <v>97</v>
      </c>
      <c r="C88" t="s">
        <v>18</v>
      </c>
      <c r="D88" s="1">
        <v>45392</v>
      </c>
      <c r="E88">
        <v>689.9</v>
      </c>
      <c r="F88" t="s">
        <v>25</v>
      </c>
      <c r="G88" t="s">
        <v>29</v>
      </c>
      <c r="H88" t="s">
        <v>164</v>
      </c>
      <c r="I88" t="s">
        <v>56</v>
      </c>
      <c r="J88" t="str">
        <f>"FY" &amp; IF(MONTH(GiftData[[#This Row],[Gift_Date]])&gt;=7, RIGHT(YEAR(GiftData[[#This Row],[Gift_Date]])+1, 2), RIGHT(YEAR(GiftData[[#This Row],[Gift_Date]]), 2))</f>
        <v>FY24</v>
      </c>
      <c r="K88">
        <f>IF(COUNTIFS(GiftData[Constituent_ID], GiftData[[#This Row],[Constituent_ID]], GiftData[Fiscal_Year], "FY24")&gt;0, 1, 0)</f>
        <v>1</v>
      </c>
      <c r="L88">
        <f>IF(COUNTIFS(GiftData[Constituent_ID], GiftData[[#This Row],[Constituent_ID]], GiftData[Fiscal_Year], "FY25")&gt;0, 1, 0)</f>
        <v>1</v>
      </c>
      <c r="M88">
        <f>IF(COUNTIFS(GiftData[Constituent_ID], GiftData[[#This Row],[Constituent_ID]], GiftData[Fiscal_Year], "FY26")&gt;0, 1, 0)</f>
        <v>1</v>
      </c>
      <c r="N88" t="str" cm="1">
        <f t="array" ref="N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" spans="1:14" x14ac:dyDescent="0.2">
      <c r="A89" t="s">
        <v>194</v>
      </c>
      <c r="B89" t="s">
        <v>146</v>
      </c>
      <c r="C89" t="s">
        <v>28</v>
      </c>
      <c r="D89" s="1">
        <v>45823</v>
      </c>
      <c r="E89">
        <v>101.18</v>
      </c>
      <c r="F89" t="s">
        <v>59</v>
      </c>
      <c r="G89" t="s">
        <v>13</v>
      </c>
      <c r="H89" t="s">
        <v>164</v>
      </c>
      <c r="I89" t="s">
        <v>15</v>
      </c>
      <c r="J89" t="str">
        <f>"FY" &amp; IF(MONTH(GiftData[[#This Row],[Gift_Date]])&gt;=7, RIGHT(YEAR(GiftData[[#This Row],[Gift_Date]])+1, 2), RIGHT(YEAR(GiftData[[#This Row],[Gift_Date]]), 2))</f>
        <v>FY25</v>
      </c>
      <c r="K89">
        <f>IF(COUNTIFS(GiftData[Constituent_ID], GiftData[[#This Row],[Constituent_ID]], GiftData[Fiscal_Year], "FY24")&gt;0, 1, 0)</f>
        <v>1</v>
      </c>
      <c r="L89">
        <f>IF(COUNTIFS(GiftData[Constituent_ID], GiftData[[#This Row],[Constituent_ID]], GiftData[Fiscal_Year], "FY25")&gt;0, 1, 0)</f>
        <v>1</v>
      </c>
      <c r="M89">
        <f>IF(COUNTIFS(GiftData[Constituent_ID], GiftData[[#This Row],[Constituent_ID]], GiftData[Fiscal_Year], "FY26")&gt;0, 1, 0)</f>
        <v>1</v>
      </c>
      <c r="N89" t="str" cm="1">
        <f t="array" ref="N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" spans="1:14" x14ac:dyDescent="0.2">
      <c r="A90" t="s">
        <v>195</v>
      </c>
      <c r="B90" t="s">
        <v>196</v>
      </c>
      <c r="C90" t="s">
        <v>48</v>
      </c>
      <c r="D90" s="1">
        <v>45870</v>
      </c>
      <c r="E90">
        <v>97.6</v>
      </c>
      <c r="F90" t="s">
        <v>12</v>
      </c>
      <c r="G90" t="s">
        <v>29</v>
      </c>
      <c r="H90" t="s">
        <v>20</v>
      </c>
      <c r="I90" t="s">
        <v>30</v>
      </c>
      <c r="J90" t="str">
        <f>"FY" &amp; IF(MONTH(GiftData[[#This Row],[Gift_Date]])&gt;=7, RIGHT(YEAR(GiftData[[#This Row],[Gift_Date]])+1, 2), RIGHT(YEAR(GiftData[[#This Row],[Gift_Date]]), 2))</f>
        <v>FY26</v>
      </c>
      <c r="K90">
        <f>IF(COUNTIFS(GiftData[Constituent_ID], GiftData[[#This Row],[Constituent_ID]], GiftData[Fiscal_Year], "FY24")&gt;0, 1, 0)</f>
        <v>0</v>
      </c>
      <c r="L90">
        <f>IF(COUNTIFS(GiftData[Constituent_ID], GiftData[[#This Row],[Constituent_ID]], GiftData[Fiscal_Year], "FY25")&gt;0, 1, 0)</f>
        <v>0</v>
      </c>
      <c r="M90">
        <f>IF(COUNTIFS(GiftData[Constituent_ID], GiftData[[#This Row],[Constituent_ID]], GiftData[Fiscal_Year], "FY26")&gt;0, 1, 0)</f>
        <v>1</v>
      </c>
      <c r="N90" t="str" cm="1">
        <f t="array" ref="N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" spans="1:14" x14ac:dyDescent="0.2">
      <c r="A91" t="s">
        <v>197</v>
      </c>
      <c r="B91" t="s">
        <v>55</v>
      </c>
      <c r="C91" t="s">
        <v>18</v>
      </c>
      <c r="D91" s="1">
        <v>46055</v>
      </c>
      <c r="E91">
        <v>52.35</v>
      </c>
      <c r="F91" t="s">
        <v>12</v>
      </c>
      <c r="G91" t="s">
        <v>29</v>
      </c>
      <c r="H91" t="s">
        <v>164</v>
      </c>
      <c r="I91" t="s">
        <v>15</v>
      </c>
      <c r="J91" t="str">
        <f>"FY" &amp; IF(MONTH(GiftData[[#This Row],[Gift_Date]])&gt;=7, RIGHT(YEAR(GiftData[[#This Row],[Gift_Date]])+1, 2), RIGHT(YEAR(GiftData[[#This Row],[Gift_Date]]), 2))</f>
        <v>FY26</v>
      </c>
      <c r="K91">
        <f>IF(COUNTIFS(GiftData[Constituent_ID], GiftData[[#This Row],[Constituent_ID]], GiftData[Fiscal_Year], "FY24")&gt;0, 1, 0)</f>
        <v>1</v>
      </c>
      <c r="L91">
        <f>IF(COUNTIFS(GiftData[Constituent_ID], GiftData[[#This Row],[Constituent_ID]], GiftData[Fiscal_Year], "FY25")&gt;0, 1, 0)</f>
        <v>1</v>
      </c>
      <c r="M91">
        <f>IF(COUNTIFS(GiftData[Constituent_ID], GiftData[[#This Row],[Constituent_ID]], GiftData[Fiscal_Year], "FY26")&gt;0, 1, 0)</f>
        <v>1</v>
      </c>
      <c r="N91" t="str" cm="1">
        <f t="array" ref="N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" spans="1:14" x14ac:dyDescent="0.2">
      <c r="A92" t="s">
        <v>198</v>
      </c>
      <c r="B92" t="s">
        <v>199</v>
      </c>
      <c r="C92" t="s">
        <v>11</v>
      </c>
      <c r="D92" s="1">
        <v>45488</v>
      </c>
      <c r="E92">
        <v>82.7</v>
      </c>
      <c r="F92" t="s">
        <v>59</v>
      </c>
      <c r="G92" t="s">
        <v>13</v>
      </c>
      <c r="H92" t="s">
        <v>51</v>
      </c>
      <c r="I92" t="s">
        <v>30</v>
      </c>
      <c r="J92" t="str">
        <f>"FY" &amp; IF(MONTH(GiftData[[#This Row],[Gift_Date]])&gt;=7, RIGHT(YEAR(GiftData[[#This Row],[Gift_Date]])+1, 2), RIGHT(YEAR(GiftData[[#This Row],[Gift_Date]]), 2))</f>
        <v>FY25</v>
      </c>
      <c r="K92">
        <f>IF(COUNTIFS(GiftData[Constituent_ID], GiftData[[#This Row],[Constituent_ID]], GiftData[Fiscal_Year], "FY24")&gt;0, 1, 0)</f>
        <v>0</v>
      </c>
      <c r="L92">
        <f>IF(COUNTIFS(GiftData[Constituent_ID], GiftData[[#This Row],[Constituent_ID]], GiftData[Fiscal_Year], "FY25")&gt;0, 1, 0)</f>
        <v>1</v>
      </c>
      <c r="M92">
        <f>IF(COUNTIFS(GiftData[Constituent_ID], GiftData[[#This Row],[Constituent_ID]], GiftData[Fiscal_Year], "FY26")&gt;0, 1, 0)</f>
        <v>1</v>
      </c>
      <c r="N92" t="str" cm="1">
        <f t="array" ref="N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" spans="1:14" x14ac:dyDescent="0.2">
      <c r="A93" t="s">
        <v>200</v>
      </c>
      <c r="B93" t="s">
        <v>201</v>
      </c>
      <c r="C93" t="s">
        <v>11</v>
      </c>
      <c r="D93" s="1">
        <v>45567</v>
      </c>
      <c r="E93">
        <v>497.05</v>
      </c>
      <c r="F93" t="s">
        <v>12</v>
      </c>
      <c r="G93" t="s">
        <v>13</v>
      </c>
      <c r="H93" t="s">
        <v>41</v>
      </c>
      <c r="I93" t="s">
        <v>15</v>
      </c>
      <c r="J93" t="str">
        <f>"FY" &amp; IF(MONTH(GiftData[[#This Row],[Gift_Date]])&gt;=7, RIGHT(YEAR(GiftData[[#This Row],[Gift_Date]])+1, 2), RIGHT(YEAR(GiftData[[#This Row],[Gift_Date]]), 2))</f>
        <v>FY25</v>
      </c>
      <c r="K93">
        <f>IF(COUNTIFS(GiftData[Constituent_ID], GiftData[[#This Row],[Constituent_ID]], GiftData[Fiscal_Year], "FY24")&gt;0, 1, 0)</f>
        <v>1</v>
      </c>
      <c r="L93">
        <f>IF(COUNTIFS(GiftData[Constituent_ID], GiftData[[#This Row],[Constituent_ID]], GiftData[Fiscal_Year], "FY25")&gt;0, 1, 0)</f>
        <v>1</v>
      </c>
      <c r="M93">
        <f>IF(COUNTIFS(GiftData[Constituent_ID], GiftData[[#This Row],[Constituent_ID]], GiftData[Fiscal_Year], "FY26")&gt;0, 1, 0)</f>
        <v>0</v>
      </c>
      <c r="N93" t="str" cm="1">
        <f t="array" ref="N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4" spans="1:14" x14ac:dyDescent="0.2">
      <c r="A94" t="s">
        <v>202</v>
      </c>
      <c r="B94" t="s">
        <v>203</v>
      </c>
      <c r="C94" t="s">
        <v>35</v>
      </c>
      <c r="D94" s="1">
        <v>46138</v>
      </c>
      <c r="E94">
        <v>135.01</v>
      </c>
      <c r="F94" t="s">
        <v>12</v>
      </c>
      <c r="G94" t="s">
        <v>13</v>
      </c>
      <c r="H94" t="s">
        <v>20</v>
      </c>
      <c r="I94" t="s">
        <v>56</v>
      </c>
      <c r="J94" t="str">
        <f>"FY" &amp; IF(MONTH(GiftData[[#This Row],[Gift_Date]])&gt;=7, RIGHT(YEAR(GiftData[[#This Row],[Gift_Date]])+1, 2), RIGHT(YEAR(GiftData[[#This Row],[Gift_Date]]), 2))</f>
        <v>FY26</v>
      </c>
      <c r="K94">
        <f>IF(COUNTIFS(GiftData[Constituent_ID], GiftData[[#This Row],[Constituent_ID]], GiftData[Fiscal_Year], "FY24")&gt;0, 1, 0)</f>
        <v>1</v>
      </c>
      <c r="L94">
        <f>IF(COUNTIFS(GiftData[Constituent_ID], GiftData[[#This Row],[Constituent_ID]], GiftData[Fiscal_Year], "FY25")&gt;0, 1, 0)</f>
        <v>0</v>
      </c>
      <c r="M94">
        <f>IF(COUNTIFS(GiftData[Constituent_ID], GiftData[[#This Row],[Constituent_ID]], GiftData[Fiscal_Year], "FY26")&gt;0, 1, 0)</f>
        <v>1</v>
      </c>
      <c r="N94" t="str" cm="1">
        <f t="array" ref="N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" spans="1:14" x14ac:dyDescent="0.2">
      <c r="A95" t="s">
        <v>204</v>
      </c>
      <c r="B95" t="s">
        <v>205</v>
      </c>
      <c r="C95" t="s">
        <v>48</v>
      </c>
      <c r="D95" s="1">
        <v>45136</v>
      </c>
      <c r="E95">
        <v>42.67</v>
      </c>
      <c r="F95" t="s">
        <v>25</v>
      </c>
      <c r="G95" t="s">
        <v>13</v>
      </c>
      <c r="H95" t="s">
        <v>164</v>
      </c>
      <c r="I95" t="s">
        <v>56</v>
      </c>
      <c r="J95" t="str">
        <f>"FY" &amp; IF(MONTH(GiftData[[#This Row],[Gift_Date]])&gt;=7, RIGHT(YEAR(GiftData[[#This Row],[Gift_Date]])+1, 2), RIGHT(YEAR(GiftData[[#This Row],[Gift_Date]]), 2))</f>
        <v>FY24</v>
      </c>
      <c r="K95">
        <f>IF(COUNTIFS(GiftData[Constituent_ID], GiftData[[#This Row],[Constituent_ID]], GiftData[Fiscal_Year], "FY24")&gt;0, 1, 0)</f>
        <v>1</v>
      </c>
      <c r="L95">
        <f>IF(COUNTIFS(GiftData[Constituent_ID], GiftData[[#This Row],[Constituent_ID]], GiftData[Fiscal_Year], "FY25")&gt;0, 1, 0)</f>
        <v>0</v>
      </c>
      <c r="M95">
        <f>IF(COUNTIFS(GiftData[Constituent_ID], GiftData[[#This Row],[Constituent_ID]], GiftData[Fiscal_Year], "FY26")&gt;0, 1, 0)</f>
        <v>0</v>
      </c>
      <c r="N95" t="str" cm="1">
        <f t="array" ref="N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96" spans="1:14" x14ac:dyDescent="0.2">
      <c r="A96" t="s">
        <v>206</v>
      </c>
      <c r="B96" t="s">
        <v>207</v>
      </c>
      <c r="C96" t="s">
        <v>11</v>
      </c>
      <c r="D96" s="1">
        <v>46014</v>
      </c>
      <c r="E96">
        <v>170.9</v>
      </c>
      <c r="F96" t="s">
        <v>59</v>
      </c>
      <c r="G96" t="s">
        <v>29</v>
      </c>
      <c r="H96" t="s">
        <v>14</v>
      </c>
      <c r="I96" t="s">
        <v>30</v>
      </c>
      <c r="J96" t="str">
        <f>"FY" &amp; IF(MONTH(GiftData[[#This Row],[Gift_Date]])&gt;=7, RIGHT(YEAR(GiftData[[#This Row],[Gift_Date]])+1, 2), RIGHT(YEAR(GiftData[[#This Row],[Gift_Date]]), 2))</f>
        <v>FY26</v>
      </c>
      <c r="K96">
        <f>IF(COUNTIFS(GiftData[Constituent_ID], GiftData[[#This Row],[Constituent_ID]], GiftData[Fiscal_Year], "FY24")&gt;0, 1, 0)</f>
        <v>0</v>
      </c>
      <c r="L96">
        <f>IF(COUNTIFS(GiftData[Constituent_ID], GiftData[[#This Row],[Constituent_ID]], GiftData[Fiscal_Year], "FY25")&gt;0, 1, 0)</f>
        <v>0</v>
      </c>
      <c r="M96">
        <f>IF(COUNTIFS(GiftData[Constituent_ID], GiftData[[#This Row],[Constituent_ID]], GiftData[Fiscal_Year], "FY26")&gt;0, 1, 0)</f>
        <v>1</v>
      </c>
      <c r="N96" t="str" cm="1">
        <f t="array" ref="N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" spans="1:14" x14ac:dyDescent="0.2">
      <c r="A97" t="s">
        <v>208</v>
      </c>
      <c r="B97" t="s">
        <v>209</v>
      </c>
      <c r="C97" t="s">
        <v>35</v>
      </c>
      <c r="D97" s="1">
        <v>45986</v>
      </c>
      <c r="E97">
        <v>476.54</v>
      </c>
      <c r="F97" t="s">
        <v>59</v>
      </c>
      <c r="G97" t="s">
        <v>13</v>
      </c>
      <c r="H97" t="s">
        <v>51</v>
      </c>
      <c r="I97" t="s">
        <v>15</v>
      </c>
      <c r="J97" t="str">
        <f>"FY" &amp; IF(MONTH(GiftData[[#This Row],[Gift_Date]])&gt;=7, RIGHT(YEAR(GiftData[[#This Row],[Gift_Date]])+1, 2), RIGHT(YEAR(GiftData[[#This Row],[Gift_Date]]), 2))</f>
        <v>FY26</v>
      </c>
      <c r="K97">
        <f>IF(COUNTIFS(GiftData[Constituent_ID], GiftData[[#This Row],[Constituent_ID]], GiftData[Fiscal_Year], "FY24")&gt;0, 1, 0)</f>
        <v>1</v>
      </c>
      <c r="L97">
        <f>IF(COUNTIFS(GiftData[Constituent_ID], GiftData[[#This Row],[Constituent_ID]], GiftData[Fiscal_Year], "FY25")&gt;0, 1, 0)</f>
        <v>1</v>
      </c>
      <c r="M97">
        <f>IF(COUNTIFS(GiftData[Constituent_ID], GiftData[[#This Row],[Constituent_ID]], GiftData[Fiscal_Year], "FY26")&gt;0, 1, 0)</f>
        <v>1</v>
      </c>
      <c r="N97" t="str" cm="1">
        <f t="array" ref="N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" spans="1:14" x14ac:dyDescent="0.2">
      <c r="A98" t="s">
        <v>210</v>
      </c>
      <c r="B98" t="s">
        <v>45</v>
      </c>
      <c r="C98" t="s">
        <v>11</v>
      </c>
      <c r="D98" s="1">
        <v>45186</v>
      </c>
      <c r="E98">
        <v>58.53</v>
      </c>
      <c r="F98" t="s">
        <v>12</v>
      </c>
      <c r="G98" t="s">
        <v>29</v>
      </c>
      <c r="H98" t="s">
        <v>51</v>
      </c>
      <c r="I98" t="s">
        <v>15</v>
      </c>
      <c r="J98" t="str">
        <f>"FY" &amp; IF(MONTH(GiftData[[#This Row],[Gift_Date]])&gt;=7, RIGHT(YEAR(GiftData[[#This Row],[Gift_Date]])+1, 2), RIGHT(YEAR(GiftData[[#This Row],[Gift_Date]]), 2))</f>
        <v>FY24</v>
      </c>
      <c r="K98">
        <f>IF(COUNTIFS(GiftData[Constituent_ID], GiftData[[#This Row],[Constituent_ID]], GiftData[Fiscal_Year], "FY24")&gt;0, 1, 0)</f>
        <v>1</v>
      </c>
      <c r="L98">
        <f>IF(COUNTIFS(GiftData[Constituent_ID], GiftData[[#This Row],[Constituent_ID]], GiftData[Fiscal_Year], "FY25")&gt;0, 1, 0)</f>
        <v>0</v>
      </c>
      <c r="M98">
        <f>IF(COUNTIFS(GiftData[Constituent_ID], GiftData[[#This Row],[Constituent_ID]], GiftData[Fiscal_Year], "FY26")&gt;0, 1, 0)</f>
        <v>1</v>
      </c>
      <c r="N98" t="str" cm="1">
        <f t="array" ref="N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" spans="1:14" x14ac:dyDescent="0.2">
      <c r="A99" t="s">
        <v>211</v>
      </c>
      <c r="B99" t="s">
        <v>212</v>
      </c>
      <c r="C99" t="s">
        <v>11</v>
      </c>
      <c r="D99" s="1">
        <v>46054</v>
      </c>
      <c r="E99">
        <v>21.6</v>
      </c>
      <c r="F99" t="s">
        <v>59</v>
      </c>
      <c r="G99" t="s">
        <v>13</v>
      </c>
      <c r="H99" t="s">
        <v>51</v>
      </c>
      <c r="I99" t="s">
        <v>38</v>
      </c>
      <c r="J99" t="str">
        <f>"FY" &amp; IF(MONTH(GiftData[[#This Row],[Gift_Date]])&gt;=7, RIGHT(YEAR(GiftData[[#This Row],[Gift_Date]])+1, 2), RIGHT(YEAR(GiftData[[#This Row],[Gift_Date]]), 2))</f>
        <v>FY26</v>
      </c>
      <c r="K99">
        <f>IF(COUNTIFS(GiftData[Constituent_ID], GiftData[[#This Row],[Constituent_ID]], GiftData[Fiscal_Year], "FY24")&gt;0, 1, 0)</f>
        <v>0</v>
      </c>
      <c r="L99">
        <f>IF(COUNTIFS(GiftData[Constituent_ID], GiftData[[#This Row],[Constituent_ID]], GiftData[Fiscal_Year], "FY25")&gt;0, 1, 0)</f>
        <v>0</v>
      </c>
      <c r="M99">
        <f>IF(COUNTIFS(GiftData[Constituent_ID], GiftData[[#This Row],[Constituent_ID]], GiftData[Fiscal_Year], "FY26")&gt;0, 1, 0)</f>
        <v>1</v>
      </c>
      <c r="N99" t="str" cm="1">
        <f t="array" ref="N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" spans="1:14" x14ac:dyDescent="0.2">
      <c r="A100" t="s">
        <v>213</v>
      </c>
      <c r="B100" t="s">
        <v>214</v>
      </c>
      <c r="C100" t="s">
        <v>11</v>
      </c>
      <c r="D100" s="1">
        <v>45566</v>
      </c>
      <c r="E100">
        <v>2096.6</v>
      </c>
      <c r="F100" t="s">
        <v>12</v>
      </c>
      <c r="G100" t="s">
        <v>29</v>
      </c>
      <c r="H100" t="s">
        <v>41</v>
      </c>
      <c r="I100" t="s">
        <v>15</v>
      </c>
      <c r="J100" t="str">
        <f>"FY" &amp; IF(MONTH(GiftData[[#This Row],[Gift_Date]])&gt;=7, RIGHT(YEAR(GiftData[[#This Row],[Gift_Date]])+1, 2), RIGHT(YEAR(GiftData[[#This Row],[Gift_Date]]), 2))</f>
        <v>FY25</v>
      </c>
      <c r="K100">
        <f>IF(COUNTIFS(GiftData[Constituent_ID], GiftData[[#This Row],[Constituent_ID]], GiftData[Fiscal_Year], "FY24")&gt;0, 1, 0)</f>
        <v>0</v>
      </c>
      <c r="L100">
        <f>IF(COUNTIFS(GiftData[Constituent_ID], GiftData[[#This Row],[Constituent_ID]], GiftData[Fiscal_Year], "FY25")&gt;0, 1, 0)</f>
        <v>1</v>
      </c>
      <c r="M100">
        <f>IF(COUNTIFS(GiftData[Constituent_ID], GiftData[[#This Row],[Constituent_ID]], GiftData[Fiscal_Year], "FY26")&gt;0, 1, 0)</f>
        <v>1</v>
      </c>
      <c r="N100" t="str" cm="1">
        <f t="array" ref="N1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" spans="1:14" x14ac:dyDescent="0.2">
      <c r="A101" t="s">
        <v>215</v>
      </c>
      <c r="B101" t="s">
        <v>216</v>
      </c>
      <c r="C101" t="s">
        <v>18</v>
      </c>
      <c r="D101" s="1">
        <v>45677</v>
      </c>
      <c r="E101">
        <v>20.25</v>
      </c>
      <c r="F101" t="s">
        <v>12</v>
      </c>
      <c r="G101" t="s">
        <v>29</v>
      </c>
      <c r="H101" t="s">
        <v>20</v>
      </c>
      <c r="I101" t="s">
        <v>15</v>
      </c>
      <c r="J101" t="str">
        <f>"FY" &amp; IF(MONTH(GiftData[[#This Row],[Gift_Date]])&gt;=7, RIGHT(YEAR(GiftData[[#This Row],[Gift_Date]])+1, 2), RIGHT(YEAR(GiftData[[#This Row],[Gift_Date]]), 2))</f>
        <v>FY25</v>
      </c>
      <c r="K101">
        <f>IF(COUNTIFS(GiftData[Constituent_ID], GiftData[[#This Row],[Constituent_ID]], GiftData[Fiscal_Year], "FY24")&gt;0, 1, 0)</f>
        <v>0</v>
      </c>
      <c r="L101">
        <f>IF(COUNTIFS(GiftData[Constituent_ID], GiftData[[#This Row],[Constituent_ID]], GiftData[Fiscal_Year], "FY25")&gt;0, 1, 0)</f>
        <v>1</v>
      </c>
      <c r="M101">
        <f>IF(COUNTIFS(GiftData[Constituent_ID], GiftData[[#This Row],[Constituent_ID]], GiftData[Fiscal_Year], "FY26")&gt;0, 1, 0)</f>
        <v>0</v>
      </c>
      <c r="N101" t="str" cm="1">
        <f t="array" ref="N1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2" spans="1:14" x14ac:dyDescent="0.2">
      <c r="A102" t="s">
        <v>217</v>
      </c>
      <c r="B102" t="s">
        <v>218</v>
      </c>
      <c r="C102" t="s">
        <v>11</v>
      </c>
      <c r="D102" s="1">
        <v>45845</v>
      </c>
      <c r="E102">
        <v>76.19</v>
      </c>
      <c r="F102" t="s">
        <v>25</v>
      </c>
      <c r="G102" t="s">
        <v>13</v>
      </c>
      <c r="H102" t="s">
        <v>20</v>
      </c>
      <c r="I102" t="s">
        <v>15</v>
      </c>
      <c r="J102" t="str">
        <f>"FY" &amp; IF(MONTH(GiftData[[#This Row],[Gift_Date]])&gt;=7, RIGHT(YEAR(GiftData[[#This Row],[Gift_Date]])+1, 2), RIGHT(YEAR(GiftData[[#This Row],[Gift_Date]]), 2))</f>
        <v>FY26</v>
      </c>
      <c r="K102">
        <f>IF(COUNTIFS(GiftData[Constituent_ID], GiftData[[#This Row],[Constituent_ID]], GiftData[Fiscal_Year], "FY24")&gt;0, 1, 0)</f>
        <v>1</v>
      </c>
      <c r="L102">
        <f>IF(COUNTIFS(GiftData[Constituent_ID], GiftData[[#This Row],[Constituent_ID]], GiftData[Fiscal_Year], "FY25")&gt;0, 1, 0)</f>
        <v>0</v>
      </c>
      <c r="M102">
        <f>IF(COUNTIFS(GiftData[Constituent_ID], GiftData[[#This Row],[Constituent_ID]], GiftData[Fiscal_Year], "FY26")&gt;0, 1, 0)</f>
        <v>1</v>
      </c>
      <c r="N102" t="str" cm="1">
        <f t="array" ref="N1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" spans="1:14" x14ac:dyDescent="0.2">
      <c r="A103" t="s">
        <v>219</v>
      </c>
      <c r="B103" t="s">
        <v>220</v>
      </c>
      <c r="C103" t="s">
        <v>28</v>
      </c>
      <c r="D103" s="1">
        <v>45623</v>
      </c>
      <c r="E103">
        <v>164.31</v>
      </c>
      <c r="F103" t="s">
        <v>12</v>
      </c>
      <c r="G103" t="s">
        <v>13</v>
      </c>
      <c r="H103" t="s">
        <v>20</v>
      </c>
      <c r="I103" t="s">
        <v>15</v>
      </c>
      <c r="J103" t="str">
        <f>"FY" &amp; IF(MONTH(GiftData[[#This Row],[Gift_Date]])&gt;=7, RIGHT(YEAR(GiftData[[#This Row],[Gift_Date]])+1, 2), RIGHT(YEAR(GiftData[[#This Row],[Gift_Date]]), 2))</f>
        <v>FY25</v>
      </c>
      <c r="K103">
        <f>IF(COUNTIFS(GiftData[Constituent_ID], GiftData[[#This Row],[Constituent_ID]], GiftData[Fiscal_Year], "FY24")&gt;0, 1, 0)</f>
        <v>1</v>
      </c>
      <c r="L103">
        <f>IF(COUNTIFS(GiftData[Constituent_ID], GiftData[[#This Row],[Constituent_ID]], GiftData[Fiscal_Year], "FY25")&gt;0, 1, 0)</f>
        <v>1</v>
      </c>
      <c r="M103">
        <f>IF(COUNTIFS(GiftData[Constituent_ID], GiftData[[#This Row],[Constituent_ID]], GiftData[Fiscal_Year], "FY26")&gt;0, 1, 0)</f>
        <v>1</v>
      </c>
      <c r="N103" t="str" cm="1">
        <f t="array" ref="N1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" spans="1:14" x14ac:dyDescent="0.2">
      <c r="A104" t="s">
        <v>221</v>
      </c>
      <c r="B104" t="s">
        <v>222</v>
      </c>
      <c r="C104" t="s">
        <v>18</v>
      </c>
      <c r="D104" s="1">
        <v>45504</v>
      </c>
      <c r="E104">
        <v>85.27</v>
      </c>
      <c r="F104" t="s">
        <v>12</v>
      </c>
      <c r="G104" t="s">
        <v>13</v>
      </c>
      <c r="H104" t="s">
        <v>20</v>
      </c>
      <c r="I104" t="s">
        <v>15</v>
      </c>
      <c r="J104" t="str">
        <f>"FY" &amp; IF(MONTH(GiftData[[#This Row],[Gift_Date]])&gt;=7, RIGHT(YEAR(GiftData[[#This Row],[Gift_Date]])+1, 2), RIGHT(YEAR(GiftData[[#This Row],[Gift_Date]]), 2))</f>
        <v>FY25</v>
      </c>
      <c r="K104">
        <f>IF(COUNTIFS(GiftData[Constituent_ID], GiftData[[#This Row],[Constituent_ID]], GiftData[Fiscal_Year], "FY24")&gt;0, 1, 0)</f>
        <v>0</v>
      </c>
      <c r="L104">
        <f>IF(COUNTIFS(GiftData[Constituent_ID], GiftData[[#This Row],[Constituent_ID]], GiftData[Fiscal_Year], "FY25")&gt;0, 1, 0)</f>
        <v>1</v>
      </c>
      <c r="M104">
        <f>IF(COUNTIFS(GiftData[Constituent_ID], GiftData[[#This Row],[Constituent_ID]], GiftData[Fiscal_Year], "FY26")&gt;0, 1, 0)</f>
        <v>1</v>
      </c>
      <c r="N104" t="str" cm="1">
        <f t="array" ref="N1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" spans="1:14" x14ac:dyDescent="0.2">
      <c r="A105" t="s">
        <v>223</v>
      </c>
      <c r="B105" t="s">
        <v>148</v>
      </c>
      <c r="C105" t="s">
        <v>48</v>
      </c>
      <c r="D105" s="1">
        <v>45146</v>
      </c>
      <c r="E105">
        <v>110.24</v>
      </c>
      <c r="F105" t="s">
        <v>25</v>
      </c>
      <c r="G105" t="s">
        <v>29</v>
      </c>
      <c r="H105" t="s">
        <v>14</v>
      </c>
      <c r="I105" t="s">
        <v>15</v>
      </c>
      <c r="J105" t="str">
        <f>"FY" &amp; IF(MONTH(GiftData[[#This Row],[Gift_Date]])&gt;=7, RIGHT(YEAR(GiftData[[#This Row],[Gift_Date]])+1, 2), RIGHT(YEAR(GiftData[[#This Row],[Gift_Date]]), 2))</f>
        <v>FY24</v>
      </c>
      <c r="K105">
        <f>IF(COUNTIFS(GiftData[Constituent_ID], GiftData[[#This Row],[Constituent_ID]], GiftData[Fiscal_Year], "FY24")&gt;0, 1, 0)</f>
        <v>1</v>
      </c>
      <c r="L105">
        <f>IF(COUNTIFS(GiftData[Constituent_ID], GiftData[[#This Row],[Constituent_ID]], GiftData[Fiscal_Year], "FY25")&gt;0, 1, 0)</f>
        <v>1</v>
      </c>
      <c r="M105">
        <f>IF(COUNTIFS(GiftData[Constituent_ID], GiftData[[#This Row],[Constituent_ID]], GiftData[Fiscal_Year], "FY26")&gt;0, 1, 0)</f>
        <v>1</v>
      </c>
      <c r="N105" t="str" cm="1">
        <f t="array" ref="N1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" spans="1:14" x14ac:dyDescent="0.2">
      <c r="A106" t="s">
        <v>224</v>
      </c>
      <c r="B106" t="s">
        <v>55</v>
      </c>
      <c r="C106" t="s">
        <v>18</v>
      </c>
      <c r="D106" s="1">
        <v>45994</v>
      </c>
      <c r="E106">
        <v>257.20999999999998</v>
      </c>
      <c r="F106" t="s">
        <v>12</v>
      </c>
      <c r="G106" t="s">
        <v>29</v>
      </c>
      <c r="H106" t="s">
        <v>41</v>
      </c>
      <c r="I106" t="s">
        <v>15</v>
      </c>
      <c r="J106" t="str">
        <f>"FY" &amp; IF(MONTH(GiftData[[#This Row],[Gift_Date]])&gt;=7, RIGHT(YEAR(GiftData[[#This Row],[Gift_Date]])+1, 2), RIGHT(YEAR(GiftData[[#This Row],[Gift_Date]]), 2))</f>
        <v>FY26</v>
      </c>
      <c r="K106">
        <f>IF(COUNTIFS(GiftData[Constituent_ID], GiftData[[#This Row],[Constituent_ID]], GiftData[Fiscal_Year], "FY24")&gt;0, 1, 0)</f>
        <v>1</v>
      </c>
      <c r="L106">
        <f>IF(COUNTIFS(GiftData[Constituent_ID], GiftData[[#This Row],[Constituent_ID]], GiftData[Fiscal_Year], "FY25")&gt;0, 1, 0)</f>
        <v>1</v>
      </c>
      <c r="M106">
        <f>IF(COUNTIFS(GiftData[Constituent_ID], GiftData[[#This Row],[Constituent_ID]], GiftData[Fiscal_Year], "FY26")&gt;0, 1, 0)</f>
        <v>1</v>
      </c>
      <c r="N106" t="str" cm="1">
        <f t="array" ref="N1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" spans="1:14" x14ac:dyDescent="0.2">
      <c r="A107" t="s">
        <v>225</v>
      </c>
      <c r="B107" t="s">
        <v>226</v>
      </c>
      <c r="C107" t="s">
        <v>18</v>
      </c>
      <c r="D107" s="1">
        <v>45904</v>
      </c>
      <c r="E107">
        <v>15</v>
      </c>
      <c r="F107" t="s">
        <v>12</v>
      </c>
      <c r="G107" t="s">
        <v>13</v>
      </c>
      <c r="H107" t="s">
        <v>51</v>
      </c>
      <c r="I107" t="s">
        <v>15</v>
      </c>
      <c r="J107" t="str">
        <f>"FY" &amp; IF(MONTH(GiftData[[#This Row],[Gift_Date]])&gt;=7, RIGHT(YEAR(GiftData[[#This Row],[Gift_Date]])+1, 2), RIGHT(YEAR(GiftData[[#This Row],[Gift_Date]]), 2))</f>
        <v>FY26</v>
      </c>
      <c r="K107">
        <f>IF(COUNTIFS(GiftData[Constituent_ID], GiftData[[#This Row],[Constituent_ID]], GiftData[Fiscal_Year], "FY24")&gt;0, 1, 0)</f>
        <v>1</v>
      </c>
      <c r="L107">
        <f>IF(COUNTIFS(GiftData[Constituent_ID], GiftData[[#This Row],[Constituent_ID]], GiftData[Fiscal_Year], "FY25")&gt;0, 1, 0)</f>
        <v>1</v>
      </c>
      <c r="M107">
        <f>IF(COUNTIFS(GiftData[Constituent_ID], GiftData[[#This Row],[Constituent_ID]], GiftData[Fiscal_Year], "FY26")&gt;0, 1, 0)</f>
        <v>1</v>
      </c>
      <c r="N107" t="str" cm="1">
        <f t="array" ref="N1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" spans="1:14" x14ac:dyDescent="0.2">
      <c r="A108" t="s">
        <v>227</v>
      </c>
      <c r="B108" t="s">
        <v>228</v>
      </c>
      <c r="C108" t="s">
        <v>11</v>
      </c>
      <c r="D108" s="1">
        <v>45264</v>
      </c>
      <c r="E108">
        <v>23.41</v>
      </c>
      <c r="F108" t="s">
        <v>12</v>
      </c>
      <c r="G108" t="s">
        <v>13</v>
      </c>
      <c r="H108" t="s">
        <v>20</v>
      </c>
      <c r="I108" t="s">
        <v>38</v>
      </c>
      <c r="J108" t="str">
        <f>"FY" &amp; IF(MONTH(GiftData[[#This Row],[Gift_Date]])&gt;=7, RIGHT(YEAR(GiftData[[#This Row],[Gift_Date]])+1, 2), RIGHT(YEAR(GiftData[[#This Row],[Gift_Date]]), 2))</f>
        <v>FY24</v>
      </c>
      <c r="K108">
        <f>IF(COUNTIFS(GiftData[Constituent_ID], GiftData[[#This Row],[Constituent_ID]], GiftData[Fiscal_Year], "FY24")&gt;0, 1, 0)</f>
        <v>1</v>
      </c>
      <c r="L108">
        <f>IF(COUNTIFS(GiftData[Constituent_ID], GiftData[[#This Row],[Constituent_ID]], GiftData[Fiscal_Year], "FY25")&gt;0, 1, 0)</f>
        <v>1</v>
      </c>
      <c r="M108">
        <f>IF(COUNTIFS(GiftData[Constituent_ID], GiftData[[#This Row],[Constituent_ID]], GiftData[Fiscal_Year], "FY26")&gt;0, 1, 0)</f>
        <v>1</v>
      </c>
      <c r="N108" t="str" cm="1">
        <f t="array" ref="N1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" spans="1:14" x14ac:dyDescent="0.2">
      <c r="A109" t="s">
        <v>229</v>
      </c>
      <c r="B109" t="s">
        <v>230</v>
      </c>
      <c r="C109" t="s">
        <v>28</v>
      </c>
      <c r="D109" s="1">
        <v>45991</v>
      </c>
      <c r="E109">
        <v>128.71</v>
      </c>
      <c r="F109" t="s">
        <v>12</v>
      </c>
      <c r="G109" t="s">
        <v>13</v>
      </c>
      <c r="H109" t="s">
        <v>14</v>
      </c>
      <c r="I109" t="s">
        <v>15</v>
      </c>
      <c r="J109" t="str">
        <f>"FY" &amp; IF(MONTH(GiftData[[#This Row],[Gift_Date]])&gt;=7, RIGHT(YEAR(GiftData[[#This Row],[Gift_Date]])+1, 2), RIGHT(YEAR(GiftData[[#This Row],[Gift_Date]]), 2))</f>
        <v>FY26</v>
      </c>
      <c r="K109">
        <f>IF(COUNTIFS(GiftData[Constituent_ID], GiftData[[#This Row],[Constituent_ID]], GiftData[Fiscal_Year], "FY24")&gt;0, 1, 0)</f>
        <v>1</v>
      </c>
      <c r="L109">
        <f>IF(COUNTIFS(GiftData[Constituent_ID], GiftData[[#This Row],[Constituent_ID]], GiftData[Fiscal_Year], "FY25")&gt;0, 1, 0)</f>
        <v>1</v>
      </c>
      <c r="M109">
        <f>IF(COUNTIFS(GiftData[Constituent_ID], GiftData[[#This Row],[Constituent_ID]], GiftData[Fiscal_Year], "FY26")&gt;0, 1, 0)</f>
        <v>1</v>
      </c>
      <c r="N109" t="str" cm="1">
        <f t="array" ref="N1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" spans="1:14" x14ac:dyDescent="0.2">
      <c r="A110" t="s">
        <v>231</v>
      </c>
      <c r="B110" t="s">
        <v>154</v>
      </c>
      <c r="C110" t="s">
        <v>18</v>
      </c>
      <c r="D110" s="1">
        <v>46081</v>
      </c>
      <c r="E110">
        <v>71.849999999999994</v>
      </c>
      <c r="F110" t="s">
        <v>12</v>
      </c>
      <c r="G110" t="s">
        <v>29</v>
      </c>
      <c r="H110" t="s">
        <v>20</v>
      </c>
      <c r="I110" t="s">
        <v>15</v>
      </c>
      <c r="J110" t="str">
        <f>"FY" &amp; IF(MONTH(GiftData[[#This Row],[Gift_Date]])&gt;=7, RIGHT(YEAR(GiftData[[#This Row],[Gift_Date]])+1, 2), RIGHT(YEAR(GiftData[[#This Row],[Gift_Date]]), 2))</f>
        <v>FY26</v>
      </c>
      <c r="K110">
        <f>IF(COUNTIFS(GiftData[Constituent_ID], GiftData[[#This Row],[Constituent_ID]], GiftData[Fiscal_Year], "FY24")&gt;0, 1, 0)</f>
        <v>0</v>
      </c>
      <c r="L110">
        <f>IF(COUNTIFS(GiftData[Constituent_ID], GiftData[[#This Row],[Constituent_ID]], GiftData[Fiscal_Year], "FY25")&gt;0, 1, 0)</f>
        <v>0</v>
      </c>
      <c r="M110">
        <f>IF(COUNTIFS(GiftData[Constituent_ID], GiftData[[#This Row],[Constituent_ID]], GiftData[Fiscal_Year], "FY26")&gt;0, 1, 0)</f>
        <v>1</v>
      </c>
      <c r="N110" t="str" cm="1">
        <f t="array" ref="N1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" spans="1:14" x14ac:dyDescent="0.2">
      <c r="A111" t="s">
        <v>232</v>
      </c>
      <c r="B111" t="s">
        <v>218</v>
      </c>
      <c r="C111" t="s">
        <v>11</v>
      </c>
      <c r="D111" s="1">
        <v>46153</v>
      </c>
      <c r="E111">
        <v>143.77000000000001</v>
      </c>
      <c r="F111" t="s">
        <v>25</v>
      </c>
      <c r="G111" t="s">
        <v>13</v>
      </c>
      <c r="H111" t="s">
        <v>20</v>
      </c>
      <c r="I111" t="s">
        <v>56</v>
      </c>
      <c r="J111" t="str">
        <f>"FY" &amp; IF(MONTH(GiftData[[#This Row],[Gift_Date]])&gt;=7, RIGHT(YEAR(GiftData[[#This Row],[Gift_Date]])+1, 2), RIGHT(YEAR(GiftData[[#This Row],[Gift_Date]]), 2))</f>
        <v>FY26</v>
      </c>
      <c r="K111">
        <f>IF(COUNTIFS(GiftData[Constituent_ID], GiftData[[#This Row],[Constituent_ID]], GiftData[Fiscal_Year], "FY24")&gt;0, 1, 0)</f>
        <v>1</v>
      </c>
      <c r="L111">
        <f>IF(COUNTIFS(GiftData[Constituent_ID], GiftData[[#This Row],[Constituent_ID]], GiftData[Fiscal_Year], "FY25")&gt;0, 1, 0)</f>
        <v>0</v>
      </c>
      <c r="M111">
        <f>IF(COUNTIFS(GiftData[Constituent_ID], GiftData[[#This Row],[Constituent_ID]], GiftData[Fiscal_Year], "FY26")&gt;0, 1, 0)</f>
        <v>1</v>
      </c>
      <c r="N111" t="str" cm="1">
        <f t="array" ref="N1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" spans="1:14" x14ac:dyDescent="0.2">
      <c r="A112" t="s">
        <v>233</v>
      </c>
      <c r="B112" t="s">
        <v>234</v>
      </c>
      <c r="C112" t="s">
        <v>48</v>
      </c>
      <c r="D112" s="1">
        <v>45956</v>
      </c>
      <c r="E112">
        <v>163.36000000000001</v>
      </c>
      <c r="F112" t="s">
        <v>25</v>
      </c>
      <c r="G112" t="s">
        <v>13</v>
      </c>
      <c r="H112" t="s">
        <v>20</v>
      </c>
      <c r="I112" t="s">
        <v>30</v>
      </c>
      <c r="J112" t="str">
        <f>"FY" &amp; IF(MONTH(GiftData[[#This Row],[Gift_Date]])&gt;=7, RIGHT(YEAR(GiftData[[#This Row],[Gift_Date]])+1, 2), RIGHT(YEAR(GiftData[[#This Row],[Gift_Date]]), 2))</f>
        <v>FY26</v>
      </c>
      <c r="K112">
        <f>IF(COUNTIFS(GiftData[Constituent_ID], GiftData[[#This Row],[Constituent_ID]], GiftData[Fiscal_Year], "FY24")&gt;0, 1, 0)</f>
        <v>0</v>
      </c>
      <c r="L112">
        <f>IF(COUNTIFS(GiftData[Constituent_ID], GiftData[[#This Row],[Constituent_ID]], GiftData[Fiscal_Year], "FY25")&gt;0, 1, 0)</f>
        <v>1</v>
      </c>
      <c r="M112">
        <f>IF(COUNTIFS(GiftData[Constituent_ID], GiftData[[#This Row],[Constituent_ID]], GiftData[Fiscal_Year], "FY26")&gt;0, 1, 0)</f>
        <v>1</v>
      </c>
      <c r="N112" t="str" cm="1">
        <f t="array" ref="N1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" spans="1:14" x14ac:dyDescent="0.2">
      <c r="A113" t="s">
        <v>235</v>
      </c>
      <c r="B113" t="s">
        <v>236</v>
      </c>
      <c r="C113" t="s">
        <v>11</v>
      </c>
      <c r="D113" s="1">
        <v>45855</v>
      </c>
      <c r="E113">
        <v>15</v>
      </c>
      <c r="F113" t="s">
        <v>12</v>
      </c>
      <c r="G113" t="s">
        <v>13</v>
      </c>
      <c r="H113" t="s">
        <v>41</v>
      </c>
      <c r="I113" t="s">
        <v>30</v>
      </c>
      <c r="J113" t="str">
        <f>"FY" &amp; IF(MONTH(GiftData[[#This Row],[Gift_Date]])&gt;=7, RIGHT(YEAR(GiftData[[#This Row],[Gift_Date]])+1, 2), RIGHT(YEAR(GiftData[[#This Row],[Gift_Date]]), 2))</f>
        <v>FY26</v>
      </c>
      <c r="K113">
        <f>IF(COUNTIFS(GiftData[Constituent_ID], GiftData[[#This Row],[Constituent_ID]], GiftData[Fiscal_Year], "FY24")&gt;0, 1, 0)</f>
        <v>1</v>
      </c>
      <c r="L113">
        <f>IF(COUNTIFS(GiftData[Constituent_ID], GiftData[[#This Row],[Constituent_ID]], GiftData[Fiscal_Year], "FY25")&gt;0, 1, 0)</f>
        <v>1</v>
      </c>
      <c r="M113">
        <f>IF(COUNTIFS(GiftData[Constituent_ID], GiftData[[#This Row],[Constituent_ID]], GiftData[Fiscal_Year], "FY26")&gt;0, 1, 0)</f>
        <v>1</v>
      </c>
      <c r="N113" t="str" cm="1">
        <f t="array" ref="N1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" spans="1:14" x14ac:dyDescent="0.2">
      <c r="A114" t="s">
        <v>237</v>
      </c>
      <c r="B114" t="s">
        <v>238</v>
      </c>
      <c r="C114" t="s">
        <v>11</v>
      </c>
      <c r="D114" s="1">
        <v>46096</v>
      </c>
      <c r="E114">
        <v>636.34</v>
      </c>
      <c r="F114" t="s">
        <v>59</v>
      </c>
      <c r="G114" t="s">
        <v>13</v>
      </c>
      <c r="H114" t="s">
        <v>20</v>
      </c>
      <c r="I114" t="s">
        <v>56</v>
      </c>
      <c r="J114" t="str">
        <f>"FY" &amp; IF(MONTH(GiftData[[#This Row],[Gift_Date]])&gt;=7, RIGHT(YEAR(GiftData[[#This Row],[Gift_Date]])+1, 2), RIGHT(YEAR(GiftData[[#This Row],[Gift_Date]]), 2))</f>
        <v>FY26</v>
      </c>
      <c r="K114">
        <f>IF(COUNTIFS(GiftData[Constituent_ID], GiftData[[#This Row],[Constituent_ID]], GiftData[Fiscal_Year], "FY24")&gt;0, 1, 0)</f>
        <v>1</v>
      </c>
      <c r="L114">
        <f>IF(COUNTIFS(GiftData[Constituent_ID], GiftData[[#This Row],[Constituent_ID]], GiftData[Fiscal_Year], "FY25")&gt;0, 1, 0)</f>
        <v>1</v>
      </c>
      <c r="M114">
        <f>IF(COUNTIFS(GiftData[Constituent_ID], GiftData[[#This Row],[Constituent_ID]], GiftData[Fiscal_Year], "FY26")&gt;0, 1, 0)</f>
        <v>1</v>
      </c>
      <c r="N114" t="str" cm="1">
        <f t="array" ref="N1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" spans="1:14" x14ac:dyDescent="0.2">
      <c r="A115" t="s">
        <v>239</v>
      </c>
      <c r="B115" t="s">
        <v>240</v>
      </c>
      <c r="C115" t="s">
        <v>35</v>
      </c>
      <c r="D115" s="1">
        <v>45128</v>
      </c>
      <c r="E115">
        <v>63.58</v>
      </c>
      <c r="F115" t="s">
        <v>12</v>
      </c>
      <c r="G115" t="s">
        <v>13</v>
      </c>
      <c r="H115" t="s">
        <v>41</v>
      </c>
      <c r="I115" t="s">
        <v>15</v>
      </c>
      <c r="J115" t="str">
        <f>"FY" &amp; IF(MONTH(GiftData[[#This Row],[Gift_Date]])&gt;=7, RIGHT(YEAR(GiftData[[#This Row],[Gift_Date]])+1, 2), RIGHT(YEAR(GiftData[[#This Row],[Gift_Date]]), 2))</f>
        <v>FY24</v>
      </c>
      <c r="K115">
        <f>IF(COUNTIFS(GiftData[Constituent_ID], GiftData[[#This Row],[Constituent_ID]], GiftData[Fiscal_Year], "FY24")&gt;0, 1, 0)</f>
        <v>1</v>
      </c>
      <c r="L115">
        <f>IF(COUNTIFS(GiftData[Constituent_ID], GiftData[[#This Row],[Constituent_ID]], GiftData[Fiscal_Year], "FY25")&gt;0, 1, 0)</f>
        <v>0</v>
      </c>
      <c r="M115">
        <f>IF(COUNTIFS(GiftData[Constituent_ID], GiftData[[#This Row],[Constituent_ID]], GiftData[Fiscal_Year], "FY26")&gt;0, 1, 0)</f>
        <v>1</v>
      </c>
      <c r="N115" t="str" cm="1">
        <f t="array" ref="N1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" spans="1:14" x14ac:dyDescent="0.2">
      <c r="A116" t="s">
        <v>241</v>
      </c>
      <c r="B116" t="s">
        <v>242</v>
      </c>
      <c r="C116" t="s">
        <v>18</v>
      </c>
      <c r="D116" s="1">
        <v>45410</v>
      </c>
      <c r="E116">
        <v>39.44</v>
      </c>
      <c r="F116" t="s">
        <v>12</v>
      </c>
      <c r="G116" t="s">
        <v>13</v>
      </c>
      <c r="H116" t="s">
        <v>20</v>
      </c>
      <c r="I116" t="s">
        <v>38</v>
      </c>
      <c r="J116" t="str">
        <f>"FY" &amp; IF(MONTH(GiftData[[#This Row],[Gift_Date]])&gt;=7, RIGHT(YEAR(GiftData[[#This Row],[Gift_Date]])+1, 2), RIGHT(YEAR(GiftData[[#This Row],[Gift_Date]]), 2))</f>
        <v>FY24</v>
      </c>
      <c r="K116">
        <f>IF(COUNTIFS(GiftData[Constituent_ID], GiftData[[#This Row],[Constituent_ID]], GiftData[Fiscal_Year], "FY24")&gt;0, 1, 0)</f>
        <v>1</v>
      </c>
      <c r="L116">
        <f>IF(COUNTIFS(GiftData[Constituent_ID], GiftData[[#This Row],[Constituent_ID]], GiftData[Fiscal_Year], "FY25")&gt;0, 1, 0)</f>
        <v>1</v>
      </c>
      <c r="M116">
        <f>IF(COUNTIFS(GiftData[Constituent_ID], GiftData[[#This Row],[Constituent_ID]], GiftData[Fiscal_Year], "FY26")&gt;0, 1, 0)</f>
        <v>1</v>
      </c>
      <c r="N116" t="str" cm="1">
        <f t="array" ref="N1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" spans="1:14" x14ac:dyDescent="0.2">
      <c r="A117" t="s">
        <v>243</v>
      </c>
      <c r="B117" t="s">
        <v>244</v>
      </c>
      <c r="C117" t="s">
        <v>11</v>
      </c>
      <c r="D117" s="1">
        <v>45976</v>
      </c>
      <c r="E117">
        <v>159.31</v>
      </c>
      <c r="F117" t="s">
        <v>59</v>
      </c>
      <c r="G117" t="s">
        <v>13</v>
      </c>
      <c r="H117" t="s">
        <v>51</v>
      </c>
      <c r="I117" t="s">
        <v>15</v>
      </c>
      <c r="J117" t="str">
        <f>"FY" &amp; IF(MONTH(GiftData[[#This Row],[Gift_Date]])&gt;=7, RIGHT(YEAR(GiftData[[#This Row],[Gift_Date]])+1, 2), RIGHT(YEAR(GiftData[[#This Row],[Gift_Date]]), 2))</f>
        <v>FY26</v>
      </c>
      <c r="K117">
        <f>IF(COUNTIFS(GiftData[Constituent_ID], GiftData[[#This Row],[Constituent_ID]], GiftData[Fiscal_Year], "FY24")&gt;0, 1, 0)</f>
        <v>0</v>
      </c>
      <c r="L117">
        <f>IF(COUNTIFS(GiftData[Constituent_ID], GiftData[[#This Row],[Constituent_ID]], GiftData[Fiscal_Year], "FY25")&gt;0, 1, 0)</f>
        <v>1</v>
      </c>
      <c r="M117">
        <f>IF(COUNTIFS(GiftData[Constituent_ID], GiftData[[#This Row],[Constituent_ID]], GiftData[Fiscal_Year], "FY26")&gt;0, 1, 0)</f>
        <v>1</v>
      </c>
      <c r="N117" t="str" cm="1">
        <f t="array" ref="N1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" spans="1:14" x14ac:dyDescent="0.2">
      <c r="A118" t="s">
        <v>245</v>
      </c>
      <c r="B118" t="s">
        <v>246</v>
      </c>
      <c r="C118" t="s">
        <v>11</v>
      </c>
      <c r="D118" s="1">
        <v>45191</v>
      </c>
      <c r="E118">
        <v>139.66999999999999</v>
      </c>
      <c r="F118" t="s">
        <v>12</v>
      </c>
      <c r="G118" t="s">
        <v>13</v>
      </c>
      <c r="H118" t="s">
        <v>51</v>
      </c>
      <c r="I118" t="s">
        <v>38</v>
      </c>
      <c r="J118" t="str">
        <f>"FY" &amp; IF(MONTH(GiftData[[#This Row],[Gift_Date]])&gt;=7, RIGHT(YEAR(GiftData[[#This Row],[Gift_Date]])+1, 2), RIGHT(YEAR(GiftData[[#This Row],[Gift_Date]]), 2))</f>
        <v>FY24</v>
      </c>
      <c r="K118">
        <f>IF(COUNTIFS(GiftData[Constituent_ID], GiftData[[#This Row],[Constituent_ID]], GiftData[Fiscal_Year], "FY24")&gt;0, 1, 0)</f>
        <v>1</v>
      </c>
      <c r="L118">
        <f>IF(COUNTIFS(GiftData[Constituent_ID], GiftData[[#This Row],[Constituent_ID]], GiftData[Fiscal_Year], "FY25")&gt;0, 1, 0)</f>
        <v>1</v>
      </c>
      <c r="M118">
        <f>IF(COUNTIFS(GiftData[Constituent_ID], GiftData[[#This Row],[Constituent_ID]], GiftData[Fiscal_Year], "FY26")&gt;0, 1, 0)</f>
        <v>1</v>
      </c>
      <c r="N118" t="str" cm="1">
        <f t="array" ref="N1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" spans="1:14" x14ac:dyDescent="0.2">
      <c r="A119" t="s">
        <v>247</v>
      </c>
      <c r="B119" t="s">
        <v>209</v>
      </c>
      <c r="C119" t="s">
        <v>11</v>
      </c>
      <c r="D119" s="1">
        <v>45677</v>
      </c>
      <c r="E119">
        <v>575.76</v>
      </c>
      <c r="F119" t="s">
        <v>19</v>
      </c>
      <c r="G119" t="s">
        <v>13</v>
      </c>
      <c r="H119" t="s">
        <v>164</v>
      </c>
      <c r="I119" t="s">
        <v>15</v>
      </c>
      <c r="J119" t="str">
        <f>"FY" &amp; IF(MONTH(GiftData[[#This Row],[Gift_Date]])&gt;=7, RIGHT(YEAR(GiftData[[#This Row],[Gift_Date]])+1, 2), RIGHT(YEAR(GiftData[[#This Row],[Gift_Date]]), 2))</f>
        <v>FY25</v>
      </c>
      <c r="K119">
        <f>IF(COUNTIFS(GiftData[Constituent_ID], GiftData[[#This Row],[Constituent_ID]], GiftData[Fiscal_Year], "FY24")&gt;0, 1, 0)</f>
        <v>1</v>
      </c>
      <c r="L119">
        <f>IF(COUNTIFS(GiftData[Constituent_ID], GiftData[[#This Row],[Constituent_ID]], GiftData[Fiscal_Year], "FY25")&gt;0, 1, 0)</f>
        <v>1</v>
      </c>
      <c r="M119">
        <f>IF(COUNTIFS(GiftData[Constituent_ID], GiftData[[#This Row],[Constituent_ID]], GiftData[Fiscal_Year], "FY26")&gt;0, 1, 0)</f>
        <v>1</v>
      </c>
      <c r="N119" t="str" cm="1">
        <f t="array" ref="N1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0" spans="1:14" x14ac:dyDescent="0.2">
      <c r="A120" t="s">
        <v>248</v>
      </c>
      <c r="B120" t="s">
        <v>249</v>
      </c>
      <c r="C120" t="s">
        <v>11</v>
      </c>
      <c r="D120" s="1">
        <v>46041</v>
      </c>
      <c r="E120">
        <v>173.02</v>
      </c>
      <c r="F120" t="s">
        <v>12</v>
      </c>
      <c r="G120" t="s">
        <v>13</v>
      </c>
      <c r="H120" t="s">
        <v>51</v>
      </c>
      <c r="I120" t="s">
        <v>38</v>
      </c>
      <c r="J120" t="str">
        <f>"FY" &amp; IF(MONTH(GiftData[[#This Row],[Gift_Date]])&gt;=7, RIGHT(YEAR(GiftData[[#This Row],[Gift_Date]])+1, 2), RIGHT(YEAR(GiftData[[#This Row],[Gift_Date]]), 2))</f>
        <v>FY26</v>
      </c>
      <c r="K120">
        <f>IF(COUNTIFS(GiftData[Constituent_ID], GiftData[[#This Row],[Constituent_ID]], GiftData[Fiscal_Year], "FY24")&gt;0, 1, 0)</f>
        <v>1</v>
      </c>
      <c r="L120">
        <f>IF(COUNTIFS(GiftData[Constituent_ID], GiftData[[#This Row],[Constituent_ID]], GiftData[Fiscal_Year], "FY25")&gt;0, 1, 0)</f>
        <v>1</v>
      </c>
      <c r="M120">
        <f>IF(COUNTIFS(GiftData[Constituent_ID], GiftData[[#This Row],[Constituent_ID]], GiftData[Fiscal_Year], "FY26")&gt;0, 1, 0)</f>
        <v>1</v>
      </c>
      <c r="N120" t="str" cm="1">
        <f t="array" ref="N1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1" spans="1:14" x14ac:dyDescent="0.2">
      <c r="A121" t="s">
        <v>250</v>
      </c>
      <c r="B121" t="s">
        <v>251</v>
      </c>
      <c r="C121" t="s">
        <v>18</v>
      </c>
      <c r="D121" s="1">
        <v>46116</v>
      </c>
      <c r="E121">
        <v>547.6</v>
      </c>
      <c r="F121" t="s">
        <v>25</v>
      </c>
      <c r="G121" t="s">
        <v>13</v>
      </c>
      <c r="H121" t="s">
        <v>164</v>
      </c>
      <c r="I121" t="s">
        <v>15</v>
      </c>
      <c r="J121" t="str">
        <f>"FY" &amp; IF(MONTH(GiftData[[#This Row],[Gift_Date]])&gt;=7, RIGHT(YEAR(GiftData[[#This Row],[Gift_Date]])+1, 2), RIGHT(YEAR(GiftData[[#This Row],[Gift_Date]]), 2))</f>
        <v>FY26</v>
      </c>
      <c r="K121">
        <f>IF(COUNTIFS(GiftData[Constituent_ID], GiftData[[#This Row],[Constituent_ID]], GiftData[Fiscal_Year], "FY24")&gt;0, 1, 0)</f>
        <v>1</v>
      </c>
      <c r="L121">
        <f>IF(COUNTIFS(GiftData[Constituent_ID], GiftData[[#This Row],[Constituent_ID]], GiftData[Fiscal_Year], "FY25")&gt;0, 1, 0)</f>
        <v>1</v>
      </c>
      <c r="M121">
        <f>IF(COUNTIFS(GiftData[Constituent_ID], GiftData[[#This Row],[Constituent_ID]], GiftData[Fiscal_Year], "FY26")&gt;0, 1, 0)</f>
        <v>1</v>
      </c>
      <c r="N121" t="str" cm="1">
        <f t="array" ref="N1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2" spans="1:14" x14ac:dyDescent="0.2">
      <c r="A122" t="s">
        <v>252</v>
      </c>
      <c r="B122" t="s">
        <v>61</v>
      </c>
      <c r="C122" t="s">
        <v>11</v>
      </c>
      <c r="D122" s="1">
        <v>45900</v>
      </c>
      <c r="E122">
        <v>35.89</v>
      </c>
      <c r="F122" t="s">
        <v>12</v>
      </c>
      <c r="G122" t="s">
        <v>13</v>
      </c>
      <c r="H122" t="s">
        <v>51</v>
      </c>
      <c r="I122" t="s">
        <v>15</v>
      </c>
      <c r="J122" t="str">
        <f>"FY" &amp; IF(MONTH(GiftData[[#This Row],[Gift_Date]])&gt;=7, RIGHT(YEAR(GiftData[[#This Row],[Gift_Date]])+1, 2), RIGHT(YEAR(GiftData[[#This Row],[Gift_Date]]), 2))</f>
        <v>FY26</v>
      </c>
      <c r="K122">
        <f>IF(COUNTIFS(GiftData[Constituent_ID], GiftData[[#This Row],[Constituent_ID]], GiftData[Fiscal_Year], "FY24")&gt;0, 1, 0)</f>
        <v>0</v>
      </c>
      <c r="L122">
        <f>IF(COUNTIFS(GiftData[Constituent_ID], GiftData[[#This Row],[Constituent_ID]], GiftData[Fiscal_Year], "FY25")&gt;0, 1, 0)</f>
        <v>0</v>
      </c>
      <c r="M122">
        <f>IF(COUNTIFS(GiftData[Constituent_ID], GiftData[[#This Row],[Constituent_ID]], GiftData[Fiscal_Year], "FY26")&gt;0, 1, 0)</f>
        <v>1</v>
      </c>
      <c r="N122" t="str" cm="1">
        <f t="array" ref="N1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3" spans="1:14" x14ac:dyDescent="0.2">
      <c r="A123" t="s">
        <v>253</v>
      </c>
      <c r="B123" t="s">
        <v>103</v>
      </c>
      <c r="C123" t="s">
        <v>18</v>
      </c>
      <c r="D123" s="1">
        <v>45899</v>
      </c>
      <c r="E123">
        <v>146.12</v>
      </c>
      <c r="F123" t="s">
        <v>12</v>
      </c>
      <c r="G123" t="s">
        <v>29</v>
      </c>
      <c r="H123" t="s">
        <v>41</v>
      </c>
      <c r="I123" t="s">
        <v>38</v>
      </c>
      <c r="J123" t="str">
        <f>"FY" &amp; IF(MONTH(GiftData[[#This Row],[Gift_Date]])&gt;=7, RIGHT(YEAR(GiftData[[#This Row],[Gift_Date]])+1, 2), RIGHT(YEAR(GiftData[[#This Row],[Gift_Date]]), 2))</f>
        <v>FY26</v>
      </c>
      <c r="K123">
        <f>IF(COUNTIFS(GiftData[Constituent_ID], GiftData[[#This Row],[Constituent_ID]], GiftData[Fiscal_Year], "FY24")&gt;0, 1, 0)</f>
        <v>1</v>
      </c>
      <c r="L123">
        <f>IF(COUNTIFS(GiftData[Constituent_ID], GiftData[[#This Row],[Constituent_ID]], GiftData[Fiscal_Year], "FY25")&gt;0, 1, 0)</f>
        <v>1</v>
      </c>
      <c r="M123">
        <f>IF(COUNTIFS(GiftData[Constituent_ID], GiftData[[#This Row],[Constituent_ID]], GiftData[Fiscal_Year], "FY26")&gt;0, 1, 0)</f>
        <v>1</v>
      </c>
      <c r="N123" t="str" cm="1">
        <f t="array" ref="N1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4" spans="1:14" x14ac:dyDescent="0.2">
      <c r="A124" t="s">
        <v>254</v>
      </c>
      <c r="B124" t="s">
        <v>255</v>
      </c>
      <c r="C124" t="s">
        <v>35</v>
      </c>
      <c r="D124" s="1">
        <v>45599</v>
      </c>
      <c r="E124">
        <v>28.53</v>
      </c>
      <c r="F124" t="s">
        <v>12</v>
      </c>
      <c r="G124" t="s">
        <v>13</v>
      </c>
      <c r="H124" t="s">
        <v>20</v>
      </c>
      <c r="I124" t="s">
        <v>15</v>
      </c>
      <c r="J124" t="str">
        <f>"FY" &amp; IF(MONTH(GiftData[[#This Row],[Gift_Date]])&gt;=7, RIGHT(YEAR(GiftData[[#This Row],[Gift_Date]])+1, 2), RIGHT(YEAR(GiftData[[#This Row],[Gift_Date]]), 2))</f>
        <v>FY25</v>
      </c>
      <c r="K124">
        <f>IF(COUNTIFS(GiftData[Constituent_ID], GiftData[[#This Row],[Constituent_ID]], GiftData[Fiscal_Year], "FY24")&gt;0, 1, 0)</f>
        <v>0</v>
      </c>
      <c r="L124">
        <f>IF(COUNTIFS(GiftData[Constituent_ID], GiftData[[#This Row],[Constituent_ID]], GiftData[Fiscal_Year], "FY25")&gt;0, 1, 0)</f>
        <v>1</v>
      </c>
      <c r="M124">
        <f>IF(COUNTIFS(GiftData[Constituent_ID], GiftData[[#This Row],[Constituent_ID]], GiftData[Fiscal_Year], "FY26")&gt;0, 1, 0)</f>
        <v>0</v>
      </c>
      <c r="N124" t="str" cm="1">
        <f t="array" ref="N1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25" spans="1:14" x14ac:dyDescent="0.2">
      <c r="A125" t="s">
        <v>256</v>
      </c>
      <c r="B125" t="s">
        <v>257</v>
      </c>
      <c r="C125" t="s">
        <v>11</v>
      </c>
      <c r="D125" s="1">
        <v>45315</v>
      </c>
      <c r="E125">
        <v>137.96</v>
      </c>
      <c r="F125" t="s">
        <v>25</v>
      </c>
      <c r="G125" t="s">
        <v>29</v>
      </c>
      <c r="H125" t="s">
        <v>20</v>
      </c>
      <c r="I125" t="s">
        <v>15</v>
      </c>
      <c r="J125" t="str">
        <f>"FY" &amp; IF(MONTH(GiftData[[#This Row],[Gift_Date]])&gt;=7, RIGHT(YEAR(GiftData[[#This Row],[Gift_Date]])+1, 2), RIGHT(YEAR(GiftData[[#This Row],[Gift_Date]]), 2))</f>
        <v>FY24</v>
      </c>
      <c r="K125">
        <f>IF(COUNTIFS(GiftData[Constituent_ID], GiftData[[#This Row],[Constituent_ID]], GiftData[Fiscal_Year], "FY24")&gt;0, 1, 0)</f>
        <v>1</v>
      </c>
      <c r="L125">
        <f>IF(COUNTIFS(GiftData[Constituent_ID], GiftData[[#This Row],[Constituent_ID]], GiftData[Fiscal_Year], "FY25")&gt;0, 1, 0)</f>
        <v>1</v>
      </c>
      <c r="M125">
        <f>IF(COUNTIFS(GiftData[Constituent_ID], GiftData[[#This Row],[Constituent_ID]], GiftData[Fiscal_Year], "FY26")&gt;0, 1, 0)</f>
        <v>1</v>
      </c>
      <c r="N125" t="str" cm="1">
        <f t="array" ref="N1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6" spans="1:14" x14ac:dyDescent="0.2">
      <c r="A126" t="s">
        <v>258</v>
      </c>
      <c r="B126" t="s">
        <v>259</v>
      </c>
      <c r="C126" t="s">
        <v>11</v>
      </c>
      <c r="D126" s="1">
        <v>45537</v>
      </c>
      <c r="E126">
        <v>104.73</v>
      </c>
      <c r="F126" t="s">
        <v>12</v>
      </c>
      <c r="G126" t="s">
        <v>13</v>
      </c>
      <c r="H126" t="s">
        <v>20</v>
      </c>
      <c r="I126" t="s">
        <v>15</v>
      </c>
      <c r="J126" t="str">
        <f>"FY" &amp; IF(MONTH(GiftData[[#This Row],[Gift_Date]])&gt;=7, RIGHT(YEAR(GiftData[[#This Row],[Gift_Date]])+1, 2), RIGHT(YEAR(GiftData[[#This Row],[Gift_Date]]), 2))</f>
        <v>FY25</v>
      </c>
      <c r="K126">
        <f>IF(COUNTIFS(GiftData[Constituent_ID], GiftData[[#This Row],[Constituent_ID]], GiftData[Fiscal_Year], "FY24")&gt;0, 1, 0)</f>
        <v>1</v>
      </c>
      <c r="L126">
        <f>IF(COUNTIFS(GiftData[Constituent_ID], GiftData[[#This Row],[Constituent_ID]], GiftData[Fiscal_Year], "FY25")&gt;0, 1, 0)</f>
        <v>1</v>
      </c>
      <c r="M126">
        <f>IF(COUNTIFS(GiftData[Constituent_ID], GiftData[[#This Row],[Constituent_ID]], GiftData[Fiscal_Year], "FY26")&gt;0, 1, 0)</f>
        <v>0</v>
      </c>
      <c r="N126" t="str" cm="1">
        <f t="array" ref="N1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27" spans="1:14" x14ac:dyDescent="0.2">
      <c r="A127" t="s">
        <v>260</v>
      </c>
      <c r="B127" t="s">
        <v>261</v>
      </c>
      <c r="C127" t="s">
        <v>35</v>
      </c>
      <c r="D127" s="1">
        <v>46092</v>
      </c>
      <c r="E127">
        <v>99.04</v>
      </c>
      <c r="F127" t="s">
        <v>59</v>
      </c>
      <c r="G127" t="s">
        <v>13</v>
      </c>
      <c r="H127" t="s">
        <v>41</v>
      </c>
      <c r="I127" t="s">
        <v>15</v>
      </c>
      <c r="J127" t="str">
        <f>"FY" &amp; IF(MONTH(GiftData[[#This Row],[Gift_Date]])&gt;=7, RIGHT(YEAR(GiftData[[#This Row],[Gift_Date]])+1, 2), RIGHT(YEAR(GiftData[[#This Row],[Gift_Date]]), 2))</f>
        <v>FY26</v>
      </c>
      <c r="K127">
        <f>IF(COUNTIFS(GiftData[Constituent_ID], GiftData[[#This Row],[Constituent_ID]], GiftData[Fiscal_Year], "FY24")&gt;0, 1, 0)</f>
        <v>1</v>
      </c>
      <c r="L127">
        <f>IF(COUNTIFS(GiftData[Constituent_ID], GiftData[[#This Row],[Constituent_ID]], GiftData[Fiscal_Year], "FY25")&gt;0, 1, 0)</f>
        <v>1</v>
      </c>
      <c r="M127">
        <f>IF(COUNTIFS(GiftData[Constituent_ID], GiftData[[#This Row],[Constituent_ID]], GiftData[Fiscal_Year], "FY26")&gt;0, 1, 0)</f>
        <v>1</v>
      </c>
      <c r="N127" t="str" cm="1">
        <f t="array" ref="N1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8" spans="1:14" x14ac:dyDescent="0.2">
      <c r="A128" t="s">
        <v>262</v>
      </c>
      <c r="B128" t="s">
        <v>263</v>
      </c>
      <c r="C128" t="s">
        <v>28</v>
      </c>
      <c r="D128" s="1">
        <v>45627</v>
      </c>
      <c r="E128">
        <v>100.17</v>
      </c>
      <c r="F128" t="s">
        <v>12</v>
      </c>
      <c r="G128" t="s">
        <v>13</v>
      </c>
      <c r="H128" t="s">
        <v>14</v>
      </c>
      <c r="I128" t="s">
        <v>15</v>
      </c>
      <c r="J128" t="str">
        <f>"FY" &amp; IF(MONTH(GiftData[[#This Row],[Gift_Date]])&gt;=7, RIGHT(YEAR(GiftData[[#This Row],[Gift_Date]])+1, 2), RIGHT(YEAR(GiftData[[#This Row],[Gift_Date]]), 2))</f>
        <v>FY25</v>
      </c>
      <c r="K128">
        <f>IF(COUNTIFS(GiftData[Constituent_ID], GiftData[[#This Row],[Constituent_ID]], GiftData[Fiscal_Year], "FY24")&gt;0, 1, 0)</f>
        <v>1</v>
      </c>
      <c r="L128">
        <f>IF(COUNTIFS(GiftData[Constituent_ID], GiftData[[#This Row],[Constituent_ID]], GiftData[Fiscal_Year], "FY25")&gt;0, 1, 0)</f>
        <v>1</v>
      </c>
      <c r="M128">
        <f>IF(COUNTIFS(GiftData[Constituent_ID], GiftData[[#This Row],[Constituent_ID]], GiftData[Fiscal_Year], "FY26")&gt;0, 1, 0)</f>
        <v>1</v>
      </c>
      <c r="N128" t="str" cm="1">
        <f t="array" ref="N1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9" spans="1:14" x14ac:dyDescent="0.2">
      <c r="A129" t="s">
        <v>264</v>
      </c>
      <c r="B129" t="s">
        <v>201</v>
      </c>
      <c r="C129" t="s">
        <v>18</v>
      </c>
      <c r="D129" s="1">
        <v>45698</v>
      </c>
      <c r="E129">
        <v>316.49</v>
      </c>
      <c r="F129" t="s">
        <v>12</v>
      </c>
      <c r="G129" t="s">
        <v>13</v>
      </c>
      <c r="H129" t="s">
        <v>51</v>
      </c>
      <c r="I129" t="s">
        <v>56</v>
      </c>
      <c r="J129" t="str">
        <f>"FY" &amp; IF(MONTH(GiftData[[#This Row],[Gift_Date]])&gt;=7, RIGHT(YEAR(GiftData[[#This Row],[Gift_Date]])+1, 2), RIGHT(YEAR(GiftData[[#This Row],[Gift_Date]]), 2))</f>
        <v>FY25</v>
      </c>
      <c r="K129">
        <f>IF(COUNTIFS(GiftData[Constituent_ID], GiftData[[#This Row],[Constituent_ID]], GiftData[Fiscal_Year], "FY24")&gt;0, 1, 0)</f>
        <v>1</v>
      </c>
      <c r="L129">
        <f>IF(COUNTIFS(GiftData[Constituent_ID], GiftData[[#This Row],[Constituent_ID]], GiftData[Fiscal_Year], "FY25")&gt;0, 1, 0)</f>
        <v>1</v>
      </c>
      <c r="M129">
        <f>IF(COUNTIFS(GiftData[Constituent_ID], GiftData[[#This Row],[Constituent_ID]], GiftData[Fiscal_Year], "FY26")&gt;0, 1, 0)</f>
        <v>0</v>
      </c>
      <c r="N129" t="str" cm="1">
        <f t="array" ref="N1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30" spans="1:14" x14ac:dyDescent="0.2">
      <c r="A130" t="s">
        <v>265</v>
      </c>
      <c r="B130" t="s">
        <v>266</v>
      </c>
      <c r="C130" t="s">
        <v>48</v>
      </c>
      <c r="D130" s="1">
        <v>45306</v>
      </c>
      <c r="E130">
        <v>15.04</v>
      </c>
      <c r="F130" t="s">
        <v>12</v>
      </c>
      <c r="G130" t="s">
        <v>13</v>
      </c>
      <c r="H130" t="s">
        <v>164</v>
      </c>
      <c r="I130" t="s">
        <v>15</v>
      </c>
      <c r="J130" t="str">
        <f>"FY" &amp; IF(MONTH(GiftData[[#This Row],[Gift_Date]])&gt;=7, RIGHT(YEAR(GiftData[[#This Row],[Gift_Date]])+1, 2), RIGHT(YEAR(GiftData[[#This Row],[Gift_Date]]), 2))</f>
        <v>FY24</v>
      </c>
      <c r="K130">
        <f>IF(COUNTIFS(GiftData[Constituent_ID], GiftData[[#This Row],[Constituent_ID]], GiftData[Fiscal_Year], "FY24")&gt;0, 1, 0)</f>
        <v>1</v>
      </c>
      <c r="L130">
        <f>IF(COUNTIFS(GiftData[Constituent_ID], GiftData[[#This Row],[Constituent_ID]], GiftData[Fiscal_Year], "FY25")&gt;0, 1, 0)</f>
        <v>1</v>
      </c>
      <c r="M130">
        <f>IF(COUNTIFS(GiftData[Constituent_ID], GiftData[[#This Row],[Constituent_ID]], GiftData[Fiscal_Year], "FY26")&gt;0, 1, 0)</f>
        <v>1</v>
      </c>
      <c r="N130" t="str" cm="1">
        <f t="array" ref="N1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1" spans="1:14" x14ac:dyDescent="0.2">
      <c r="A131" t="s">
        <v>267</v>
      </c>
      <c r="B131" t="s">
        <v>268</v>
      </c>
      <c r="C131" t="s">
        <v>18</v>
      </c>
      <c r="D131" s="1">
        <v>45494</v>
      </c>
      <c r="E131">
        <v>37.72</v>
      </c>
      <c r="F131" t="s">
        <v>25</v>
      </c>
      <c r="G131" t="s">
        <v>13</v>
      </c>
      <c r="H131" t="s">
        <v>14</v>
      </c>
      <c r="I131" t="s">
        <v>15</v>
      </c>
      <c r="J131" t="str">
        <f>"FY" &amp; IF(MONTH(GiftData[[#This Row],[Gift_Date]])&gt;=7, RIGHT(YEAR(GiftData[[#This Row],[Gift_Date]])+1, 2), RIGHT(YEAR(GiftData[[#This Row],[Gift_Date]]), 2))</f>
        <v>FY25</v>
      </c>
      <c r="K131">
        <f>IF(COUNTIFS(GiftData[Constituent_ID], GiftData[[#This Row],[Constituent_ID]], GiftData[Fiscal_Year], "FY24")&gt;0, 1, 0)</f>
        <v>0</v>
      </c>
      <c r="L131">
        <f>IF(COUNTIFS(GiftData[Constituent_ID], GiftData[[#This Row],[Constituent_ID]], GiftData[Fiscal_Year], "FY25")&gt;0, 1, 0)</f>
        <v>1</v>
      </c>
      <c r="M131">
        <f>IF(COUNTIFS(GiftData[Constituent_ID], GiftData[[#This Row],[Constituent_ID]], GiftData[Fiscal_Year], "FY26")&gt;0, 1, 0)</f>
        <v>0</v>
      </c>
      <c r="N131" t="str" cm="1">
        <f t="array" ref="N1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32" spans="1:14" x14ac:dyDescent="0.2">
      <c r="A132" t="s">
        <v>269</v>
      </c>
      <c r="B132" t="s">
        <v>97</v>
      </c>
      <c r="C132" t="s">
        <v>18</v>
      </c>
      <c r="D132" s="1">
        <v>45456</v>
      </c>
      <c r="E132">
        <v>115.27</v>
      </c>
      <c r="F132" t="s">
        <v>59</v>
      </c>
      <c r="G132" t="s">
        <v>13</v>
      </c>
      <c r="H132" t="s">
        <v>14</v>
      </c>
      <c r="I132" t="s">
        <v>15</v>
      </c>
      <c r="J132" t="str">
        <f>"FY" &amp; IF(MONTH(GiftData[[#This Row],[Gift_Date]])&gt;=7, RIGHT(YEAR(GiftData[[#This Row],[Gift_Date]])+1, 2), RIGHT(YEAR(GiftData[[#This Row],[Gift_Date]]), 2))</f>
        <v>FY24</v>
      </c>
      <c r="K132">
        <f>IF(COUNTIFS(GiftData[Constituent_ID], GiftData[[#This Row],[Constituent_ID]], GiftData[Fiscal_Year], "FY24")&gt;0, 1, 0)</f>
        <v>1</v>
      </c>
      <c r="L132">
        <f>IF(COUNTIFS(GiftData[Constituent_ID], GiftData[[#This Row],[Constituent_ID]], GiftData[Fiscal_Year], "FY25")&gt;0, 1, 0)</f>
        <v>1</v>
      </c>
      <c r="M132">
        <f>IF(COUNTIFS(GiftData[Constituent_ID], GiftData[[#This Row],[Constituent_ID]], GiftData[Fiscal_Year], "FY26")&gt;0, 1, 0)</f>
        <v>1</v>
      </c>
      <c r="N132" t="str" cm="1">
        <f t="array" ref="N1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3" spans="1:14" x14ac:dyDescent="0.2">
      <c r="A133" t="s">
        <v>270</v>
      </c>
      <c r="B133" t="s">
        <v>271</v>
      </c>
      <c r="C133" t="s">
        <v>35</v>
      </c>
      <c r="D133" s="1">
        <v>46067</v>
      </c>
      <c r="E133">
        <v>26.25</v>
      </c>
      <c r="F133" t="s">
        <v>12</v>
      </c>
      <c r="G133" t="s">
        <v>13</v>
      </c>
      <c r="H133" t="s">
        <v>164</v>
      </c>
      <c r="I133" t="s">
        <v>38</v>
      </c>
      <c r="J133" t="str">
        <f>"FY" &amp; IF(MONTH(GiftData[[#This Row],[Gift_Date]])&gt;=7, RIGHT(YEAR(GiftData[[#This Row],[Gift_Date]])+1, 2), RIGHT(YEAR(GiftData[[#This Row],[Gift_Date]]), 2))</f>
        <v>FY26</v>
      </c>
      <c r="K133">
        <f>IF(COUNTIFS(GiftData[Constituent_ID], GiftData[[#This Row],[Constituent_ID]], GiftData[Fiscal_Year], "FY24")&gt;0, 1, 0)</f>
        <v>0</v>
      </c>
      <c r="L133">
        <f>IF(COUNTIFS(GiftData[Constituent_ID], GiftData[[#This Row],[Constituent_ID]], GiftData[Fiscal_Year], "FY25")&gt;0, 1, 0)</f>
        <v>0</v>
      </c>
      <c r="M133">
        <f>IF(COUNTIFS(GiftData[Constituent_ID], GiftData[[#This Row],[Constituent_ID]], GiftData[Fiscal_Year], "FY26")&gt;0, 1, 0)</f>
        <v>1</v>
      </c>
      <c r="N133" t="str" cm="1">
        <f t="array" ref="N1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4" spans="1:14" x14ac:dyDescent="0.2">
      <c r="A134" t="s">
        <v>272</v>
      </c>
      <c r="B134" t="s">
        <v>273</v>
      </c>
      <c r="C134" t="s">
        <v>11</v>
      </c>
      <c r="D134" s="1">
        <v>45800</v>
      </c>
      <c r="E134">
        <v>129.02000000000001</v>
      </c>
      <c r="F134" t="s">
        <v>25</v>
      </c>
      <c r="G134" t="s">
        <v>13</v>
      </c>
      <c r="H134" t="s">
        <v>20</v>
      </c>
      <c r="I134" t="s">
        <v>38</v>
      </c>
      <c r="J134" t="str">
        <f>"FY" &amp; IF(MONTH(GiftData[[#This Row],[Gift_Date]])&gt;=7, RIGHT(YEAR(GiftData[[#This Row],[Gift_Date]])+1, 2), RIGHT(YEAR(GiftData[[#This Row],[Gift_Date]]), 2))</f>
        <v>FY25</v>
      </c>
      <c r="K134">
        <f>IF(COUNTIFS(GiftData[Constituent_ID], GiftData[[#This Row],[Constituent_ID]], GiftData[Fiscal_Year], "FY24")&gt;0, 1, 0)</f>
        <v>0</v>
      </c>
      <c r="L134">
        <f>IF(COUNTIFS(GiftData[Constituent_ID], GiftData[[#This Row],[Constituent_ID]], GiftData[Fiscal_Year], "FY25")&gt;0, 1, 0)</f>
        <v>1</v>
      </c>
      <c r="M134">
        <f>IF(COUNTIFS(GiftData[Constituent_ID], GiftData[[#This Row],[Constituent_ID]], GiftData[Fiscal_Year], "FY26")&gt;0, 1, 0)</f>
        <v>0</v>
      </c>
      <c r="N134" t="str" cm="1">
        <f t="array" ref="N1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35" spans="1:14" x14ac:dyDescent="0.2">
      <c r="A135" t="s">
        <v>274</v>
      </c>
      <c r="B135" t="s">
        <v>275</v>
      </c>
      <c r="C135" t="s">
        <v>11</v>
      </c>
      <c r="D135" s="1">
        <v>45485</v>
      </c>
      <c r="E135">
        <v>113.74</v>
      </c>
      <c r="F135" t="s">
        <v>12</v>
      </c>
      <c r="G135" t="s">
        <v>13</v>
      </c>
      <c r="H135" t="s">
        <v>41</v>
      </c>
      <c r="I135" t="s">
        <v>38</v>
      </c>
      <c r="J135" t="str">
        <f>"FY" &amp; IF(MONTH(GiftData[[#This Row],[Gift_Date]])&gt;=7, RIGHT(YEAR(GiftData[[#This Row],[Gift_Date]])+1, 2), RIGHT(YEAR(GiftData[[#This Row],[Gift_Date]]), 2))</f>
        <v>FY25</v>
      </c>
      <c r="K135">
        <f>IF(COUNTIFS(GiftData[Constituent_ID], GiftData[[#This Row],[Constituent_ID]], GiftData[Fiscal_Year], "FY24")&gt;0, 1, 0)</f>
        <v>0</v>
      </c>
      <c r="L135">
        <f>IF(COUNTIFS(GiftData[Constituent_ID], GiftData[[#This Row],[Constituent_ID]], GiftData[Fiscal_Year], "FY25")&gt;0, 1, 0)</f>
        <v>1</v>
      </c>
      <c r="M135">
        <f>IF(COUNTIFS(GiftData[Constituent_ID], GiftData[[#This Row],[Constituent_ID]], GiftData[Fiscal_Year], "FY26")&gt;0, 1, 0)</f>
        <v>0</v>
      </c>
      <c r="N135" t="str" cm="1">
        <f t="array" ref="N1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36" spans="1:14" x14ac:dyDescent="0.2">
      <c r="A136" t="s">
        <v>276</v>
      </c>
      <c r="B136" t="s">
        <v>277</v>
      </c>
      <c r="C136" t="s">
        <v>18</v>
      </c>
      <c r="D136" s="1">
        <v>46006</v>
      </c>
      <c r="E136">
        <v>19.59</v>
      </c>
      <c r="F136" t="s">
        <v>25</v>
      </c>
      <c r="G136" t="s">
        <v>13</v>
      </c>
      <c r="H136" t="s">
        <v>20</v>
      </c>
      <c r="I136" t="s">
        <v>38</v>
      </c>
      <c r="J136" t="str">
        <f>"FY" &amp; IF(MONTH(GiftData[[#This Row],[Gift_Date]])&gt;=7, RIGHT(YEAR(GiftData[[#This Row],[Gift_Date]])+1, 2), RIGHT(YEAR(GiftData[[#This Row],[Gift_Date]]), 2))</f>
        <v>FY26</v>
      </c>
      <c r="K136">
        <f>IF(COUNTIFS(GiftData[Constituent_ID], GiftData[[#This Row],[Constituent_ID]], GiftData[Fiscal_Year], "FY24")&gt;0, 1, 0)</f>
        <v>1</v>
      </c>
      <c r="L136">
        <f>IF(COUNTIFS(GiftData[Constituent_ID], GiftData[[#This Row],[Constituent_ID]], GiftData[Fiscal_Year], "FY25")&gt;0, 1, 0)</f>
        <v>1</v>
      </c>
      <c r="M136">
        <f>IF(COUNTIFS(GiftData[Constituent_ID], GiftData[[#This Row],[Constituent_ID]], GiftData[Fiscal_Year], "FY26")&gt;0, 1, 0)</f>
        <v>1</v>
      </c>
      <c r="N136" t="str" cm="1">
        <f t="array" ref="N1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7" spans="1:14" x14ac:dyDescent="0.2">
      <c r="A137" t="s">
        <v>278</v>
      </c>
      <c r="B137" t="s">
        <v>77</v>
      </c>
      <c r="C137" t="s">
        <v>11</v>
      </c>
      <c r="D137" s="1">
        <v>46023</v>
      </c>
      <c r="E137">
        <v>18.37</v>
      </c>
      <c r="F137" t="s">
        <v>59</v>
      </c>
      <c r="G137" t="s">
        <v>13</v>
      </c>
      <c r="H137" t="s">
        <v>41</v>
      </c>
      <c r="I137" t="s">
        <v>56</v>
      </c>
      <c r="J137" t="str">
        <f>"FY" &amp; IF(MONTH(GiftData[[#This Row],[Gift_Date]])&gt;=7, RIGHT(YEAR(GiftData[[#This Row],[Gift_Date]])+1, 2), RIGHT(YEAR(GiftData[[#This Row],[Gift_Date]]), 2))</f>
        <v>FY26</v>
      </c>
      <c r="K137">
        <f>IF(COUNTIFS(GiftData[Constituent_ID], GiftData[[#This Row],[Constituent_ID]], GiftData[Fiscal_Year], "FY24")&gt;0, 1, 0)</f>
        <v>1</v>
      </c>
      <c r="L137">
        <f>IF(COUNTIFS(GiftData[Constituent_ID], GiftData[[#This Row],[Constituent_ID]], GiftData[Fiscal_Year], "FY25")&gt;0, 1, 0)</f>
        <v>1</v>
      </c>
      <c r="M137">
        <f>IF(COUNTIFS(GiftData[Constituent_ID], GiftData[[#This Row],[Constituent_ID]], GiftData[Fiscal_Year], "FY26")&gt;0, 1, 0)</f>
        <v>1</v>
      </c>
      <c r="N137" t="str" cm="1">
        <f t="array" ref="N1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8" spans="1:14" x14ac:dyDescent="0.2">
      <c r="A138" t="s">
        <v>279</v>
      </c>
      <c r="B138" t="s">
        <v>280</v>
      </c>
      <c r="C138" t="s">
        <v>11</v>
      </c>
      <c r="D138" s="1">
        <v>45634</v>
      </c>
      <c r="E138">
        <v>15</v>
      </c>
      <c r="F138" t="s">
        <v>12</v>
      </c>
      <c r="G138" t="s">
        <v>13</v>
      </c>
      <c r="H138" t="s">
        <v>20</v>
      </c>
      <c r="I138" t="s">
        <v>56</v>
      </c>
      <c r="J138" t="str">
        <f>"FY" &amp; IF(MONTH(GiftData[[#This Row],[Gift_Date]])&gt;=7, RIGHT(YEAR(GiftData[[#This Row],[Gift_Date]])+1, 2), RIGHT(YEAR(GiftData[[#This Row],[Gift_Date]]), 2))</f>
        <v>FY25</v>
      </c>
      <c r="K138">
        <f>IF(COUNTIFS(GiftData[Constituent_ID], GiftData[[#This Row],[Constituent_ID]], GiftData[Fiscal_Year], "FY24")&gt;0, 1, 0)</f>
        <v>0</v>
      </c>
      <c r="L138">
        <f>IF(COUNTIFS(GiftData[Constituent_ID], GiftData[[#This Row],[Constituent_ID]], GiftData[Fiscal_Year], "FY25")&gt;0, 1, 0)</f>
        <v>1</v>
      </c>
      <c r="M138">
        <f>IF(COUNTIFS(GiftData[Constituent_ID], GiftData[[#This Row],[Constituent_ID]], GiftData[Fiscal_Year], "FY26")&gt;0, 1, 0)</f>
        <v>1</v>
      </c>
      <c r="N138" t="str" cm="1">
        <f t="array" ref="N1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39" spans="1:14" x14ac:dyDescent="0.2">
      <c r="A139" t="s">
        <v>281</v>
      </c>
      <c r="B139" t="s">
        <v>282</v>
      </c>
      <c r="C139" t="s">
        <v>48</v>
      </c>
      <c r="D139" s="1">
        <v>45841</v>
      </c>
      <c r="E139">
        <v>24.86</v>
      </c>
      <c r="F139" t="s">
        <v>12</v>
      </c>
      <c r="G139" t="s">
        <v>13</v>
      </c>
      <c r="H139" t="s">
        <v>51</v>
      </c>
      <c r="I139" t="s">
        <v>38</v>
      </c>
      <c r="J139" t="str">
        <f>"FY" &amp; IF(MONTH(GiftData[[#This Row],[Gift_Date]])&gt;=7, RIGHT(YEAR(GiftData[[#This Row],[Gift_Date]])+1, 2), RIGHT(YEAR(GiftData[[#This Row],[Gift_Date]]), 2))</f>
        <v>FY26</v>
      </c>
      <c r="K139">
        <f>IF(COUNTIFS(GiftData[Constituent_ID], GiftData[[#This Row],[Constituent_ID]], GiftData[Fiscal_Year], "FY24")&gt;0, 1, 0)</f>
        <v>0</v>
      </c>
      <c r="L139">
        <f>IF(COUNTIFS(GiftData[Constituent_ID], GiftData[[#This Row],[Constituent_ID]], GiftData[Fiscal_Year], "FY25")&gt;0, 1, 0)</f>
        <v>1</v>
      </c>
      <c r="M139">
        <f>IF(COUNTIFS(GiftData[Constituent_ID], GiftData[[#This Row],[Constituent_ID]], GiftData[Fiscal_Year], "FY26")&gt;0, 1, 0)</f>
        <v>1</v>
      </c>
      <c r="N139" t="str" cm="1">
        <f t="array" ref="N1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0" spans="1:14" x14ac:dyDescent="0.2">
      <c r="A140" t="s">
        <v>283</v>
      </c>
      <c r="B140" t="s">
        <v>284</v>
      </c>
      <c r="C140" t="s">
        <v>18</v>
      </c>
      <c r="D140" s="1">
        <v>45313</v>
      </c>
      <c r="E140">
        <v>123.79</v>
      </c>
      <c r="F140" t="s">
        <v>19</v>
      </c>
      <c r="G140" t="s">
        <v>13</v>
      </c>
      <c r="H140" t="s">
        <v>14</v>
      </c>
      <c r="I140" t="s">
        <v>15</v>
      </c>
      <c r="J140" t="str">
        <f>"FY" &amp; IF(MONTH(GiftData[[#This Row],[Gift_Date]])&gt;=7, RIGHT(YEAR(GiftData[[#This Row],[Gift_Date]])+1, 2), RIGHT(YEAR(GiftData[[#This Row],[Gift_Date]]), 2))</f>
        <v>FY24</v>
      </c>
      <c r="K140">
        <f>IF(COUNTIFS(GiftData[Constituent_ID], GiftData[[#This Row],[Constituent_ID]], GiftData[Fiscal_Year], "FY24")&gt;0, 1, 0)</f>
        <v>1</v>
      </c>
      <c r="L140">
        <f>IF(COUNTIFS(GiftData[Constituent_ID], GiftData[[#This Row],[Constituent_ID]], GiftData[Fiscal_Year], "FY25")&gt;0, 1, 0)</f>
        <v>1</v>
      </c>
      <c r="M140">
        <f>IF(COUNTIFS(GiftData[Constituent_ID], GiftData[[#This Row],[Constituent_ID]], GiftData[Fiscal_Year], "FY26")&gt;0, 1, 0)</f>
        <v>0</v>
      </c>
      <c r="N140" t="str" cm="1">
        <f t="array" ref="N1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41" spans="1:14" x14ac:dyDescent="0.2">
      <c r="A141" t="s">
        <v>285</v>
      </c>
      <c r="B141" t="s">
        <v>249</v>
      </c>
      <c r="C141" t="s">
        <v>35</v>
      </c>
      <c r="D141" s="1">
        <v>45562</v>
      </c>
      <c r="E141">
        <v>148.87</v>
      </c>
      <c r="F141" t="s">
        <v>59</v>
      </c>
      <c r="G141" t="s">
        <v>29</v>
      </c>
      <c r="H141" t="s">
        <v>20</v>
      </c>
      <c r="I141" t="s">
        <v>38</v>
      </c>
      <c r="J141" t="str">
        <f>"FY" &amp; IF(MONTH(GiftData[[#This Row],[Gift_Date]])&gt;=7, RIGHT(YEAR(GiftData[[#This Row],[Gift_Date]])+1, 2), RIGHT(YEAR(GiftData[[#This Row],[Gift_Date]]), 2))</f>
        <v>FY25</v>
      </c>
      <c r="K141">
        <f>IF(COUNTIFS(GiftData[Constituent_ID], GiftData[[#This Row],[Constituent_ID]], GiftData[Fiscal_Year], "FY24")&gt;0, 1, 0)</f>
        <v>1</v>
      </c>
      <c r="L141">
        <f>IF(COUNTIFS(GiftData[Constituent_ID], GiftData[[#This Row],[Constituent_ID]], GiftData[Fiscal_Year], "FY25")&gt;0, 1, 0)</f>
        <v>1</v>
      </c>
      <c r="M141">
        <f>IF(COUNTIFS(GiftData[Constituent_ID], GiftData[[#This Row],[Constituent_ID]], GiftData[Fiscal_Year], "FY26")&gt;0, 1, 0)</f>
        <v>1</v>
      </c>
      <c r="N141" t="str" cm="1">
        <f t="array" ref="N1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2" spans="1:14" x14ac:dyDescent="0.2">
      <c r="A142" t="s">
        <v>286</v>
      </c>
      <c r="B142" t="s">
        <v>287</v>
      </c>
      <c r="C142" t="s">
        <v>28</v>
      </c>
      <c r="D142" s="1">
        <v>45628</v>
      </c>
      <c r="E142">
        <v>157.97999999999999</v>
      </c>
      <c r="F142" t="s">
        <v>12</v>
      </c>
      <c r="G142" t="s">
        <v>29</v>
      </c>
      <c r="H142" t="s">
        <v>20</v>
      </c>
      <c r="I142" t="s">
        <v>15</v>
      </c>
      <c r="J142" t="str">
        <f>"FY" &amp; IF(MONTH(GiftData[[#This Row],[Gift_Date]])&gt;=7, RIGHT(YEAR(GiftData[[#This Row],[Gift_Date]])+1, 2), RIGHT(YEAR(GiftData[[#This Row],[Gift_Date]]), 2))</f>
        <v>FY25</v>
      </c>
      <c r="K142">
        <f>IF(COUNTIFS(GiftData[Constituent_ID], GiftData[[#This Row],[Constituent_ID]], GiftData[Fiscal_Year], "FY24")&gt;0, 1, 0)</f>
        <v>1</v>
      </c>
      <c r="L142">
        <f>IF(COUNTIFS(GiftData[Constituent_ID], GiftData[[#This Row],[Constituent_ID]], GiftData[Fiscal_Year], "FY25")&gt;0, 1, 0)</f>
        <v>1</v>
      </c>
      <c r="M142">
        <f>IF(COUNTIFS(GiftData[Constituent_ID], GiftData[[#This Row],[Constituent_ID]], GiftData[Fiscal_Year], "FY26")&gt;0, 1, 0)</f>
        <v>1</v>
      </c>
      <c r="N142" t="str" cm="1">
        <f t="array" ref="N1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3" spans="1:14" x14ac:dyDescent="0.2">
      <c r="A143" t="s">
        <v>288</v>
      </c>
      <c r="B143" t="s">
        <v>289</v>
      </c>
      <c r="C143" t="s">
        <v>35</v>
      </c>
      <c r="D143" s="1">
        <v>46124</v>
      </c>
      <c r="E143">
        <v>44.2</v>
      </c>
      <c r="F143" t="s">
        <v>12</v>
      </c>
      <c r="G143" t="s">
        <v>13</v>
      </c>
      <c r="H143" t="s">
        <v>14</v>
      </c>
      <c r="I143" t="s">
        <v>38</v>
      </c>
      <c r="J143" t="str">
        <f>"FY" &amp; IF(MONTH(GiftData[[#This Row],[Gift_Date]])&gt;=7, RIGHT(YEAR(GiftData[[#This Row],[Gift_Date]])+1, 2), RIGHT(YEAR(GiftData[[#This Row],[Gift_Date]]), 2))</f>
        <v>FY26</v>
      </c>
      <c r="K143">
        <f>IF(COUNTIFS(GiftData[Constituent_ID], GiftData[[#This Row],[Constituent_ID]], GiftData[Fiscal_Year], "FY24")&gt;0, 1, 0)</f>
        <v>1</v>
      </c>
      <c r="L143">
        <f>IF(COUNTIFS(GiftData[Constituent_ID], GiftData[[#This Row],[Constituent_ID]], GiftData[Fiscal_Year], "FY25")&gt;0, 1, 0)</f>
        <v>1</v>
      </c>
      <c r="M143">
        <f>IF(COUNTIFS(GiftData[Constituent_ID], GiftData[[#This Row],[Constituent_ID]], GiftData[Fiscal_Year], "FY26")&gt;0, 1, 0)</f>
        <v>1</v>
      </c>
      <c r="N143" t="str" cm="1">
        <f t="array" ref="N1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4" spans="1:14" x14ac:dyDescent="0.2">
      <c r="A144" t="s">
        <v>290</v>
      </c>
      <c r="B144" t="s">
        <v>291</v>
      </c>
      <c r="C144" t="s">
        <v>28</v>
      </c>
      <c r="D144" s="1">
        <v>46063</v>
      </c>
      <c r="E144">
        <v>118.65</v>
      </c>
      <c r="F144" t="s">
        <v>12</v>
      </c>
      <c r="G144" t="s">
        <v>13</v>
      </c>
      <c r="H144" t="s">
        <v>164</v>
      </c>
      <c r="I144" t="s">
        <v>56</v>
      </c>
      <c r="J144" t="str">
        <f>"FY" &amp; IF(MONTH(GiftData[[#This Row],[Gift_Date]])&gt;=7, RIGHT(YEAR(GiftData[[#This Row],[Gift_Date]])+1, 2), RIGHT(YEAR(GiftData[[#This Row],[Gift_Date]]), 2))</f>
        <v>FY26</v>
      </c>
      <c r="K144">
        <f>IF(COUNTIFS(GiftData[Constituent_ID], GiftData[[#This Row],[Constituent_ID]], GiftData[Fiscal_Year], "FY24")&gt;0, 1, 0)</f>
        <v>1</v>
      </c>
      <c r="L144">
        <f>IF(COUNTIFS(GiftData[Constituent_ID], GiftData[[#This Row],[Constituent_ID]], GiftData[Fiscal_Year], "FY25")&gt;0, 1, 0)</f>
        <v>1</v>
      </c>
      <c r="M144">
        <f>IF(COUNTIFS(GiftData[Constituent_ID], GiftData[[#This Row],[Constituent_ID]], GiftData[Fiscal_Year], "FY26")&gt;0, 1, 0)</f>
        <v>1</v>
      </c>
      <c r="N144" t="str" cm="1">
        <f t="array" ref="N1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5" spans="1:14" x14ac:dyDescent="0.2">
      <c r="A145" t="s">
        <v>292</v>
      </c>
      <c r="B145" t="s">
        <v>293</v>
      </c>
      <c r="C145" t="s">
        <v>28</v>
      </c>
      <c r="D145" s="1">
        <v>45833</v>
      </c>
      <c r="E145">
        <v>203.65</v>
      </c>
      <c r="F145" t="s">
        <v>12</v>
      </c>
      <c r="G145" t="s">
        <v>13</v>
      </c>
      <c r="H145" t="s">
        <v>41</v>
      </c>
      <c r="I145" t="s">
        <v>38</v>
      </c>
      <c r="J145" t="str">
        <f>"FY" &amp; IF(MONTH(GiftData[[#This Row],[Gift_Date]])&gt;=7, RIGHT(YEAR(GiftData[[#This Row],[Gift_Date]])+1, 2), RIGHT(YEAR(GiftData[[#This Row],[Gift_Date]]), 2))</f>
        <v>FY25</v>
      </c>
      <c r="K145">
        <f>IF(COUNTIFS(GiftData[Constituent_ID], GiftData[[#This Row],[Constituent_ID]], GiftData[Fiscal_Year], "FY24")&gt;0, 1, 0)</f>
        <v>1</v>
      </c>
      <c r="L145">
        <f>IF(COUNTIFS(GiftData[Constituent_ID], GiftData[[#This Row],[Constituent_ID]], GiftData[Fiscal_Year], "FY25")&gt;0, 1, 0)</f>
        <v>1</v>
      </c>
      <c r="M145">
        <f>IF(COUNTIFS(GiftData[Constituent_ID], GiftData[[#This Row],[Constituent_ID]], GiftData[Fiscal_Year], "FY26")&gt;0, 1, 0)</f>
        <v>0</v>
      </c>
      <c r="N145" t="str" cm="1">
        <f t="array" ref="N1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46" spans="1:14" x14ac:dyDescent="0.2">
      <c r="A146" t="s">
        <v>294</v>
      </c>
      <c r="B146" t="s">
        <v>214</v>
      </c>
      <c r="C146" t="s">
        <v>11</v>
      </c>
      <c r="D146" s="1">
        <v>46121</v>
      </c>
      <c r="E146">
        <v>23.37</v>
      </c>
      <c r="F146" t="s">
        <v>59</v>
      </c>
      <c r="G146" t="s">
        <v>13</v>
      </c>
      <c r="H146" t="s">
        <v>14</v>
      </c>
      <c r="I146" t="s">
        <v>56</v>
      </c>
      <c r="J146" t="str">
        <f>"FY" &amp; IF(MONTH(GiftData[[#This Row],[Gift_Date]])&gt;=7, RIGHT(YEAR(GiftData[[#This Row],[Gift_Date]])+1, 2), RIGHT(YEAR(GiftData[[#This Row],[Gift_Date]]), 2))</f>
        <v>FY26</v>
      </c>
      <c r="K146">
        <f>IF(COUNTIFS(GiftData[Constituent_ID], GiftData[[#This Row],[Constituent_ID]], GiftData[Fiscal_Year], "FY24")&gt;0, 1, 0)</f>
        <v>0</v>
      </c>
      <c r="L146">
        <f>IF(COUNTIFS(GiftData[Constituent_ID], GiftData[[#This Row],[Constituent_ID]], GiftData[Fiscal_Year], "FY25")&gt;0, 1, 0)</f>
        <v>1</v>
      </c>
      <c r="M146">
        <f>IF(COUNTIFS(GiftData[Constituent_ID], GiftData[[#This Row],[Constituent_ID]], GiftData[Fiscal_Year], "FY26")&gt;0, 1, 0)</f>
        <v>1</v>
      </c>
      <c r="N146" t="str" cm="1">
        <f t="array" ref="N1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7" spans="1:14" x14ac:dyDescent="0.2">
      <c r="A147" t="s">
        <v>295</v>
      </c>
      <c r="B147" t="s">
        <v>296</v>
      </c>
      <c r="C147" t="s">
        <v>18</v>
      </c>
      <c r="D147" s="1">
        <v>45608</v>
      </c>
      <c r="E147">
        <v>142.63999999999999</v>
      </c>
      <c r="F147" t="s">
        <v>25</v>
      </c>
      <c r="G147" t="s">
        <v>13</v>
      </c>
      <c r="H147" t="s">
        <v>20</v>
      </c>
      <c r="I147" t="s">
        <v>15</v>
      </c>
      <c r="J147" t="str">
        <f>"FY" &amp; IF(MONTH(GiftData[[#This Row],[Gift_Date]])&gt;=7, RIGHT(YEAR(GiftData[[#This Row],[Gift_Date]])+1, 2), RIGHT(YEAR(GiftData[[#This Row],[Gift_Date]]), 2))</f>
        <v>FY25</v>
      </c>
      <c r="K147">
        <f>IF(COUNTIFS(GiftData[Constituent_ID], GiftData[[#This Row],[Constituent_ID]], GiftData[Fiscal_Year], "FY24")&gt;0, 1, 0)</f>
        <v>1</v>
      </c>
      <c r="L147">
        <f>IF(COUNTIFS(GiftData[Constituent_ID], GiftData[[#This Row],[Constituent_ID]], GiftData[Fiscal_Year], "FY25")&gt;0, 1, 0)</f>
        <v>1</v>
      </c>
      <c r="M147">
        <f>IF(COUNTIFS(GiftData[Constituent_ID], GiftData[[#This Row],[Constituent_ID]], GiftData[Fiscal_Year], "FY26")&gt;0, 1, 0)</f>
        <v>0</v>
      </c>
      <c r="N147" t="str" cm="1">
        <f t="array" ref="N1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48" spans="1:14" x14ac:dyDescent="0.2">
      <c r="A148" t="s">
        <v>297</v>
      </c>
      <c r="B148" t="s">
        <v>298</v>
      </c>
      <c r="C148" t="s">
        <v>18</v>
      </c>
      <c r="D148" s="1">
        <v>45224</v>
      </c>
      <c r="E148">
        <v>285.27</v>
      </c>
      <c r="F148" t="s">
        <v>12</v>
      </c>
      <c r="G148" t="s">
        <v>13</v>
      </c>
      <c r="H148" t="s">
        <v>14</v>
      </c>
      <c r="I148" t="s">
        <v>15</v>
      </c>
      <c r="J148" t="str">
        <f>"FY" &amp; IF(MONTH(GiftData[[#This Row],[Gift_Date]])&gt;=7, RIGHT(YEAR(GiftData[[#This Row],[Gift_Date]])+1, 2), RIGHT(YEAR(GiftData[[#This Row],[Gift_Date]]), 2))</f>
        <v>FY24</v>
      </c>
      <c r="K148">
        <f>IF(COUNTIFS(GiftData[Constituent_ID], GiftData[[#This Row],[Constituent_ID]], GiftData[Fiscal_Year], "FY24")&gt;0, 1, 0)</f>
        <v>1</v>
      </c>
      <c r="L148">
        <f>IF(COUNTIFS(GiftData[Constituent_ID], GiftData[[#This Row],[Constituent_ID]], GiftData[Fiscal_Year], "FY25")&gt;0, 1, 0)</f>
        <v>1</v>
      </c>
      <c r="M148">
        <f>IF(COUNTIFS(GiftData[Constituent_ID], GiftData[[#This Row],[Constituent_ID]], GiftData[Fiscal_Year], "FY26")&gt;0, 1, 0)</f>
        <v>1</v>
      </c>
      <c r="N148" t="str" cm="1">
        <f t="array" ref="N1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49" spans="1:14" x14ac:dyDescent="0.2">
      <c r="A149" t="s">
        <v>299</v>
      </c>
      <c r="B149" t="s">
        <v>300</v>
      </c>
      <c r="C149" t="s">
        <v>35</v>
      </c>
      <c r="D149" s="1">
        <v>45493</v>
      </c>
      <c r="E149">
        <v>64.2</v>
      </c>
      <c r="F149" t="s">
        <v>12</v>
      </c>
      <c r="G149" t="s">
        <v>13</v>
      </c>
      <c r="H149" t="s">
        <v>41</v>
      </c>
      <c r="I149" t="s">
        <v>15</v>
      </c>
      <c r="J149" t="str">
        <f>"FY" &amp; IF(MONTH(GiftData[[#This Row],[Gift_Date]])&gt;=7, RIGHT(YEAR(GiftData[[#This Row],[Gift_Date]])+1, 2), RIGHT(YEAR(GiftData[[#This Row],[Gift_Date]]), 2))</f>
        <v>FY25</v>
      </c>
      <c r="K149">
        <f>IF(COUNTIFS(GiftData[Constituent_ID], GiftData[[#This Row],[Constituent_ID]], GiftData[Fiscal_Year], "FY24")&gt;0, 1, 0)</f>
        <v>0</v>
      </c>
      <c r="L149">
        <f>IF(COUNTIFS(GiftData[Constituent_ID], GiftData[[#This Row],[Constituent_ID]], GiftData[Fiscal_Year], "FY25")&gt;0, 1, 0)</f>
        <v>1</v>
      </c>
      <c r="M149">
        <f>IF(COUNTIFS(GiftData[Constituent_ID], GiftData[[#This Row],[Constituent_ID]], GiftData[Fiscal_Year], "FY26")&gt;0, 1, 0)</f>
        <v>1</v>
      </c>
      <c r="N149" t="str" cm="1">
        <f t="array" ref="N1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0" spans="1:14" x14ac:dyDescent="0.2">
      <c r="A150" t="s">
        <v>301</v>
      </c>
      <c r="B150" t="s">
        <v>189</v>
      </c>
      <c r="C150" t="s">
        <v>35</v>
      </c>
      <c r="D150" s="1">
        <v>45691</v>
      </c>
      <c r="E150">
        <v>483.43</v>
      </c>
      <c r="F150" t="s">
        <v>12</v>
      </c>
      <c r="G150" t="s">
        <v>13</v>
      </c>
      <c r="H150" t="s">
        <v>41</v>
      </c>
      <c r="I150" t="s">
        <v>56</v>
      </c>
      <c r="J150" t="str">
        <f>"FY" &amp; IF(MONTH(GiftData[[#This Row],[Gift_Date]])&gt;=7, RIGHT(YEAR(GiftData[[#This Row],[Gift_Date]])+1, 2), RIGHT(YEAR(GiftData[[#This Row],[Gift_Date]]), 2))</f>
        <v>FY25</v>
      </c>
      <c r="K150">
        <f>IF(COUNTIFS(GiftData[Constituent_ID], GiftData[[#This Row],[Constituent_ID]], GiftData[Fiscal_Year], "FY24")&gt;0, 1, 0)</f>
        <v>1</v>
      </c>
      <c r="L150">
        <f>IF(COUNTIFS(GiftData[Constituent_ID], GiftData[[#This Row],[Constituent_ID]], GiftData[Fiscal_Year], "FY25")&gt;0, 1, 0)</f>
        <v>1</v>
      </c>
      <c r="M150">
        <f>IF(COUNTIFS(GiftData[Constituent_ID], GiftData[[#This Row],[Constituent_ID]], GiftData[Fiscal_Year], "FY26")&gt;0, 1, 0)</f>
        <v>1</v>
      </c>
      <c r="N150" t="str" cm="1">
        <f t="array" ref="N1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1" spans="1:14" x14ac:dyDescent="0.2">
      <c r="A151" t="s">
        <v>302</v>
      </c>
      <c r="B151" t="s">
        <v>303</v>
      </c>
      <c r="C151" t="s">
        <v>11</v>
      </c>
      <c r="D151" s="1">
        <v>45502</v>
      </c>
      <c r="E151">
        <v>66.180000000000007</v>
      </c>
      <c r="F151" t="s">
        <v>12</v>
      </c>
      <c r="G151" t="s">
        <v>13</v>
      </c>
      <c r="H151" t="s">
        <v>20</v>
      </c>
      <c r="I151" t="s">
        <v>56</v>
      </c>
      <c r="J151" t="str">
        <f>"FY" &amp; IF(MONTH(GiftData[[#This Row],[Gift_Date]])&gt;=7, RIGHT(YEAR(GiftData[[#This Row],[Gift_Date]])+1, 2), RIGHT(YEAR(GiftData[[#This Row],[Gift_Date]]), 2))</f>
        <v>FY25</v>
      </c>
      <c r="K151">
        <f>IF(COUNTIFS(GiftData[Constituent_ID], GiftData[[#This Row],[Constituent_ID]], GiftData[Fiscal_Year], "FY24")&gt;0, 1, 0)</f>
        <v>1</v>
      </c>
      <c r="L151">
        <f>IF(COUNTIFS(GiftData[Constituent_ID], GiftData[[#This Row],[Constituent_ID]], GiftData[Fiscal_Year], "FY25")&gt;0, 1, 0)</f>
        <v>1</v>
      </c>
      <c r="M151">
        <f>IF(COUNTIFS(GiftData[Constituent_ID], GiftData[[#This Row],[Constituent_ID]], GiftData[Fiscal_Year], "FY26")&gt;0, 1, 0)</f>
        <v>1</v>
      </c>
      <c r="N151" t="str" cm="1">
        <f t="array" ref="N1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2" spans="1:14" x14ac:dyDescent="0.2">
      <c r="A152" t="s">
        <v>304</v>
      </c>
      <c r="B152" t="s">
        <v>305</v>
      </c>
      <c r="C152" t="s">
        <v>18</v>
      </c>
      <c r="D152" s="1">
        <v>45828</v>
      </c>
      <c r="E152">
        <v>39.72</v>
      </c>
      <c r="F152" t="s">
        <v>12</v>
      </c>
      <c r="G152" t="s">
        <v>13</v>
      </c>
      <c r="H152" t="s">
        <v>41</v>
      </c>
      <c r="I152" t="s">
        <v>38</v>
      </c>
      <c r="J152" t="str">
        <f>"FY" &amp; IF(MONTH(GiftData[[#This Row],[Gift_Date]])&gt;=7, RIGHT(YEAR(GiftData[[#This Row],[Gift_Date]])+1, 2), RIGHT(YEAR(GiftData[[#This Row],[Gift_Date]]), 2))</f>
        <v>FY25</v>
      </c>
      <c r="K152">
        <f>IF(COUNTIFS(GiftData[Constituent_ID], GiftData[[#This Row],[Constituent_ID]], GiftData[Fiscal_Year], "FY24")&gt;0, 1, 0)</f>
        <v>0</v>
      </c>
      <c r="L152">
        <f>IF(COUNTIFS(GiftData[Constituent_ID], GiftData[[#This Row],[Constituent_ID]], GiftData[Fiscal_Year], "FY25")&gt;0, 1, 0)</f>
        <v>1</v>
      </c>
      <c r="M152">
        <f>IF(COUNTIFS(GiftData[Constituent_ID], GiftData[[#This Row],[Constituent_ID]], GiftData[Fiscal_Year], "FY26")&gt;0, 1, 0)</f>
        <v>0</v>
      </c>
      <c r="N152" t="str" cm="1">
        <f t="array" ref="N1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53" spans="1:14" x14ac:dyDescent="0.2">
      <c r="A153" t="s">
        <v>306</v>
      </c>
      <c r="B153" t="s">
        <v>130</v>
      </c>
      <c r="C153" t="s">
        <v>11</v>
      </c>
      <c r="D153" s="1">
        <v>45179</v>
      </c>
      <c r="E153">
        <v>250.61</v>
      </c>
      <c r="F153" t="s">
        <v>12</v>
      </c>
      <c r="G153" t="s">
        <v>13</v>
      </c>
      <c r="H153" t="s">
        <v>41</v>
      </c>
      <c r="I153" t="s">
        <v>38</v>
      </c>
      <c r="J153" t="str">
        <f>"FY" &amp; IF(MONTH(GiftData[[#This Row],[Gift_Date]])&gt;=7, RIGHT(YEAR(GiftData[[#This Row],[Gift_Date]])+1, 2), RIGHT(YEAR(GiftData[[#This Row],[Gift_Date]]), 2))</f>
        <v>FY24</v>
      </c>
      <c r="K153">
        <f>IF(COUNTIFS(GiftData[Constituent_ID], GiftData[[#This Row],[Constituent_ID]], GiftData[Fiscal_Year], "FY24")&gt;0, 1, 0)</f>
        <v>1</v>
      </c>
      <c r="L153">
        <f>IF(COUNTIFS(GiftData[Constituent_ID], GiftData[[#This Row],[Constituent_ID]], GiftData[Fiscal_Year], "FY25")&gt;0, 1, 0)</f>
        <v>0</v>
      </c>
      <c r="M153">
        <f>IF(COUNTIFS(GiftData[Constituent_ID], GiftData[[#This Row],[Constituent_ID]], GiftData[Fiscal_Year], "FY26")&gt;0, 1, 0)</f>
        <v>1</v>
      </c>
      <c r="N153" t="str" cm="1">
        <f t="array" ref="N1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4" spans="1:14" x14ac:dyDescent="0.2">
      <c r="A154" t="s">
        <v>307</v>
      </c>
      <c r="B154" t="s">
        <v>308</v>
      </c>
      <c r="C154" t="s">
        <v>28</v>
      </c>
      <c r="D154" s="1">
        <v>45381</v>
      </c>
      <c r="E154">
        <v>1708.35</v>
      </c>
      <c r="F154" t="s">
        <v>12</v>
      </c>
      <c r="G154" t="s">
        <v>13</v>
      </c>
      <c r="H154" t="s">
        <v>164</v>
      </c>
      <c r="I154" t="s">
        <v>38</v>
      </c>
      <c r="J154" t="str">
        <f>"FY" &amp; IF(MONTH(GiftData[[#This Row],[Gift_Date]])&gt;=7, RIGHT(YEAR(GiftData[[#This Row],[Gift_Date]])+1, 2), RIGHT(YEAR(GiftData[[#This Row],[Gift_Date]]), 2))</f>
        <v>FY24</v>
      </c>
      <c r="K154">
        <f>IF(COUNTIFS(GiftData[Constituent_ID], GiftData[[#This Row],[Constituent_ID]], GiftData[Fiscal_Year], "FY24")&gt;0, 1, 0)</f>
        <v>1</v>
      </c>
      <c r="L154">
        <f>IF(COUNTIFS(GiftData[Constituent_ID], GiftData[[#This Row],[Constituent_ID]], GiftData[Fiscal_Year], "FY25")&gt;0, 1, 0)</f>
        <v>1</v>
      </c>
      <c r="M154">
        <f>IF(COUNTIFS(GiftData[Constituent_ID], GiftData[[#This Row],[Constituent_ID]], GiftData[Fiscal_Year], "FY26")&gt;0, 1, 0)</f>
        <v>1</v>
      </c>
      <c r="N154" t="str" cm="1">
        <f t="array" ref="N1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5" spans="1:14" x14ac:dyDescent="0.2">
      <c r="A155" t="s">
        <v>309</v>
      </c>
      <c r="B155" t="s">
        <v>310</v>
      </c>
      <c r="C155" t="s">
        <v>11</v>
      </c>
      <c r="D155" s="1">
        <v>45445</v>
      </c>
      <c r="E155">
        <v>135.77000000000001</v>
      </c>
      <c r="F155" t="s">
        <v>12</v>
      </c>
      <c r="G155" t="s">
        <v>13</v>
      </c>
      <c r="H155" t="s">
        <v>164</v>
      </c>
      <c r="I155" t="s">
        <v>56</v>
      </c>
      <c r="J155" t="str">
        <f>"FY" &amp; IF(MONTH(GiftData[[#This Row],[Gift_Date]])&gt;=7, RIGHT(YEAR(GiftData[[#This Row],[Gift_Date]])+1, 2), RIGHT(YEAR(GiftData[[#This Row],[Gift_Date]]), 2))</f>
        <v>FY24</v>
      </c>
      <c r="K155">
        <f>IF(COUNTIFS(GiftData[Constituent_ID], GiftData[[#This Row],[Constituent_ID]], GiftData[Fiscal_Year], "FY24")&gt;0, 1, 0)</f>
        <v>1</v>
      </c>
      <c r="L155">
        <f>IF(COUNTIFS(GiftData[Constituent_ID], GiftData[[#This Row],[Constituent_ID]], GiftData[Fiscal_Year], "FY25")&gt;0, 1, 0)</f>
        <v>1</v>
      </c>
      <c r="M155">
        <f>IF(COUNTIFS(GiftData[Constituent_ID], GiftData[[#This Row],[Constituent_ID]], GiftData[Fiscal_Year], "FY26")&gt;0, 1, 0)</f>
        <v>1</v>
      </c>
      <c r="N155" t="str" cm="1">
        <f t="array" ref="N1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6" spans="1:14" x14ac:dyDescent="0.2">
      <c r="A156" t="s">
        <v>311</v>
      </c>
      <c r="B156" t="s">
        <v>312</v>
      </c>
      <c r="C156" t="s">
        <v>35</v>
      </c>
      <c r="D156" s="1">
        <v>45714</v>
      </c>
      <c r="E156">
        <v>277.38</v>
      </c>
      <c r="F156" t="s">
        <v>12</v>
      </c>
      <c r="G156" t="s">
        <v>13</v>
      </c>
      <c r="H156" t="s">
        <v>41</v>
      </c>
      <c r="I156" t="s">
        <v>56</v>
      </c>
      <c r="J156" t="str">
        <f>"FY" &amp; IF(MONTH(GiftData[[#This Row],[Gift_Date]])&gt;=7, RIGHT(YEAR(GiftData[[#This Row],[Gift_Date]])+1, 2), RIGHT(YEAR(GiftData[[#This Row],[Gift_Date]]), 2))</f>
        <v>FY25</v>
      </c>
      <c r="K156">
        <f>IF(COUNTIFS(GiftData[Constituent_ID], GiftData[[#This Row],[Constituent_ID]], GiftData[Fiscal_Year], "FY24")&gt;0, 1, 0)</f>
        <v>1</v>
      </c>
      <c r="L156">
        <f>IF(COUNTIFS(GiftData[Constituent_ID], GiftData[[#This Row],[Constituent_ID]], GiftData[Fiscal_Year], "FY25")&gt;0, 1, 0)</f>
        <v>1</v>
      </c>
      <c r="M156">
        <f>IF(COUNTIFS(GiftData[Constituent_ID], GiftData[[#This Row],[Constituent_ID]], GiftData[Fiscal_Year], "FY26")&gt;0, 1, 0)</f>
        <v>0</v>
      </c>
      <c r="N156" t="str" cm="1">
        <f t="array" ref="N1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57" spans="1:14" x14ac:dyDescent="0.2">
      <c r="A157" t="s">
        <v>313</v>
      </c>
      <c r="B157" t="s">
        <v>314</v>
      </c>
      <c r="C157" t="s">
        <v>48</v>
      </c>
      <c r="D157" s="1">
        <v>45273</v>
      </c>
      <c r="E157">
        <v>62.72</v>
      </c>
      <c r="F157" t="s">
        <v>12</v>
      </c>
      <c r="G157" t="s">
        <v>13</v>
      </c>
      <c r="H157" t="s">
        <v>41</v>
      </c>
      <c r="I157" t="s">
        <v>38</v>
      </c>
      <c r="J157" t="str">
        <f>"FY" &amp; IF(MONTH(GiftData[[#This Row],[Gift_Date]])&gt;=7, RIGHT(YEAR(GiftData[[#This Row],[Gift_Date]])+1, 2), RIGHT(YEAR(GiftData[[#This Row],[Gift_Date]]), 2))</f>
        <v>FY24</v>
      </c>
      <c r="K157">
        <f>IF(COUNTIFS(GiftData[Constituent_ID], GiftData[[#This Row],[Constituent_ID]], GiftData[Fiscal_Year], "FY24")&gt;0, 1, 0)</f>
        <v>1</v>
      </c>
      <c r="L157">
        <f>IF(COUNTIFS(GiftData[Constituent_ID], GiftData[[#This Row],[Constituent_ID]], GiftData[Fiscal_Year], "FY25")&gt;0, 1, 0)</f>
        <v>0</v>
      </c>
      <c r="M157">
        <f>IF(COUNTIFS(GiftData[Constituent_ID], GiftData[[#This Row],[Constituent_ID]], GiftData[Fiscal_Year], "FY26")&gt;0, 1, 0)</f>
        <v>0</v>
      </c>
      <c r="N157" t="str" cm="1">
        <f t="array" ref="N1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58" spans="1:14" x14ac:dyDescent="0.2">
      <c r="A158" t="s">
        <v>315</v>
      </c>
      <c r="B158" t="s">
        <v>316</v>
      </c>
      <c r="C158" t="s">
        <v>18</v>
      </c>
      <c r="D158" s="1">
        <v>45118</v>
      </c>
      <c r="E158">
        <v>24.19</v>
      </c>
      <c r="F158" t="s">
        <v>12</v>
      </c>
      <c r="G158" t="s">
        <v>13</v>
      </c>
      <c r="H158" t="s">
        <v>20</v>
      </c>
      <c r="I158" t="s">
        <v>38</v>
      </c>
      <c r="J158" t="str">
        <f>"FY" &amp; IF(MONTH(GiftData[[#This Row],[Gift_Date]])&gt;=7, RIGHT(YEAR(GiftData[[#This Row],[Gift_Date]])+1, 2), RIGHT(YEAR(GiftData[[#This Row],[Gift_Date]]), 2))</f>
        <v>FY24</v>
      </c>
      <c r="K158">
        <f>IF(COUNTIFS(GiftData[Constituent_ID], GiftData[[#This Row],[Constituent_ID]], GiftData[Fiscal_Year], "FY24")&gt;0, 1, 0)</f>
        <v>1</v>
      </c>
      <c r="L158">
        <f>IF(COUNTIFS(GiftData[Constituent_ID], GiftData[[#This Row],[Constituent_ID]], GiftData[Fiscal_Year], "FY25")&gt;0, 1, 0)</f>
        <v>0</v>
      </c>
      <c r="M158">
        <f>IF(COUNTIFS(GiftData[Constituent_ID], GiftData[[#This Row],[Constituent_ID]], GiftData[Fiscal_Year], "FY26")&gt;0, 1, 0)</f>
        <v>1</v>
      </c>
      <c r="N158" t="str" cm="1">
        <f t="array" ref="N1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59" spans="1:14" x14ac:dyDescent="0.2">
      <c r="A159" t="s">
        <v>317</v>
      </c>
      <c r="B159" t="s">
        <v>318</v>
      </c>
      <c r="C159" t="s">
        <v>11</v>
      </c>
      <c r="D159" s="1">
        <v>45836</v>
      </c>
      <c r="E159">
        <v>150.83000000000001</v>
      </c>
      <c r="F159" t="s">
        <v>12</v>
      </c>
      <c r="G159" t="s">
        <v>13</v>
      </c>
      <c r="H159" t="s">
        <v>51</v>
      </c>
      <c r="I159" t="s">
        <v>15</v>
      </c>
      <c r="J159" t="str">
        <f>"FY" &amp; IF(MONTH(GiftData[[#This Row],[Gift_Date]])&gt;=7, RIGHT(YEAR(GiftData[[#This Row],[Gift_Date]])+1, 2), RIGHT(YEAR(GiftData[[#This Row],[Gift_Date]]), 2))</f>
        <v>FY25</v>
      </c>
      <c r="K159">
        <f>IF(COUNTIFS(GiftData[Constituent_ID], GiftData[[#This Row],[Constituent_ID]], GiftData[Fiscal_Year], "FY24")&gt;0, 1, 0)</f>
        <v>1</v>
      </c>
      <c r="L159">
        <f>IF(COUNTIFS(GiftData[Constituent_ID], GiftData[[#This Row],[Constituent_ID]], GiftData[Fiscal_Year], "FY25")&gt;0, 1, 0)</f>
        <v>1</v>
      </c>
      <c r="M159">
        <f>IF(COUNTIFS(GiftData[Constituent_ID], GiftData[[#This Row],[Constituent_ID]], GiftData[Fiscal_Year], "FY26")&gt;0, 1, 0)</f>
        <v>1</v>
      </c>
      <c r="N159" t="str" cm="1">
        <f t="array" ref="N1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0" spans="1:14" x14ac:dyDescent="0.2">
      <c r="A160" t="s">
        <v>319</v>
      </c>
      <c r="B160" t="s">
        <v>320</v>
      </c>
      <c r="C160" t="s">
        <v>11</v>
      </c>
      <c r="D160" s="1">
        <v>45908</v>
      </c>
      <c r="E160">
        <v>185.25</v>
      </c>
      <c r="F160" t="s">
        <v>12</v>
      </c>
      <c r="G160" t="s">
        <v>29</v>
      </c>
      <c r="H160" t="s">
        <v>14</v>
      </c>
      <c r="I160" t="s">
        <v>38</v>
      </c>
      <c r="J160" t="str">
        <f>"FY" &amp; IF(MONTH(GiftData[[#This Row],[Gift_Date]])&gt;=7, RIGHT(YEAR(GiftData[[#This Row],[Gift_Date]])+1, 2), RIGHT(YEAR(GiftData[[#This Row],[Gift_Date]]), 2))</f>
        <v>FY26</v>
      </c>
      <c r="K160">
        <f>IF(COUNTIFS(GiftData[Constituent_ID], GiftData[[#This Row],[Constituent_ID]], GiftData[Fiscal_Year], "FY24")&gt;0, 1, 0)</f>
        <v>1</v>
      </c>
      <c r="L160">
        <f>IF(COUNTIFS(GiftData[Constituent_ID], GiftData[[#This Row],[Constituent_ID]], GiftData[Fiscal_Year], "FY25")&gt;0, 1, 0)</f>
        <v>1</v>
      </c>
      <c r="M160">
        <f>IF(COUNTIFS(GiftData[Constituent_ID], GiftData[[#This Row],[Constituent_ID]], GiftData[Fiscal_Year], "FY26")&gt;0, 1, 0)</f>
        <v>1</v>
      </c>
      <c r="N160" t="str" cm="1">
        <f t="array" ref="N1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1" spans="1:14" x14ac:dyDescent="0.2">
      <c r="A161" t="s">
        <v>321</v>
      </c>
      <c r="B161" t="s">
        <v>132</v>
      </c>
      <c r="C161" t="s">
        <v>11</v>
      </c>
      <c r="D161" s="1">
        <v>45209</v>
      </c>
      <c r="E161">
        <v>76.3</v>
      </c>
      <c r="F161" t="s">
        <v>12</v>
      </c>
      <c r="G161" t="s">
        <v>13</v>
      </c>
      <c r="H161" t="s">
        <v>20</v>
      </c>
      <c r="I161" t="s">
        <v>15</v>
      </c>
      <c r="J161" t="str">
        <f>"FY" &amp; IF(MONTH(GiftData[[#This Row],[Gift_Date]])&gt;=7, RIGHT(YEAR(GiftData[[#This Row],[Gift_Date]])+1, 2), RIGHT(YEAR(GiftData[[#This Row],[Gift_Date]]), 2))</f>
        <v>FY24</v>
      </c>
      <c r="K161">
        <f>IF(COUNTIFS(GiftData[Constituent_ID], GiftData[[#This Row],[Constituent_ID]], GiftData[Fiscal_Year], "FY24")&gt;0, 1, 0)</f>
        <v>1</v>
      </c>
      <c r="L161">
        <f>IF(COUNTIFS(GiftData[Constituent_ID], GiftData[[#This Row],[Constituent_ID]], GiftData[Fiscal_Year], "FY25")&gt;0, 1, 0)</f>
        <v>0</v>
      </c>
      <c r="M161">
        <f>IF(COUNTIFS(GiftData[Constituent_ID], GiftData[[#This Row],[Constituent_ID]], GiftData[Fiscal_Year], "FY26")&gt;0, 1, 0)</f>
        <v>1</v>
      </c>
      <c r="N161" t="str" cm="1">
        <f t="array" ref="N1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2" spans="1:14" x14ac:dyDescent="0.2">
      <c r="A162" t="s">
        <v>322</v>
      </c>
      <c r="B162" t="s">
        <v>323</v>
      </c>
      <c r="C162" t="s">
        <v>18</v>
      </c>
      <c r="D162" s="1">
        <v>45886</v>
      </c>
      <c r="E162">
        <v>275.99</v>
      </c>
      <c r="F162" t="s">
        <v>12</v>
      </c>
      <c r="G162" t="s">
        <v>29</v>
      </c>
      <c r="H162" t="s">
        <v>14</v>
      </c>
      <c r="I162" t="s">
        <v>15</v>
      </c>
      <c r="J162" t="str">
        <f>"FY" &amp; IF(MONTH(GiftData[[#This Row],[Gift_Date]])&gt;=7, RIGHT(YEAR(GiftData[[#This Row],[Gift_Date]])+1, 2), RIGHT(YEAR(GiftData[[#This Row],[Gift_Date]]), 2))</f>
        <v>FY26</v>
      </c>
      <c r="K162">
        <f>IF(COUNTIFS(GiftData[Constituent_ID], GiftData[[#This Row],[Constituent_ID]], GiftData[Fiscal_Year], "FY24")&gt;0, 1, 0)</f>
        <v>0</v>
      </c>
      <c r="L162">
        <f>IF(COUNTIFS(GiftData[Constituent_ID], GiftData[[#This Row],[Constituent_ID]], GiftData[Fiscal_Year], "FY25")&gt;0, 1, 0)</f>
        <v>0</v>
      </c>
      <c r="M162">
        <f>IF(COUNTIFS(GiftData[Constituent_ID], GiftData[[#This Row],[Constituent_ID]], GiftData[Fiscal_Year], "FY26")&gt;0, 1, 0)</f>
        <v>1</v>
      </c>
      <c r="N162" t="str" cm="1">
        <f t="array" ref="N1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3" spans="1:14" x14ac:dyDescent="0.2">
      <c r="A163" t="s">
        <v>324</v>
      </c>
      <c r="B163" t="s">
        <v>325</v>
      </c>
      <c r="C163" t="s">
        <v>18</v>
      </c>
      <c r="D163" s="1">
        <v>45321</v>
      </c>
      <c r="E163">
        <v>51.92</v>
      </c>
      <c r="F163" t="s">
        <v>25</v>
      </c>
      <c r="G163" t="s">
        <v>13</v>
      </c>
      <c r="H163" t="s">
        <v>51</v>
      </c>
      <c r="I163" t="s">
        <v>56</v>
      </c>
      <c r="J163" t="str">
        <f>"FY" &amp; IF(MONTH(GiftData[[#This Row],[Gift_Date]])&gt;=7, RIGHT(YEAR(GiftData[[#This Row],[Gift_Date]])+1, 2), RIGHT(YEAR(GiftData[[#This Row],[Gift_Date]]), 2))</f>
        <v>FY24</v>
      </c>
      <c r="K163">
        <f>IF(COUNTIFS(GiftData[Constituent_ID], GiftData[[#This Row],[Constituent_ID]], GiftData[Fiscal_Year], "FY24")&gt;0, 1, 0)</f>
        <v>1</v>
      </c>
      <c r="L163">
        <f>IF(COUNTIFS(GiftData[Constituent_ID], GiftData[[#This Row],[Constituent_ID]], GiftData[Fiscal_Year], "FY25")&gt;0, 1, 0)</f>
        <v>0</v>
      </c>
      <c r="M163">
        <f>IF(COUNTIFS(GiftData[Constituent_ID], GiftData[[#This Row],[Constituent_ID]], GiftData[Fiscal_Year], "FY26")&gt;0, 1, 0)</f>
        <v>0</v>
      </c>
      <c r="N163" t="str" cm="1">
        <f t="array" ref="N1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64" spans="1:14" x14ac:dyDescent="0.2">
      <c r="A164" t="s">
        <v>326</v>
      </c>
      <c r="B164" t="s">
        <v>327</v>
      </c>
      <c r="C164" t="s">
        <v>35</v>
      </c>
      <c r="D164" s="1">
        <v>45508</v>
      </c>
      <c r="E164">
        <v>37.61</v>
      </c>
      <c r="F164" t="s">
        <v>59</v>
      </c>
      <c r="G164" t="s">
        <v>13</v>
      </c>
      <c r="H164" t="s">
        <v>20</v>
      </c>
      <c r="I164" t="s">
        <v>15</v>
      </c>
      <c r="J164" t="str">
        <f>"FY" &amp; IF(MONTH(GiftData[[#This Row],[Gift_Date]])&gt;=7, RIGHT(YEAR(GiftData[[#This Row],[Gift_Date]])+1, 2), RIGHT(YEAR(GiftData[[#This Row],[Gift_Date]]), 2))</f>
        <v>FY25</v>
      </c>
      <c r="K164">
        <f>IF(COUNTIFS(GiftData[Constituent_ID], GiftData[[#This Row],[Constituent_ID]], GiftData[Fiscal_Year], "FY24")&gt;0, 1, 0)</f>
        <v>0</v>
      </c>
      <c r="L164">
        <f>IF(COUNTIFS(GiftData[Constituent_ID], GiftData[[#This Row],[Constituent_ID]], GiftData[Fiscal_Year], "FY25")&gt;0, 1, 0)</f>
        <v>1</v>
      </c>
      <c r="M164">
        <f>IF(COUNTIFS(GiftData[Constituent_ID], GiftData[[#This Row],[Constituent_ID]], GiftData[Fiscal_Year], "FY26")&gt;0, 1, 0)</f>
        <v>1</v>
      </c>
      <c r="N164" t="str" cm="1">
        <f t="array" ref="N1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5" spans="1:14" x14ac:dyDescent="0.2">
      <c r="A165" t="s">
        <v>328</v>
      </c>
      <c r="B165" t="s">
        <v>329</v>
      </c>
      <c r="C165" t="s">
        <v>11</v>
      </c>
      <c r="D165" s="1">
        <v>45695</v>
      </c>
      <c r="E165">
        <v>482.43</v>
      </c>
      <c r="F165" t="s">
        <v>25</v>
      </c>
      <c r="G165" t="s">
        <v>13</v>
      </c>
      <c r="H165" t="s">
        <v>14</v>
      </c>
      <c r="I165" t="s">
        <v>30</v>
      </c>
      <c r="J165" t="str">
        <f>"FY" &amp; IF(MONTH(GiftData[[#This Row],[Gift_Date]])&gt;=7, RIGHT(YEAR(GiftData[[#This Row],[Gift_Date]])+1, 2), RIGHT(YEAR(GiftData[[#This Row],[Gift_Date]]), 2))</f>
        <v>FY25</v>
      </c>
      <c r="K165">
        <f>IF(COUNTIFS(GiftData[Constituent_ID], GiftData[[#This Row],[Constituent_ID]], GiftData[Fiscal_Year], "FY24")&gt;0, 1, 0)</f>
        <v>0</v>
      </c>
      <c r="L165">
        <f>IF(COUNTIFS(GiftData[Constituent_ID], GiftData[[#This Row],[Constituent_ID]], GiftData[Fiscal_Year], "FY25")&gt;0, 1, 0)</f>
        <v>1</v>
      </c>
      <c r="M165">
        <f>IF(COUNTIFS(GiftData[Constituent_ID], GiftData[[#This Row],[Constituent_ID]], GiftData[Fiscal_Year], "FY26")&gt;0, 1, 0)</f>
        <v>0</v>
      </c>
      <c r="N165" t="str" cm="1">
        <f t="array" ref="N1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66" spans="1:14" x14ac:dyDescent="0.2">
      <c r="A166" t="s">
        <v>330</v>
      </c>
      <c r="B166" t="s">
        <v>97</v>
      </c>
      <c r="C166" t="s">
        <v>11</v>
      </c>
      <c r="D166" s="1">
        <v>45996</v>
      </c>
      <c r="E166">
        <v>485.39</v>
      </c>
      <c r="F166" t="s">
        <v>12</v>
      </c>
      <c r="G166" t="s">
        <v>13</v>
      </c>
      <c r="H166" t="s">
        <v>14</v>
      </c>
      <c r="I166" t="s">
        <v>15</v>
      </c>
      <c r="J166" t="str">
        <f>"FY" &amp; IF(MONTH(GiftData[[#This Row],[Gift_Date]])&gt;=7, RIGHT(YEAR(GiftData[[#This Row],[Gift_Date]])+1, 2), RIGHT(YEAR(GiftData[[#This Row],[Gift_Date]]), 2))</f>
        <v>FY26</v>
      </c>
      <c r="K166">
        <f>IF(COUNTIFS(GiftData[Constituent_ID], GiftData[[#This Row],[Constituent_ID]], GiftData[Fiscal_Year], "FY24")&gt;0, 1, 0)</f>
        <v>1</v>
      </c>
      <c r="L166">
        <f>IF(COUNTIFS(GiftData[Constituent_ID], GiftData[[#This Row],[Constituent_ID]], GiftData[Fiscal_Year], "FY25")&gt;0, 1, 0)</f>
        <v>1</v>
      </c>
      <c r="M166">
        <f>IF(COUNTIFS(GiftData[Constituent_ID], GiftData[[#This Row],[Constituent_ID]], GiftData[Fiscal_Year], "FY26")&gt;0, 1, 0)</f>
        <v>1</v>
      </c>
      <c r="N166" t="str" cm="1">
        <f t="array" ref="N1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7" spans="1:14" x14ac:dyDescent="0.2">
      <c r="A167" t="s">
        <v>331</v>
      </c>
      <c r="B167" t="s">
        <v>236</v>
      </c>
      <c r="C167" t="s">
        <v>48</v>
      </c>
      <c r="D167" s="1">
        <v>45699</v>
      </c>
      <c r="E167">
        <v>53.27</v>
      </c>
      <c r="F167" t="s">
        <v>59</v>
      </c>
      <c r="G167" t="s">
        <v>13</v>
      </c>
      <c r="H167" t="s">
        <v>20</v>
      </c>
      <c r="I167" t="s">
        <v>15</v>
      </c>
      <c r="J167" t="str">
        <f>"FY" &amp; IF(MONTH(GiftData[[#This Row],[Gift_Date]])&gt;=7, RIGHT(YEAR(GiftData[[#This Row],[Gift_Date]])+1, 2), RIGHT(YEAR(GiftData[[#This Row],[Gift_Date]]), 2))</f>
        <v>FY25</v>
      </c>
      <c r="K167">
        <f>IF(COUNTIFS(GiftData[Constituent_ID], GiftData[[#This Row],[Constituent_ID]], GiftData[Fiscal_Year], "FY24")&gt;0, 1, 0)</f>
        <v>1</v>
      </c>
      <c r="L167">
        <f>IF(COUNTIFS(GiftData[Constituent_ID], GiftData[[#This Row],[Constituent_ID]], GiftData[Fiscal_Year], "FY25")&gt;0, 1, 0)</f>
        <v>1</v>
      </c>
      <c r="M167">
        <f>IF(COUNTIFS(GiftData[Constituent_ID], GiftData[[#This Row],[Constituent_ID]], GiftData[Fiscal_Year], "FY26")&gt;0, 1, 0)</f>
        <v>1</v>
      </c>
      <c r="N167" t="str" cm="1">
        <f t="array" ref="N1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8" spans="1:14" x14ac:dyDescent="0.2">
      <c r="A168" t="s">
        <v>332</v>
      </c>
      <c r="B168" t="s">
        <v>333</v>
      </c>
      <c r="C168" t="s">
        <v>35</v>
      </c>
      <c r="D168" s="1">
        <v>45199</v>
      </c>
      <c r="E168">
        <v>1135.1300000000001</v>
      </c>
      <c r="F168" t="s">
        <v>25</v>
      </c>
      <c r="G168" t="s">
        <v>13</v>
      </c>
      <c r="H168" t="s">
        <v>20</v>
      </c>
      <c r="I168" t="s">
        <v>15</v>
      </c>
      <c r="J168" t="str">
        <f>"FY" &amp; IF(MONTH(GiftData[[#This Row],[Gift_Date]])&gt;=7, RIGHT(YEAR(GiftData[[#This Row],[Gift_Date]])+1, 2), RIGHT(YEAR(GiftData[[#This Row],[Gift_Date]]), 2))</f>
        <v>FY24</v>
      </c>
      <c r="K168">
        <f>IF(COUNTIFS(GiftData[Constituent_ID], GiftData[[#This Row],[Constituent_ID]], GiftData[Fiscal_Year], "FY24")&gt;0, 1, 0)</f>
        <v>1</v>
      </c>
      <c r="L168">
        <f>IF(COUNTIFS(GiftData[Constituent_ID], GiftData[[#This Row],[Constituent_ID]], GiftData[Fiscal_Year], "FY25")&gt;0, 1, 0)</f>
        <v>1</v>
      </c>
      <c r="M168">
        <f>IF(COUNTIFS(GiftData[Constituent_ID], GiftData[[#This Row],[Constituent_ID]], GiftData[Fiscal_Year], "FY26")&gt;0, 1, 0)</f>
        <v>1</v>
      </c>
      <c r="N168" t="str" cm="1">
        <f t="array" ref="N1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69" spans="1:14" x14ac:dyDescent="0.2">
      <c r="A169" t="s">
        <v>334</v>
      </c>
      <c r="B169" t="s">
        <v>335</v>
      </c>
      <c r="C169" t="s">
        <v>18</v>
      </c>
      <c r="D169" s="1">
        <v>45780</v>
      </c>
      <c r="E169">
        <v>83.66</v>
      </c>
      <c r="F169" t="s">
        <v>12</v>
      </c>
      <c r="G169" t="s">
        <v>13</v>
      </c>
      <c r="H169" t="s">
        <v>51</v>
      </c>
      <c r="I169" t="s">
        <v>15</v>
      </c>
      <c r="J169" t="str">
        <f>"FY" &amp; IF(MONTH(GiftData[[#This Row],[Gift_Date]])&gt;=7, RIGHT(YEAR(GiftData[[#This Row],[Gift_Date]])+1, 2), RIGHT(YEAR(GiftData[[#This Row],[Gift_Date]]), 2))</f>
        <v>FY25</v>
      </c>
      <c r="K169">
        <f>IF(COUNTIFS(GiftData[Constituent_ID], GiftData[[#This Row],[Constituent_ID]], GiftData[Fiscal_Year], "FY24")&gt;0, 1, 0)</f>
        <v>1</v>
      </c>
      <c r="L169">
        <f>IF(COUNTIFS(GiftData[Constituent_ID], GiftData[[#This Row],[Constituent_ID]], GiftData[Fiscal_Year], "FY25")&gt;0, 1, 0)</f>
        <v>1</v>
      </c>
      <c r="M169">
        <f>IF(COUNTIFS(GiftData[Constituent_ID], GiftData[[#This Row],[Constituent_ID]], GiftData[Fiscal_Year], "FY26")&gt;0, 1, 0)</f>
        <v>1</v>
      </c>
      <c r="N169" t="str" cm="1">
        <f t="array" ref="N1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0" spans="1:14" x14ac:dyDescent="0.2">
      <c r="A170" t="s">
        <v>336</v>
      </c>
      <c r="B170" t="s">
        <v>277</v>
      </c>
      <c r="C170" t="s">
        <v>28</v>
      </c>
      <c r="D170" s="1">
        <v>45821</v>
      </c>
      <c r="E170">
        <v>135.66999999999999</v>
      </c>
      <c r="F170" t="s">
        <v>12</v>
      </c>
      <c r="G170" t="s">
        <v>29</v>
      </c>
      <c r="H170" t="s">
        <v>51</v>
      </c>
      <c r="I170" t="s">
        <v>15</v>
      </c>
      <c r="J170" t="str">
        <f>"FY" &amp; IF(MONTH(GiftData[[#This Row],[Gift_Date]])&gt;=7, RIGHT(YEAR(GiftData[[#This Row],[Gift_Date]])+1, 2), RIGHT(YEAR(GiftData[[#This Row],[Gift_Date]]), 2))</f>
        <v>FY25</v>
      </c>
      <c r="K170">
        <f>IF(COUNTIFS(GiftData[Constituent_ID], GiftData[[#This Row],[Constituent_ID]], GiftData[Fiscal_Year], "FY24")&gt;0, 1, 0)</f>
        <v>1</v>
      </c>
      <c r="L170">
        <f>IF(COUNTIFS(GiftData[Constituent_ID], GiftData[[#This Row],[Constituent_ID]], GiftData[Fiscal_Year], "FY25")&gt;0, 1, 0)</f>
        <v>1</v>
      </c>
      <c r="M170">
        <f>IF(COUNTIFS(GiftData[Constituent_ID], GiftData[[#This Row],[Constituent_ID]], GiftData[Fiscal_Year], "FY26")&gt;0, 1, 0)</f>
        <v>1</v>
      </c>
      <c r="N170" t="str" cm="1">
        <f t="array" ref="N1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1" spans="1:14" x14ac:dyDescent="0.2">
      <c r="A171" t="s">
        <v>337</v>
      </c>
      <c r="B171" t="s">
        <v>99</v>
      </c>
      <c r="C171" t="s">
        <v>11</v>
      </c>
      <c r="D171" s="1">
        <v>46043</v>
      </c>
      <c r="E171">
        <v>108.85</v>
      </c>
      <c r="F171" t="s">
        <v>59</v>
      </c>
      <c r="G171" t="s">
        <v>13</v>
      </c>
      <c r="H171" t="s">
        <v>20</v>
      </c>
      <c r="I171" t="s">
        <v>15</v>
      </c>
      <c r="J171" t="str">
        <f>"FY" &amp; IF(MONTH(GiftData[[#This Row],[Gift_Date]])&gt;=7, RIGHT(YEAR(GiftData[[#This Row],[Gift_Date]])+1, 2), RIGHT(YEAR(GiftData[[#This Row],[Gift_Date]]), 2))</f>
        <v>FY26</v>
      </c>
      <c r="K171">
        <f>IF(COUNTIFS(GiftData[Constituent_ID], GiftData[[#This Row],[Constituent_ID]], GiftData[Fiscal_Year], "FY24")&gt;0, 1, 0)</f>
        <v>1</v>
      </c>
      <c r="L171">
        <f>IF(COUNTIFS(GiftData[Constituent_ID], GiftData[[#This Row],[Constituent_ID]], GiftData[Fiscal_Year], "FY25")&gt;0, 1, 0)</f>
        <v>0</v>
      </c>
      <c r="M171">
        <f>IF(COUNTIFS(GiftData[Constituent_ID], GiftData[[#This Row],[Constituent_ID]], GiftData[Fiscal_Year], "FY26")&gt;0, 1, 0)</f>
        <v>1</v>
      </c>
      <c r="N171" t="str" cm="1">
        <f t="array" ref="N1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2" spans="1:14" x14ac:dyDescent="0.2">
      <c r="A172" t="s">
        <v>338</v>
      </c>
      <c r="B172" t="s">
        <v>339</v>
      </c>
      <c r="C172" t="s">
        <v>35</v>
      </c>
      <c r="D172" s="1">
        <v>45349</v>
      </c>
      <c r="E172">
        <v>240.06</v>
      </c>
      <c r="F172" t="s">
        <v>12</v>
      </c>
      <c r="G172" t="s">
        <v>13</v>
      </c>
      <c r="H172" t="s">
        <v>51</v>
      </c>
      <c r="I172" t="s">
        <v>15</v>
      </c>
      <c r="J172" t="str">
        <f>"FY" &amp; IF(MONTH(GiftData[[#This Row],[Gift_Date]])&gt;=7, RIGHT(YEAR(GiftData[[#This Row],[Gift_Date]])+1, 2), RIGHT(YEAR(GiftData[[#This Row],[Gift_Date]]), 2))</f>
        <v>FY24</v>
      </c>
      <c r="K172">
        <f>IF(COUNTIFS(GiftData[Constituent_ID], GiftData[[#This Row],[Constituent_ID]], GiftData[Fiscal_Year], "FY24")&gt;0, 1, 0)</f>
        <v>1</v>
      </c>
      <c r="L172">
        <f>IF(COUNTIFS(GiftData[Constituent_ID], GiftData[[#This Row],[Constituent_ID]], GiftData[Fiscal_Year], "FY25")&gt;0, 1, 0)</f>
        <v>1</v>
      </c>
      <c r="M172">
        <f>IF(COUNTIFS(GiftData[Constituent_ID], GiftData[[#This Row],[Constituent_ID]], GiftData[Fiscal_Year], "FY26")&gt;0, 1, 0)</f>
        <v>1</v>
      </c>
      <c r="N172" t="str" cm="1">
        <f t="array" ref="N1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3" spans="1:14" x14ac:dyDescent="0.2">
      <c r="A173" t="s">
        <v>340</v>
      </c>
      <c r="B173" t="s">
        <v>333</v>
      </c>
      <c r="C173" t="s">
        <v>28</v>
      </c>
      <c r="D173" s="1">
        <v>45109</v>
      </c>
      <c r="E173">
        <v>172.92</v>
      </c>
      <c r="F173" t="s">
        <v>12</v>
      </c>
      <c r="G173" t="s">
        <v>13</v>
      </c>
      <c r="H173" t="s">
        <v>41</v>
      </c>
      <c r="I173" t="s">
        <v>15</v>
      </c>
      <c r="J173" t="str">
        <f>"FY" &amp; IF(MONTH(GiftData[[#This Row],[Gift_Date]])&gt;=7, RIGHT(YEAR(GiftData[[#This Row],[Gift_Date]])+1, 2), RIGHT(YEAR(GiftData[[#This Row],[Gift_Date]]), 2))</f>
        <v>FY24</v>
      </c>
      <c r="K173">
        <f>IF(COUNTIFS(GiftData[Constituent_ID], GiftData[[#This Row],[Constituent_ID]], GiftData[Fiscal_Year], "FY24")&gt;0, 1, 0)</f>
        <v>1</v>
      </c>
      <c r="L173">
        <f>IF(COUNTIFS(GiftData[Constituent_ID], GiftData[[#This Row],[Constituent_ID]], GiftData[Fiscal_Year], "FY25")&gt;0, 1, 0)</f>
        <v>1</v>
      </c>
      <c r="M173">
        <f>IF(COUNTIFS(GiftData[Constituent_ID], GiftData[[#This Row],[Constituent_ID]], GiftData[Fiscal_Year], "FY26")&gt;0, 1, 0)</f>
        <v>1</v>
      </c>
      <c r="N173" t="str" cm="1">
        <f t="array" ref="N1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4" spans="1:14" x14ac:dyDescent="0.2">
      <c r="A174" t="s">
        <v>341</v>
      </c>
      <c r="B174" t="s">
        <v>342</v>
      </c>
      <c r="C174" t="s">
        <v>28</v>
      </c>
      <c r="D174" s="1">
        <v>45332</v>
      </c>
      <c r="E174">
        <v>169.92</v>
      </c>
      <c r="F174" t="s">
        <v>25</v>
      </c>
      <c r="G174" t="s">
        <v>13</v>
      </c>
      <c r="H174" t="s">
        <v>14</v>
      </c>
      <c r="I174" t="s">
        <v>15</v>
      </c>
      <c r="J174" t="str">
        <f>"FY" &amp; IF(MONTH(GiftData[[#This Row],[Gift_Date]])&gt;=7, RIGHT(YEAR(GiftData[[#This Row],[Gift_Date]])+1, 2), RIGHT(YEAR(GiftData[[#This Row],[Gift_Date]]), 2))</f>
        <v>FY24</v>
      </c>
      <c r="K174">
        <f>IF(COUNTIFS(GiftData[Constituent_ID], GiftData[[#This Row],[Constituent_ID]], GiftData[Fiscal_Year], "FY24")&gt;0, 1, 0)</f>
        <v>1</v>
      </c>
      <c r="L174">
        <f>IF(COUNTIFS(GiftData[Constituent_ID], GiftData[[#This Row],[Constituent_ID]], GiftData[Fiscal_Year], "FY25")&gt;0, 1, 0)</f>
        <v>0</v>
      </c>
      <c r="M174">
        <f>IF(COUNTIFS(GiftData[Constituent_ID], GiftData[[#This Row],[Constituent_ID]], GiftData[Fiscal_Year], "FY26")&gt;0, 1, 0)</f>
        <v>0</v>
      </c>
      <c r="N174" t="str" cm="1">
        <f t="array" ref="N1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75" spans="1:14" x14ac:dyDescent="0.2">
      <c r="A175" t="s">
        <v>343</v>
      </c>
      <c r="B175" t="s">
        <v>344</v>
      </c>
      <c r="C175" t="s">
        <v>11</v>
      </c>
      <c r="D175" s="1">
        <v>45908</v>
      </c>
      <c r="E175">
        <v>32.28</v>
      </c>
      <c r="F175" t="s">
        <v>59</v>
      </c>
      <c r="G175" t="s">
        <v>13</v>
      </c>
      <c r="H175" t="s">
        <v>41</v>
      </c>
      <c r="I175" t="s">
        <v>38</v>
      </c>
      <c r="J175" t="str">
        <f>"FY" &amp; IF(MONTH(GiftData[[#This Row],[Gift_Date]])&gt;=7, RIGHT(YEAR(GiftData[[#This Row],[Gift_Date]])+1, 2), RIGHT(YEAR(GiftData[[#This Row],[Gift_Date]]), 2))</f>
        <v>FY26</v>
      </c>
      <c r="K175">
        <f>IF(COUNTIFS(GiftData[Constituent_ID], GiftData[[#This Row],[Constituent_ID]], GiftData[Fiscal_Year], "FY24")&gt;0, 1, 0)</f>
        <v>1</v>
      </c>
      <c r="L175">
        <f>IF(COUNTIFS(GiftData[Constituent_ID], GiftData[[#This Row],[Constituent_ID]], GiftData[Fiscal_Year], "FY25")&gt;0, 1, 0)</f>
        <v>1</v>
      </c>
      <c r="M175">
        <f>IF(COUNTIFS(GiftData[Constituent_ID], GiftData[[#This Row],[Constituent_ID]], GiftData[Fiscal_Year], "FY26")&gt;0, 1, 0)</f>
        <v>1</v>
      </c>
      <c r="N175" t="str" cm="1">
        <f t="array" ref="N1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6" spans="1:14" x14ac:dyDescent="0.2">
      <c r="A176" t="s">
        <v>345</v>
      </c>
      <c r="B176" t="s">
        <v>346</v>
      </c>
      <c r="C176" t="s">
        <v>35</v>
      </c>
      <c r="D176" s="1">
        <v>45696</v>
      </c>
      <c r="E176">
        <v>15</v>
      </c>
      <c r="F176" t="s">
        <v>12</v>
      </c>
      <c r="G176" t="s">
        <v>29</v>
      </c>
      <c r="H176" t="s">
        <v>164</v>
      </c>
      <c r="I176" t="s">
        <v>15</v>
      </c>
      <c r="J176" t="str">
        <f>"FY" &amp; IF(MONTH(GiftData[[#This Row],[Gift_Date]])&gt;=7, RIGHT(YEAR(GiftData[[#This Row],[Gift_Date]])+1, 2), RIGHT(YEAR(GiftData[[#This Row],[Gift_Date]]), 2))</f>
        <v>FY25</v>
      </c>
      <c r="K176">
        <f>IF(COUNTIFS(GiftData[Constituent_ID], GiftData[[#This Row],[Constituent_ID]], GiftData[Fiscal_Year], "FY24")&gt;0, 1, 0)</f>
        <v>1</v>
      </c>
      <c r="L176">
        <f>IF(COUNTIFS(GiftData[Constituent_ID], GiftData[[#This Row],[Constituent_ID]], GiftData[Fiscal_Year], "FY25")&gt;0, 1, 0)</f>
        <v>1</v>
      </c>
      <c r="M176">
        <f>IF(COUNTIFS(GiftData[Constituent_ID], GiftData[[#This Row],[Constituent_ID]], GiftData[Fiscal_Year], "FY26")&gt;0, 1, 0)</f>
        <v>0</v>
      </c>
      <c r="N176" t="str" cm="1">
        <f t="array" ref="N1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77" spans="1:14" x14ac:dyDescent="0.2">
      <c r="A177" t="s">
        <v>347</v>
      </c>
      <c r="B177" t="s">
        <v>348</v>
      </c>
      <c r="C177" t="s">
        <v>18</v>
      </c>
      <c r="D177" s="1">
        <v>45223</v>
      </c>
      <c r="E177">
        <v>536.36</v>
      </c>
      <c r="F177" t="s">
        <v>12</v>
      </c>
      <c r="G177" t="s">
        <v>29</v>
      </c>
      <c r="H177" t="s">
        <v>14</v>
      </c>
      <c r="I177" t="s">
        <v>38</v>
      </c>
      <c r="J177" t="str">
        <f>"FY" &amp; IF(MONTH(GiftData[[#This Row],[Gift_Date]])&gt;=7, RIGHT(YEAR(GiftData[[#This Row],[Gift_Date]])+1, 2), RIGHT(YEAR(GiftData[[#This Row],[Gift_Date]]), 2))</f>
        <v>FY24</v>
      </c>
      <c r="K177">
        <f>IF(COUNTIFS(GiftData[Constituent_ID], GiftData[[#This Row],[Constituent_ID]], GiftData[Fiscal_Year], "FY24")&gt;0, 1, 0)</f>
        <v>1</v>
      </c>
      <c r="L177">
        <f>IF(COUNTIFS(GiftData[Constituent_ID], GiftData[[#This Row],[Constituent_ID]], GiftData[Fiscal_Year], "FY25")&gt;0, 1, 0)</f>
        <v>0</v>
      </c>
      <c r="M177">
        <f>IF(COUNTIFS(GiftData[Constituent_ID], GiftData[[#This Row],[Constituent_ID]], GiftData[Fiscal_Year], "FY26")&gt;0, 1, 0)</f>
        <v>0</v>
      </c>
      <c r="N177" t="str" cm="1">
        <f t="array" ref="N1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78" spans="1:14" x14ac:dyDescent="0.2">
      <c r="A178" t="s">
        <v>349</v>
      </c>
      <c r="B178" t="s">
        <v>175</v>
      </c>
      <c r="C178" t="s">
        <v>18</v>
      </c>
      <c r="D178" s="1">
        <v>46025</v>
      </c>
      <c r="E178">
        <v>59.79</v>
      </c>
      <c r="F178" t="s">
        <v>12</v>
      </c>
      <c r="G178" t="s">
        <v>13</v>
      </c>
      <c r="H178" t="s">
        <v>20</v>
      </c>
      <c r="I178" t="s">
        <v>38</v>
      </c>
      <c r="J178" t="str">
        <f>"FY" &amp; IF(MONTH(GiftData[[#This Row],[Gift_Date]])&gt;=7, RIGHT(YEAR(GiftData[[#This Row],[Gift_Date]])+1, 2), RIGHT(YEAR(GiftData[[#This Row],[Gift_Date]]), 2))</f>
        <v>FY26</v>
      </c>
      <c r="K178">
        <f>IF(COUNTIFS(GiftData[Constituent_ID], GiftData[[#This Row],[Constituent_ID]], GiftData[Fiscal_Year], "FY24")&gt;0, 1, 0)</f>
        <v>0</v>
      </c>
      <c r="L178">
        <f>IF(COUNTIFS(GiftData[Constituent_ID], GiftData[[#This Row],[Constituent_ID]], GiftData[Fiscal_Year], "FY25")&gt;0, 1, 0)</f>
        <v>1</v>
      </c>
      <c r="M178">
        <f>IF(COUNTIFS(GiftData[Constituent_ID], GiftData[[#This Row],[Constituent_ID]], GiftData[Fiscal_Year], "FY26")&gt;0, 1, 0)</f>
        <v>1</v>
      </c>
      <c r="N178" t="str" cm="1">
        <f t="array" ref="N1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79" spans="1:14" x14ac:dyDescent="0.2">
      <c r="A179" t="s">
        <v>350</v>
      </c>
      <c r="B179" t="s">
        <v>351</v>
      </c>
      <c r="C179" t="s">
        <v>11</v>
      </c>
      <c r="D179" s="1">
        <v>45301</v>
      </c>
      <c r="E179">
        <v>114.01</v>
      </c>
      <c r="F179" t="s">
        <v>25</v>
      </c>
      <c r="G179" t="s">
        <v>13</v>
      </c>
      <c r="H179" t="s">
        <v>164</v>
      </c>
      <c r="I179" t="s">
        <v>15</v>
      </c>
      <c r="J179" t="str">
        <f>"FY" &amp; IF(MONTH(GiftData[[#This Row],[Gift_Date]])&gt;=7, RIGHT(YEAR(GiftData[[#This Row],[Gift_Date]])+1, 2), RIGHT(YEAR(GiftData[[#This Row],[Gift_Date]]), 2))</f>
        <v>FY24</v>
      </c>
      <c r="K179">
        <f>IF(COUNTIFS(GiftData[Constituent_ID], GiftData[[#This Row],[Constituent_ID]], GiftData[Fiscal_Year], "FY24")&gt;0, 1, 0)</f>
        <v>1</v>
      </c>
      <c r="L179">
        <f>IF(COUNTIFS(GiftData[Constituent_ID], GiftData[[#This Row],[Constituent_ID]], GiftData[Fiscal_Year], "FY25")&gt;0, 1, 0)</f>
        <v>1</v>
      </c>
      <c r="M179">
        <f>IF(COUNTIFS(GiftData[Constituent_ID], GiftData[[#This Row],[Constituent_ID]], GiftData[Fiscal_Year], "FY26")&gt;0, 1, 0)</f>
        <v>1</v>
      </c>
      <c r="N179" t="str" cm="1">
        <f t="array" ref="N1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0" spans="1:14" x14ac:dyDescent="0.2">
      <c r="A180" t="s">
        <v>352</v>
      </c>
      <c r="B180" t="s">
        <v>353</v>
      </c>
      <c r="C180" t="s">
        <v>18</v>
      </c>
      <c r="D180" s="1">
        <v>45978</v>
      </c>
      <c r="E180">
        <v>185.83</v>
      </c>
      <c r="F180" t="s">
        <v>12</v>
      </c>
      <c r="G180" t="s">
        <v>13</v>
      </c>
      <c r="H180" t="s">
        <v>41</v>
      </c>
      <c r="I180" t="s">
        <v>56</v>
      </c>
      <c r="J180" t="str">
        <f>"FY" &amp; IF(MONTH(GiftData[[#This Row],[Gift_Date]])&gt;=7, RIGHT(YEAR(GiftData[[#This Row],[Gift_Date]])+1, 2), RIGHT(YEAR(GiftData[[#This Row],[Gift_Date]]), 2))</f>
        <v>FY26</v>
      </c>
      <c r="K180">
        <f>IF(COUNTIFS(GiftData[Constituent_ID], GiftData[[#This Row],[Constituent_ID]], GiftData[Fiscal_Year], "FY24")&gt;0, 1, 0)</f>
        <v>1</v>
      </c>
      <c r="L180">
        <f>IF(COUNTIFS(GiftData[Constituent_ID], GiftData[[#This Row],[Constituent_ID]], GiftData[Fiscal_Year], "FY25")&gt;0, 1, 0)</f>
        <v>0</v>
      </c>
      <c r="M180">
        <f>IF(COUNTIFS(GiftData[Constituent_ID], GiftData[[#This Row],[Constituent_ID]], GiftData[Fiscal_Year], "FY26")&gt;0, 1, 0)</f>
        <v>1</v>
      </c>
      <c r="N180" t="str" cm="1">
        <f t="array" ref="N1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1" spans="1:14" x14ac:dyDescent="0.2">
      <c r="A181" t="s">
        <v>354</v>
      </c>
      <c r="B181" t="s">
        <v>355</v>
      </c>
      <c r="C181" t="s">
        <v>18</v>
      </c>
      <c r="D181" s="1">
        <v>45197</v>
      </c>
      <c r="E181">
        <v>1010.01</v>
      </c>
      <c r="F181" t="s">
        <v>12</v>
      </c>
      <c r="G181" t="s">
        <v>29</v>
      </c>
      <c r="H181" t="s">
        <v>20</v>
      </c>
      <c r="I181" t="s">
        <v>38</v>
      </c>
      <c r="J181" t="str">
        <f>"FY" &amp; IF(MONTH(GiftData[[#This Row],[Gift_Date]])&gt;=7, RIGHT(YEAR(GiftData[[#This Row],[Gift_Date]])+1, 2), RIGHT(YEAR(GiftData[[#This Row],[Gift_Date]]), 2))</f>
        <v>FY24</v>
      </c>
      <c r="K181">
        <f>IF(COUNTIFS(GiftData[Constituent_ID], GiftData[[#This Row],[Constituent_ID]], GiftData[Fiscal_Year], "FY24")&gt;0, 1, 0)</f>
        <v>1</v>
      </c>
      <c r="L181">
        <f>IF(COUNTIFS(GiftData[Constituent_ID], GiftData[[#This Row],[Constituent_ID]], GiftData[Fiscal_Year], "FY25")&gt;0, 1, 0)</f>
        <v>0</v>
      </c>
      <c r="M181">
        <f>IF(COUNTIFS(GiftData[Constituent_ID], GiftData[[#This Row],[Constituent_ID]], GiftData[Fiscal_Year], "FY26")&gt;0, 1, 0)</f>
        <v>1</v>
      </c>
      <c r="N181" t="str" cm="1">
        <f t="array" ref="N1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2" spans="1:14" x14ac:dyDescent="0.2">
      <c r="A182" t="s">
        <v>356</v>
      </c>
      <c r="B182" t="s">
        <v>156</v>
      </c>
      <c r="C182" t="s">
        <v>35</v>
      </c>
      <c r="D182" s="1">
        <v>45229</v>
      </c>
      <c r="E182">
        <v>149.87</v>
      </c>
      <c r="F182" t="s">
        <v>59</v>
      </c>
      <c r="G182" t="s">
        <v>13</v>
      </c>
      <c r="H182" t="s">
        <v>14</v>
      </c>
      <c r="I182" t="s">
        <v>38</v>
      </c>
      <c r="J182" t="str">
        <f>"FY" &amp; IF(MONTH(GiftData[[#This Row],[Gift_Date]])&gt;=7, RIGHT(YEAR(GiftData[[#This Row],[Gift_Date]])+1, 2), RIGHT(YEAR(GiftData[[#This Row],[Gift_Date]]), 2))</f>
        <v>FY24</v>
      </c>
      <c r="K182">
        <f>IF(COUNTIFS(GiftData[Constituent_ID], GiftData[[#This Row],[Constituent_ID]], GiftData[Fiscal_Year], "FY24")&gt;0, 1, 0)</f>
        <v>1</v>
      </c>
      <c r="L182">
        <f>IF(COUNTIFS(GiftData[Constituent_ID], GiftData[[#This Row],[Constituent_ID]], GiftData[Fiscal_Year], "FY25")&gt;0, 1, 0)</f>
        <v>1</v>
      </c>
      <c r="M182">
        <f>IF(COUNTIFS(GiftData[Constituent_ID], GiftData[[#This Row],[Constituent_ID]], GiftData[Fiscal_Year], "FY26")&gt;0, 1, 0)</f>
        <v>0</v>
      </c>
      <c r="N182" t="str" cm="1">
        <f t="array" ref="N1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83" spans="1:14" x14ac:dyDescent="0.2">
      <c r="A183" t="s">
        <v>357</v>
      </c>
      <c r="B183" t="s">
        <v>358</v>
      </c>
      <c r="C183" t="s">
        <v>48</v>
      </c>
      <c r="D183" s="1">
        <v>45250</v>
      </c>
      <c r="E183">
        <v>72.73</v>
      </c>
      <c r="F183" t="s">
        <v>12</v>
      </c>
      <c r="G183" t="s">
        <v>13</v>
      </c>
      <c r="H183" t="s">
        <v>14</v>
      </c>
      <c r="I183" t="s">
        <v>15</v>
      </c>
      <c r="J183" t="str">
        <f>"FY" &amp; IF(MONTH(GiftData[[#This Row],[Gift_Date]])&gt;=7, RIGHT(YEAR(GiftData[[#This Row],[Gift_Date]])+1, 2), RIGHT(YEAR(GiftData[[#This Row],[Gift_Date]]), 2))</f>
        <v>FY24</v>
      </c>
      <c r="K183">
        <f>IF(COUNTIFS(GiftData[Constituent_ID], GiftData[[#This Row],[Constituent_ID]], GiftData[Fiscal_Year], "FY24")&gt;0, 1, 0)</f>
        <v>1</v>
      </c>
      <c r="L183">
        <f>IF(COUNTIFS(GiftData[Constituent_ID], GiftData[[#This Row],[Constituent_ID]], GiftData[Fiscal_Year], "FY25")&gt;0, 1, 0)</f>
        <v>0</v>
      </c>
      <c r="M183">
        <f>IF(COUNTIFS(GiftData[Constituent_ID], GiftData[[#This Row],[Constituent_ID]], GiftData[Fiscal_Year], "FY26")&gt;0, 1, 0)</f>
        <v>0</v>
      </c>
      <c r="N183" t="str" cm="1">
        <f t="array" ref="N1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84" spans="1:14" x14ac:dyDescent="0.2">
      <c r="A184" t="s">
        <v>359</v>
      </c>
      <c r="B184" t="s">
        <v>163</v>
      </c>
      <c r="C184" t="s">
        <v>11</v>
      </c>
      <c r="D184" s="1">
        <v>46101</v>
      </c>
      <c r="E184">
        <v>61.52</v>
      </c>
      <c r="F184" t="s">
        <v>25</v>
      </c>
      <c r="G184" t="s">
        <v>13</v>
      </c>
      <c r="H184" t="s">
        <v>51</v>
      </c>
      <c r="I184" t="s">
        <v>38</v>
      </c>
      <c r="J184" t="str">
        <f>"FY" &amp; IF(MONTH(GiftData[[#This Row],[Gift_Date]])&gt;=7, RIGHT(YEAR(GiftData[[#This Row],[Gift_Date]])+1, 2), RIGHT(YEAR(GiftData[[#This Row],[Gift_Date]]), 2))</f>
        <v>FY26</v>
      </c>
      <c r="K184">
        <f>IF(COUNTIFS(GiftData[Constituent_ID], GiftData[[#This Row],[Constituent_ID]], GiftData[Fiscal_Year], "FY24")&gt;0, 1, 0)</f>
        <v>1</v>
      </c>
      <c r="L184">
        <f>IF(COUNTIFS(GiftData[Constituent_ID], GiftData[[#This Row],[Constituent_ID]], GiftData[Fiscal_Year], "FY25")&gt;0, 1, 0)</f>
        <v>1</v>
      </c>
      <c r="M184">
        <f>IF(COUNTIFS(GiftData[Constituent_ID], GiftData[[#This Row],[Constituent_ID]], GiftData[Fiscal_Year], "FY26")&gt;0, 1, 0)</f>
        <v>1</v>
      </c>
      <c r="N184" t="str" cm="1">
        <f t="array" ref="N1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5" spans="1:14" x14ac:dyDescent="0.2">
      <c r="A185" t="s">
        <v>360</v>
      </c>
      <c r="B185" t="s">
        <v>361</v>
      </c>
      <c r="C185" t="s">
        <v>11</v>
      </c>
      <c r="D185" s="1">
        <v>45213</v>
      </c>
      <c r="E185">
        <v>115.75</v>
      </c>
      <c r="F185" t="s">
        <v>12</v>
      </c>
      <c r="G185" t="s">
        <v>13</v>
      </c>
      <c r="H185" t="s">
        <v>14</v>
      </c>
      <c r="I185" t="s">
        <v>56</v>
      </c>
      <c r="J185" t="str">
        <f>"FY" &amp; IF(MONTH(GiftData[[#This Row],[Gift_Date]])&gt;=7, RIGHT(YEAR(GiftData[[#This Row],[Gift_Date]])+1, 2), RIGHT(YEAR(GiftData[[#This Row],[Gift_Date]]), 2))</f>
        <v>FY24</v>
      </c>
      <c r="K185">
        <f>IF(COUNTIFS(GiftData[Constituent_ID], GiftData[[#This Row],[Constituent_ID]], GiftData[Fiscal_Year], "FY24")&gt;0, 1, 0)</f>
        <v>1</v>
      </c>
      <c r="L185">
        <f>IF(COUNTIFS(GiftData[Constituent_ID], GiftData[[#This Row],[Constituent_ID]], GiftData[Fiscal_Year], "FY25")&gt;0, 1, 0)</f>
        <v>1</v>
      </c>
      <c r="M185">
        <f>IF(COUNTIFS(GiftData[Constituent_ID], GiftData[[#This Row],[Constituent_ID]], GiftData[Fiscal_Year], "FY26")&gt;0, 1, 0)</f>
        <v>1</v>
      </c>
      <c r="N185" t="str" cm="1">
        <f t="array" ref="N1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6" spans="1:14" x14ac:dyDescent="0.2">
      <c r="A186" t="s">
        <v>362</v>
      </c>
      <c r="B186" t="s">
        <v>363</v>
      </c>
      <c r="C186" t="s">
        <v>11</v>
      </c>
      <c r="D186" s="1">
        <v>45994</v>
      </c>
      <c r="E186">
        <v>37.26</v>
      </c>
      <c r="F186" t="s">
        <v>12</v>
      </c>
      <c r="G186" t="s">
        <v>13</v>
      </c>
      <c r="H186" t="s">
        <v>20</v>
      </c>
      <c r="I186" t="s">
        <v>15</v>
      </c>
      <c r="J186" t="str">
        <f>"FY" &amp; IF(MONTH(GiftData[[#This Row],[Gift_Date]])&gt;=7, RIGHT(YEAR(GiftData[[#This Row],[Gift_Date]])+1, 2), RIGHT(YEAR(GiftData[[#This Row],[Gift_Date]]), 2))</f>
        <v>FY26</v>
      </c>
      <c r="K186">
        <f>IF(COUNTIFS(GiftData[Constituent_ID], GiftData[[#This Row],[Constituent_ID]], GiftData[Fiscal_Year], "FY24")&gt;0, 1, 0)</f>
        <v>0</v>
      </c>
      <c r="L186">
        <f>IF(COUNTIFS(GiftData[Constituent_ID], GiftData[[#This Row],[Constituent_ID]], GiftData[Fiscal_Year], "FY25")&gt;0, 1, 0)</f>
        <v>1</v>
      </c>
      <c r="M186">
        <f>IF(COUNTIFS(GiftData[Constituent_ID], GiftData[[#This Row],[Constituent_ID]], GiftData[Fiscal_Year], "FY26")&gt;0, 1, 0)</f>
        <v>1</v>
      </c>
      <c r="N186" t="str" cm="1">
        <f t="array" ref="N1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7" spans="1:14" x14ac:dyDescent="0.2">
      <c r="A187" t="s">
        <v>364</v>
      </c>
      <c r="B187" t="s">
        <v>365</v>
      </c>
      <c r="C187" t="s">
        <v>11</v>
      </c>
      <c r="D187" s="1">
        <v>45535</v>
      </c>
      <c r="E187">
        <v>126.16</v>
      </c>
      <c r="F187" t="s">
        <v>25</v>
      </c>
      <c r="G187" t="s">
        <v>13</v>
      </c>
      <c r="H187" t="s">
        <v>41</v>
      </c>
      <c r="I187" t="s">
        <v>15</v>
      </c>
      <c r="J187" t="str">
        <f>"FY" &amp; IF(MONTH(GiftData[[#This Row],[Gift_Date]])&gt;=7, RIGHT(YEAR(GiftData[[#This Row],[Gift_Date]])+1, 2), RIGHT(YEAR(GiftData[[#This Row],[Gift_Date]]), 2))</f>
        <v>FY25</v>
      </c>
      <c r="K187">
        <f>IF(COUNTIFS(GiftData[Constituent_ID], GiftData[[#This Row],[Constituent_ID]], GiftData[Fiscal_Year], "FY24")&gt;0, 1, 0)</f>
        <v>1</v>
      </c>
      <c r="L187">
        <f>IF(COUNTIFS(GiftData[Constituent_ID], GiftData[[#This Row],[Constituent_ID]], GiftData[Fiscal_Year], "FY25")&gt;0, 1, 0)</f>
        <v>1</v>
      </c>
      <c r="M187">
        <f>IF(COUNTIFS(GiftData[Constituent_ID], GiftData[[#This Row],[Constituent_ID]], GiftData[Fiscal_Year], "FY26")&gt;0, 1, 0)</f>
        <v>1</v>
      </c>
      <c r="N187" t="str" cm="1">
        <f t="array" ref="N1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88" spans="1:14" x14ac:dyDescent="0.2">
      <c r="A188" t="s">
        <v>366</v>
      </c>
      <c r="B188" t="s">
        <v>342</v>
      </c>
      <c r="C188" t="s">
        <v>18</v>
      </c>
      <c r="D188" s="1">
        <v>45424</v>
      </c>
      <c r="E188">
        <v>113.56</v>
      </c>
      <c r="F188" t="s">
        <v>12</v>
      </c>
      <c r="G188" t="s">
        <v>29</v>
      </c>
      <c r="H188" t="s">
        <v>14</v>
      </c>
      <c r="I188" t="s">
        <v>15</v>
      </c>
      <c r="J188" t="str">
        <f>"FY" &amp; IF(MONTH(GiftData[[#This Row],[Gift_Date]])&gt;=7, RIGHT(YEAR(GiftData[[#This Row],[Gift_Date]])+1, 2), RIGHT(YEAR(GiftData[[#This Row],[Gift_Date]]), 2))</f>
        <v>FY24</v>
      </c>
      <c r="K188">
        <f>IF(COUNTIFS(GiftData[Constituent_ID], GiftData[[#This Row],[Constituent_ID]], GiftData[Fiscal_Year], "FY24")&gt;0, 1, 0)</f>
        <v>1</v>
      </c>
      <c r="L188">
        <f>IF(COUNTIFS(GiftData[Constituent_ID], GiftData[[#This Row],[Constituent_ID]], GiftData[Fiscal_Year], "FY25")&gt;0, 1, 0)</f>
        <v>0</v>
      </c>
      <c r="M188">
        <f>IF(COUNTIFS(GiftData[Constituent_ID], GiftData[[#This Row],[Constituent_ID]], GiftData[Fiscal_Year], "FY26")&gt;0, 1, 0)</f>
        <v>0</v>
      </c>
      <c r="N188" t="str" cm="1">
        <f t="array" ref="N1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89" spans="1:14" x14ac:dyDescent="0.2">
      <c r="A189" t="s">
        <v>367</v>
      </c>
      <c r="B189" t="s">
        <v>83</v>
      </c>
      <c r="C189" t="s">
        <v>48</v>
      </c>
      <c r="D189" s="1">
        <v>45742</v>
      </c>
      <c r="E189">
        <v>1026.58</v>
      </c>
      <c r="F189" t="s">
        <v>12</v>
      </c>
      <c r="G189" t="s">
        <v>29</v>
      </c>
      <c r="H189" t="s">
        <v>20</v>
      </c>
      <c r="I189" t="s">
        <v>38</v>
      </c>
      <c r="J189" t="str">
        <f>"FY" &amp; IF(MONTH(GiftData[[#This Row],[Gift_Date]])&gt;=7, RIGHT(YEAR(GiftData[[#This Row],[Gift_Date]])+1, 2), RIGHT(YEAR(GiftData[[#This Row],[Gift_Date]]), 2))</f>
        <v>FY25</v>
      </c>
      <c r="K189">
        <f>IF(COUNTIFS(GiftData[Constituent_ID], GiftData[[#This Row],[Constituent_ID]], GiftData[Fiscal_Year], "FY24")&gt;0, 1, 0)</f>
        <v>1</v>
      </c>
      <c r="L189">
        <f>IF(COUNTIFS(GiftData[Constituent_ID], GiftData[[#This Row],[Constituent_ID]], GiftData[Fiscal_Year], "FY25")&gt;0, 1, 0)</f>
        <v>1</v>
      </c>
      <c r="M189">
        <f>IF(COUNTIFS(GiftData[Constituent_ID], GiftData[[#This Row],[Constituent_ID]], GiftData[Fiscal_Year], "FY26")&gt;0, 1, 0)</f>
        <v>0</v>
      </c>
      <c r="N189" t="str" cm="1">
        <f t="array" ref="N1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90" spans="1:14" x14ac:dyDescent="0.2">
      <c r="A190" t="s">
        <v>368</v>
      </c>
      <c r="B190" t="s">
        <v>335</v>
      </c>
      <c r="C190" t="s">
        <v>18</v>
      </c>
      <c r="D190" s="1">
        <v>45116</v>
      </c>
      <c r="E190">
        <v>109</v>
      </c>
      <c r="F190" t="s">
        <v>12</v>
      </c>
      <c r="G190" t="s">
        <v>13</v>
      </c>
      <c r="H190" t="s">
        <v>14</v>
      </c>
      <c r="I190" t="s">
        <v>15</v>
      </c>
      <c r="J190" t="str">
        <f>"FY" &amp; IF(MONTH(GiftData[[#This Row],[Gift_Date]])&gt;=7, RIGHT(YEAR(GiftData[[#This Row],[Gift_Date]])+1, 2), RIGHT(YEAR(GiftData[[#This Row],[Gift_Date]]), 2))</f>
        <v>FY24</v>
      </c>
      <c r="K190">
        <f>IF(COUNTIFS(GiftData[Constituent_ID], GiftData[[#This Row],[Constituent_ID]], GiftData[Fiscal_Year], "FY24")&gt;0, 1, 0)</f>
        <v>1</v>
      </c>
      <c r="L190">
        <f>IF(COUNTIFS(GiftData[Constituent_ID], GiftData[[#This Row],[Constituent_ID]], GiftData[Fiscal_Year], "FY25")&gt;0, 1, 0)</f>
        <v>1</v>
      </c>
      <c r="M190">
        <f>IF(COUNTIFS(GiftData[Constituent_ID], GiftData[[#This Row],[Constituent_ID]], GiftData[Fiscal_Year], "FY26")&gt;0, 1, 0)</f>
        <v>1</v>
      </c>
      <c r="N190" t="str" cm="1">
        <f t="array" ref="N1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1" spans="1:14" x14ac:dyDescent="0.2">
      <c r="A191" t="s">
        <v>369</v>
      </c>
      <c r="B191" t="s">
        <v>47</v>
      </c>
      <c r="C191" t="s">
        <v>11</v>
      </c>
      <c r="D191" s="1">
        <v>45881</v>
      </c>
      <c r="E191">
        <v>15</v>
      </c>
      <c r="F191" t="s">
        <v>25</v>
      </c>
      <c r="G191" t="s">
        <v>13</v>
      </c>
      <c r="H191" t="s">
        <v>51</v>
      </c>
      <c r="I191" t="s">
        <v>38</v>
      </c>
      <c r="J191" t="str">
        <f>"FY" &amp; IF(MONTH(GiftData[[#This Row],[Gift_Date]])&gt;=7, RIGHT(YEAR(GiftData[[#This Row],[Gift_Date]])+1, 2), RIGHT(YEAR(GiftData[[#This Row],[Gift_Date]]), 2))</f>
        <v>FY26</v>
      </c>
      <c r="K191">
        <f>IF(COUNTIFS(GiftData[Constituent_ID], GiftData[[#This Row],[Constituent_ID]], GiftData[Fiscal_Year], "FY24")&gt;0, 1, 0)</f>
        <v>1</v>
      </c>
      <c r="L191">
        <f>IF(COUNTIFS(GiftData[Constituent_ID], GiftData[[#This Row],[Constituent_ID]], GiftData[Fiscal_Year], "FY25")&gt;0, 1, 0)</f>
        <v>1</v>
      </c>
      <c r="M191">
        <f>IF(COUNTIFS(GiftData[Constituent_ID], GiftData[[#This Row],[Constituent_ID]], GiftData[Fiscal_Year], "FY26")&gt;0, 1, 0)</f>
        <v>1</v>
      </c>
      <c r="N191" t="str" cm="1">
        <f t="array" ref="N1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2" spans="1:14" x14ac:dyDescent="0.2">
      <c r="A192" t="s">
        <v>370</v>
      </c>
      <c r="B192" t="s">
        <v>335</v>
      </c>
      <c r="C192" t="s">
        <v>18</v>
      </c>
      <c r="D192" s="1">
        <v>45330</v>
      </c>
      <c r="E192">
        <v>3926.74</v>
      </c>
      <c r="F192" t="s">
        <v>59</v>
      </c>
      <c r="G192" t="s">
        <v>29</v>
      </c>
      <c r="H192" t="s">
        <v>20</v>
      </c>
      <c r="I192" t="s">
        <v>15</v>
      </c>
      <c r="J192" t="str">
        <f>"FY" &amp; IF(MONTH(GiftData[[#This Row],[Gift_Date]])&gt;=7, RIGHT(YEAR(GiftData[[#This Row],[Gift_Date]])+1, 2), RIGHT(YEAR(GiftData[[#This Row],[Gift_Date]]), 2))</f>
        <v>FY24</v>
      </c>
      <c r="K192">
        <f>IF(COUNTIFS(GiftData[Constituent_ID], GiftData[[#This Row],[Constituent_ID]], GiftData[Fiscal_Year], "FY24")&gt;0, 1, 0)</f>
        <v>1</v>
      </c>
      <c r="L192">
        <f>IF(COUNTIFS(GiftData[Constituent_ID], GiftData[[#This Row],[Constituent_ID]], GiftData[Fiscal_Year], "FY25")&gt;0, 1, 0)</f>
        <v>1</v>
      </c>
      <c r="M192">
        <f>IF(COUNTIFS(GiftData[Constituent_ID], GiftData[[#This Row],[Constituent_ID]], GiftData[Fiscal_Year], "FY26")&gt;0, 1, 0)</f>
        <v>1</v>
      </c>
      <c r="N192" t="str" cm="1">
        <f t="array" ref="N1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3" spans="1:14" x14ac:dyDescent="0.2">
      <c r="A193" t="s">
        <v>371</v>
      </c>
      <c r="B193" t="s">
        <v>346</v>
      </c>
      <c r="C193" t="s">
        <v>35</v>
      </c>
      <c r="D193" s="1">
        <v>45660</v>
      </c>
      <c r="E193">
        <v>421.53</v>
      </c>
      <c r="F193" t="s">
        <v>19</v>
      </c>
      <c r="G193" t="s">
        <v>29</v>
      </c>
      <c r="H193" t="s">
        <v>41</v>
      </c>
      <c r="I193" t="s">
        <v>56</v>
      </c>
      <c r="J193" t="str">
        <f>"FY" &amp; IF(MONTH(GiftData[[#This Row],[Gift_Date]])&gt;=7, RIGHT(YEAR(GiftData[[#This Row],[Gift_Date]])+1, 2), RIGHT(YEAR(GiftData[[#This Row],[Gift_Date]]), 2))</f>
        <v>FY25</v>
      </c>
      <c r="K193">
        <f>IF(COUNTIFS(GiftData[Constituent_ID], GiftData[[#This Row],[Constituent_ID]], GiftData[Fiscal_Year], "FY24")&gt;0, 1, 0)</f>
        <v>1</v>
      </c>
      <c r="L193">
        <f>IF(COUNTIFS(GiftData[Constituent_ID], GiftData[[#This Row],[Constituent_ID]], GiftData[Fiscal_Year], "FY25")&gt;0, 1, 0)</f>
        <v>1</v>
      </c>
      <c r="M193">
        <f>IF(COUNTIFS(GiftData[Constituent_ID], GiftData[[#This Row],[Constituent_ID]], GiftData[Fiscal_Year], "FY26")&gt;0, 1, 0)</f>
        <v>0</v>
      </c>
      <c r="N193" t="str" cm="1">
        <f t="array" ref="N1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94" spans="1:14" x14ac:dyDescent="0.2">
      <c r="A194" t="s">
        <v>372</v>
      </c>
      <c r="B194" t="s">
        <v>373</v>
      </c>
      <c r="C194" t="s">
        <v>28</v>
      </c>
      <c r="D194" s="1">
        <v>45823</v>
      </c>
      <c r="E194">
        <v>1820.84</v>
      </c>
      <c r="F194" t="s">
        <v>12</v>
      </c>
      <c r="G194" t="s">
        <v>13</v>
      </c>
      <c r="H194" t="s">
        <v>20</v>
      </c>
      <c r="I194" t="s">
        <v>15</v>
      </c>
      <c r="J194" t="str">
        <f>"FY" &amp; IF(MONTH(GiftData[[#This Row],[Gift_Date]])&gt;=7, RIGHT(YEAR(GiftData[[#This Row],[Gift_Date]])+1, 2), RIGHT(YEAR(GiftData[[#This Row],[Gift_Date]]), 2))</f>
        <v>FY25</v>
      </c>
      <c r="K194">
        <f>IF(COUNTIFS(GiftData[Constituent_ID], GiftData[[#This Row],[Constituent_ID]], GiftData[Fiscal_Year], "FY24")&gt;0, 1, 0)</f>
        <v>1</v>
      </c>
      <c r="L194">
        <f>IF(COUNTIFS(GiftData[Constituent_ID], GiftData[[#This Row],[Constituent_ID]], GiftData[Fiscal_Year], "FY25")&gt;0, 1, 0)</f>
        <v>1</v>
      </c>
      <c r="M194">
        <f>IF(COUNTIFS(GiftData[Constituent_ID], GiftData[[#This Row],[Constituent_ID]], GiftData[Fiscal_Year], "FY26")&gt;0, 1, 0)</f>
        <v>1</v>
      </c>
      <c r="N194" t="str" cm="1">
        <f t="array" ref="N1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5" spans="1:14" x14ac:dyDescent="0.2">
      <c r="A195" t="s">
        <v>374</v>
      </c>
      <c r="B195" t="s">
        <v>375</v>
      </c>
      <c r="C195" t="s">
        <v>48</v>
      </c>
      <c r="D195" s="1">
        <v>45218</v>
      </c>
      <c r="E195">
        <v>26.99</v>
      </c>
      <c r="F195" t="s">
        <v>12</v>
      </c>
      <c r="G195" t="s">
        <v>13</v>
      </c>
      <c r="H195" t="s">
        <v>20</v>
      </c>
      <c r="I195" t="s">
        <v>15</v>
      </c>
      <c r="J195" t="str">
        <f>"FY" &amp; IF(MONTH(GiftData[[#This Row],[Gift_Date]])&gt;=7, RIGHT(YEAR(GiftData[[#This Row],[Gift_Date]])+1, 2), RIGHT(YEAR(GiftData[[#This Row],[Gift_Date]]), 2))</f>
        <v>FY24</v>
      </c>
      <c r="K195">
        <f>IF(COUNTIFS(GiftData[Constituent_ID], GiftData[[#This Row],[Constituent_ID]], GiftData[Fiscal_Year], "FY24")&gt;0, 1, 0)</f>
        <v>1</v>
      </c>
      <c r="L195">
        <f>IF(COUNTIFS(GiftData[Constituent_ID], GiftData[[#This Row],[Constituent_ID]], GiftData[Fiscal_Year], "FY25")&gt;0, 1, 0)</f>
        <v>0</v>
      </c>
      <c r="M195">
        <f>IF(COUNTIFS(GiftData[Constituent_ID], GiftData[[#This Row],[Constituent_ID]], GiftData[Fiscal_Year], "FY26")&gt;0, 1, 0)</f>
        <v>1</v>
      </c>
      <c r="N195" t="str" cm="1">
        <f t="array" ref="N1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6" spans="1:14" x14ac:dyDescent="0.2">
      <c r="A196" t="s">
        <v>376</v>
      </c>
      <c r="B196" t="s">
        <v>377</v>
      </c>
      <c r="C196" t="s">
        <v>35</v>
      </c>
      <c r="D196" s="1">
        <v>45358</v>
      </c>
      <c r="E196">
        <v>91.07</v>
      </c>
      <c r="F196" t="s">
        <v>12</v>
      </c>
      <c r="G196" t="s">
        <v>13</v>
      </c>
      <c r="H196" t="s">
        <v>14</v>
      </c>
      <c r="I196" t="s">
        <v>38</v>
      </c>
      <c r="J196" t="str">
        <f>"FY" &amp; IF(MONTH(GiftData[[#This Row],[Gift_Date]])&gt;=7, RIGHT(YEAR(GiftData[[#This Row],[Gift_Date]])+1, 2), RIGHT(YEAR(GiftData[[#This Row],[Gift_Date]]), 2))</f>
        <v>FY24</v>
      </c>
      <c r="K196">
        <f>IF(COUNTIFS(GiftData[Constituent_ID], GiftData[[#This Row],[Constituent_ID]], GiftData[Fiscal_Year], "FY24")&gt;0, 1, 0)</f>
        <v>1</v>
      </c>
      <c r="L196">
        <f>IF(COUNTIFS(GiftData[Constituent_ID], GiftData[[#This Row],[Constituent_ID]], GiftData[Fiscal_Year], "FY25")&gt;0, 1, 0)</f>
        <v>0</v>
      </c>
      <c r="M196">
        <f>IF(COUNTIFS(GiftData[Constituent_ID], GiftData[[#This Row],[Constituent_ID]], GiftData[Fiscal_Year], "FY26")&gt;0, 1, 0)</f>
        <v>1</v>
      </c>
      <c r="N196" t="str" cm="1">
        <f t="array" ref="N1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7" spans="1:14" x14ac:dyDescent="0.2">
      <c r="A197" t="s">
        <v>378</v>
      </c>
      <c r="B197" t="s">
        <v>379</v>
      </c>
      <c r="C197" t="s">
        <v>11</v>
      </c>
      <c r="D197" s="1">
        <v>45490</v>
      </c>
      <c r="E197">
        <v>291.99</v>
      </c>
      <c r="F197" t="s">
        <v>59</v>
      </c>
      <c r="G197" t="s">
        <v>13</v>
      </c>
      <c r="H197" t="s">
        <v>20</v>
      </c>
      <c r="I197" t="s">
        <v>15</v>
      </c>
      <c r="J197" t="str">
        <f>"FY" &amp; IF(MONTH(GiftData[[#This Row],[Gift_Date]])&gt;=7, RIGHT(YEAR(GiftData[[#This Row],[Gift_Date]])+1, 2), RIGHT(YEAR(GiftData[[#This Row],[Gift_Date]]), 2))</f>
        <v>FY25</v>
      </c>
      <c r="K197">
        <f>IF(COUNTIFS(GiftData[Constituent_ID], GiftData[[#This Row],[Constituent_ID]], GiftData[Fiscal_Year], "FY24")&gt;0, 1, 0)</f>
        <v>1</v>
      </c>
      <c r="L197">
        <f>IF(COUNTIFS(GiftData[Constituent_ID], GiftData[[#This Row],[Constituent_ID]], GiftData[Fiscal_Year], "FY25")&gt;0, 1, 0)</f>
        <v>1</v>
      </c>
      <c r="M197">
        <f>IF(COUNTIFS(GiftData[Constituent_ID], GiftData[[#This Row],[Constituent_ID]], GiftData[Fiscal_Year], "FY26")&gt;0, 1, 0)</f>
        <v>1</v>
      </c>
      <c r="N197" t="str" cm="1">
        <f t="array" ref="N1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98" spans="1:14" x14ac:dyDescent="0.2">
      <c r="A198" t="s">
        <v>380</v>
      </c>
      <c r="B198" t="s">
        <v>381</v>
      </c>
      <c r="C198" t="s">
        <v>18</v>
      </c>
      <c r="D198" s="1">
        <v>45114</v>
      </c>
      <c r="E198">
        <v>244.03</v>
      </c>
      <c r="F198" t="s">
        <v>12</v>
      </c>
      <c r="G198" t="s">
        <v>13</v>
      </c>
      <c r="H198" t="s">
        <v>51</v>
      </c>
      <c r="I198" t="s">
        <v>15</v>
      </c>
      <c r="J198" t="str">
        <f>"FY" &amp; IF(MONTH(GiftData[[#This Row],[Gift_Date]])&gt;=7, RIGHT(YEAR(GiftData[[#This Row],[Gift_Date]])+1, 2), RIGHT(YEAR(GiftData[[#This Row],[Gift_Date]]), 2))</f>
        <v>FY24</v>
      </c>
      <c r="K198">
        <f>IF(COUNTIFS(GiftData[Constituent_ID], GiftData[[#This Row],[Constituent_ID]], GiftData[Fiscal_Year], "FY24")&gt;0, 1, 0)</f>
        <v>1</v>
      </c>
      <c r="L198">
        <f>IF(COUNTIFS(GiftData[Constituent_ID], GiftData[[#This Row],[Constituent_ID]], GiftData[Fiscal_Year], "FY25")&gt;0, 1, 0)</f>
        <v>1</v>
      </c>
      <c r="M198">
        <f>IF(COUNTIFS(GiftData[Constituent_ID], GiftData[[#This Row],[Constituent_ID]], GiftData[Fiscal_Year], "FY26")&gt;0, 1, 0)</f>
        <v>0</v>
      </c>
      <c r="N198" t="str" cm="1">
        <f t="array" ref="N1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99" spans="1:14" x14ac:dyDescent="0.2">
      <c r="A199" t="s">
        <v>382</v>
      </c>
      <c r="B199" t="s">
        <v>383</v>
      </c>
      <c r="C199" t="s">
        <v>28</v>
      </c>
      <c r="D199" s="1">
        <v>45566</v>
      </c>
      <c r="E199">
        <v>181.09</v>
      </c>
      <c r="F199" t="s">
        <v>19</v>
      </c>
      <c r="G199" t="s">
        <v>13</v>
      </c>
      <c r="H199" t="s">
        <v>20</v>
      </c>
      <c r="I199" t="s">
        <v>15</v>
      </c>
      <c r="J199" t="str">
        <f>"FY" &amp; IF(MONTH(GiftData[[#This Row],[Gift_Date]])&gt;=7, RIGHT(YEAR(GiftData[[#This Row],[Gift_Date]])+1, 2), RIGHT(YEAR(GiftData[[#This Row],[Gift_Date]]), 2))</f>
        <v>FY25</v>
      </c>
      <c r="K199">
        <f>IF(COUNTIFS(GiftData[Constituent_ID], GiftData[[#This Row],[Constituent_ID]], GiftData[Fiscal_Year], "FY24")&gt;0, 1, 0)</f>
        <v>1</v>
      </c>
      <c r="L199">
        <f>IF(COUNTIFS(GiftData[Constituent_ID], GiftData[[#This Row],[Constituent_ID]], GiftData[Fiscal_Year], "FY25")&gt;0, 1, 0)</f>
        <v>1</v>
      </c>
      <c r="M199">
        <f>IF(COUNTIFS(GiftData[Constituent_ID], GiftData[[#This Row],[Constituent_ID]], GiftData[Fiscal_Year], "FY26")&gt;0, 1, 0)</f>
        <v>0</v>
      </c>
      <c r="N199" t="str" cm="1">
        <f t="array" ref="N1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00" spans="1:14" x14ac:dyDescent="0.2">
      <c r="A200" t="s">
        <v>384</v>
      </c>
      <c r="B200" t="s">
        <v>316</v>
      </c>
      <c r="C200" t="s">
        <v>11</v>
      </c>
      <c r="D200" s="1">
        <v>45315</v>
      </c>
      <c r="E200">
        <v>15</v>
      </c>
      <c r="F200" t="s">
        <v>12</v>
      </c>
      <c r="G200" t="s">
        <v>13</v>
      </c>
      <c r="H200" t="s">
        <v>41</v>
      </c>
      <c r="I200" t="s">
        <v>15</v>
      </c>
      <c r="J200" t="str">
        <f>"FY" &amp; IF(MONTH(GiftData[[#This Row],[Gift_Date]])&gt;=7, RIGHT(YEAR(GiftData[[#This Row],[Gift_Date]])+1, 2), RIGHT(YEAR(GiftData[[#This Row],[Gift_Date]]), 2))</f>
        <v>FY24</v>
      </c>
      <c r="K200">
        <f>IF(COUNTIFS(GiftData[Constituent_ID], GiftData[[#This Row],[Constituent_ID]], GiftData[Fiscal_Year], "FY24")&gt;0, 1, 0)</f>
        <v>1</v>
      </c>
      <c r="L200">
        <f>IF(COUNTIFS(GiftData[Constituent_ID], GiftData[[#This Row],[Constituent_ID]], GiftData[Fiscal_Year], "FY25")&gt;0, 1, 0)</f>
        <v>0</v>
      </c>
      <c r="M200">
        <f>IF(COUNTIFS(GiftData[Constituent_ID], GiftData[[#This Row],[Constituent_ID]], GiftData[Fiscal_Year], "FY26")&gt;0, 1, 0)</f>
        <v>1</v>
      </c>
      <c r="N200" t="str" cm="1">
        <f t="array" ref="N2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1" spans="1:14" x14ac:dyDescent="0.2">
      <c r="A201" t="s">
        <v>385</v>
      </c>
      <c r="B201" t="s">
        <v>386</v>
      </c>
      <c r="C201" t="s">
        <v>28</v>
      </c>
      <c r="D201" s="1">
        <v>46007</v>
      </c>
      <c r="E201">
        <v>15</v>
      </c>
      <c r="F201" t="s">
        <v>19</v>
      </c>
      <c r="G201" t="s">
        <v>29</v>
      </c>
      <c r="H201" t="s">
        <v>20</v>
      </c>
      <c r="I201" t="s">
        <v>56</v>
      </c>
      <c r="J201" t="str">
        <f>"FY" &amp; IF(MONTH(GiftData[[#This Row],[Gift_Date]])&gt;=7, RIGHT(YEAR(GiftData[[#This Row],[Gift_Date]])+1, 2), RIGHT(YEAR(GiftData[[#This Row],[Gift_Date]]), 2))</f>
        <v>FY26</v>
      </c>
      <c r="K201">
        <f>IF(COUNTIFS(GiftData[Constituent_ID], GiftData[[#This Row],[Constituent_ID]], GiftData[Fiscal_Year], "FY24")&gt;0, 1, 0)</f>
        <v>0</v>
      </c>
      <c r="L201">
        <f>IF(COUNTIFS(GiftData[Constituent_ID], GiftData[[#This Row],[Constituent_ID]], GiftData[Fiscal_Year], "FY25")&gt;0, 1, 0)</f>
        <v>1</v>
      </c>
      <c r="M201">
        <f>IF(COUNTIFS(GiftData[Constituent_ID], GiftData[[#This Row],[Constituent_ID]], GiftData[Fiscal_Year], "FY26")&gt;0, 1, 0)</f>
        <v>1</v>
      </c>
      <c r="N201" t="str" cm="1">
        <f t="array" ref="N2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2" spans="1:14" x14ac:dyDescent="0.2">
      <c r="A202" t="s">
        <v>387</v>
      </c>
      <c r="B202" t="s">
        <v>136</v>
      </c>
      <c r="C202" t="s">
        <v>18</v>
      </c>
      <c r="D202" s="1">
        <v>45129</v>
      </c>
      <c r="E202">
        <v>873.73</v>
      </c>
      <c r="F202" t="s">
        <v>59</v>
      </c>
      <c r="G202" t="s">
        <v>13</v>
      </c>
      <c r="H202" t="s">
        <v>164</v>
      </c>
      <c r="I202" t="s">
        <v>56</v>
      </c>
      <c r="J202" t="str">
        <f>"FY" &amp; IF(MONTH(GiftData[[#This Row],[Gift_Date]])&gt;=7, RIGHT(YEAR(GiftData[[#This Row],[Gift_Date]])+1, 2), RIGHT(YEAR(GiftData[[#This Row],[Gift_Date]]), 2))</f>
        <v>FY24</v>
      </c>
      <c r="K202">
        <f>IF(COUNTIFS(GiftData[Constituent_ID], GiftData[[#This Row],[Constituent_ID]], GiftData[Fiscal_Year], "FY24")&gt;0, 1, 0)</f>
        <v>1</v>
      </c>
      <c r="L202">
        <f>IF(COUNTIFS(GiftData[Constituent_ID], GiftData[[#This Row],[Constituent_ID]], GiftData[Fiscal_Year], "FY25")&gt;0, 1, 0)</f>
        <v>0</v>
      </c>
      <c r="M202">
        <f>IF(COUNTIFS(GiftData[Constituent_ID], GiftData[[#This Row],[Constituent_ID]], GiftData[Fiscal_Year], "FY26")&gt;0, 1, 0)</f>
        <v>1</v>
      </c>
      <c r="N202" t="str" cm="1">
        <f t="array" ref="N2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3" spans="1:14" x14ac:dyDescent="0.2">
      <c r="A203" t="s">
        <v>388</v>
      </c>
      <c r="B203" t="s">
        <v>144</v>
      </c>
      <c r="C203" t="s">
        <v>18</v>
      </c>
      <c r="D203" s="1">
        <v>45517</v>
      </c>
      <c r="E203">
        <v>1100.95</v>
      </c>
      <c r="F203" t="s">
        <v>59</v>
      </c>
      <c r="G203" t="s">
        <v>13</v>
      </c>
      <c r="H203" t="s">
        <v>41</v>
      </c>
      <c r="I203" t="s">
        <v>15</v>
      </c>
      <c r="J203" t="str">
        <f>"FY" &amp; IF(MONTH(GiftData[[#This Row],[Gift_Date]])&gt;=7, RIGHT(YEAR(GiftData[[#This Row],[Gift_Date]])+1, 2), RIGHT(YEAR(GiftData[[#This Row],[Gift_Date]]), 2))</f>
        <v>FY25</v>
      </c>
      <c r="K203">
        <f>IF(COUNTIFS(GiftData[Constituent_ID], GiftData[[#This Row],[Constituent_ID]], GiftData[Fiscal_Year], "FY24")&gt;0, 1, 0)</f>
        <v>1</v>
      </c>
      <c r="L203">
        <f>IF(COUNTIFS(GiftData[Constituent_ID], GiftData[[#This Row],[Constituent_ID]], GiftData[Fiscal_Year], "FY25")&gt;0, 1, 0)</f>
        <v>1</v>
      </c>
      <c r="M203">
        <f>IF(COUNTIFS(GiftData[Constituent_ID], GiftData[[#This Row],[Constituent_ID]], GiftData[Fiscal_Year], "FY26")&gt;0, 1, 0)</f>
        <v>1</v>
      </c>
      <c r="N203" t="str" cm="1">
        <f t="array" ref="N2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4" spans="1:14" x14ac:dyDescent="0.2">
      <c r="A204" t="s">
        <v>389</v>
      </c>
      <c r="B204" t="s">
        <v>10</v>
      </c>
      <c r="C204" t="s">
        <v>11</v>
      </c>
      <c r="D204" s="1">
        <v>46002</v>
      </c>
      <c r="E204">
        <v>105.78</v>
      </c>
      <c r="F204" t="s">
        <v>12</v>
      </c>
      <c r="G204" t="s">
        <v>13</v>
      </c>
      <c r="H204" t="s">
        <v>41</v>
      </c>
      <c r="I204" t="s">
        <v>15</v>
      </c>
      <c r="J204" t="str">
        <f>"FY" &amp; IF(MONTH(GiftData[[#This Row],[Gift_Date]])&gt;=7, RIGHT(YEAR(GiftData[[#This Row],[Gift_Date]])+1, 2), RIGHT(YEAR(GiftData[[#This Row],[Gift_Date]]), 2))</f>
        <v>FY26</v>
      </c>
      <c r="K204">
        <f>IF(COUNTIFS(GiftData[Constituent_ID], GiftData[[#This Row],[Constituent_ID]], GiftData[Fiscal_Year], "FY24")&gt;0, 1, 0)</f>
        <v>0</v>
      </c>
      <c r="L204">
        <f>IF(COUNTIFS(GiftData[Constituent_ID], GiftData[[#This Row],[Constituent_ID]], GiftData[Fiscal_Year], "FY25")&gt;0, 1, 0)</f>
        <v>1</v>
      </c>
      <c r="M204">
        <f>IF(COUNTIFS(GiftData[Constituent_ID], GiftData[[#This Row],[Constituent_ID]], GiftData[Fiscal_Year], "FY26")&gt;0, 1, 0)</f>
        <v>1</v>
      </c>
      <c r="N204" t="str" cm="1">
        <f t="array" ref="N2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5" spans="1:14" x14ac:dyDescent="0.2">
      <c r="A205" t="s">
        <v>390</v>
      </c>
      <c r="B205" t="s">
        <v>391</v>
      </c>
      <c r="C205" t="s">
        <v>28</v>
      </c>
      <c r="D205" s="1">
        <v>45622</v>
      </c>
      <c r="E205">
        <v>740.67</v>
      </c>
      <c r="F205" t="s">
        <v>12</v>
      </c>
      <c r="G205" t="s">
        <v>13</v>
      </c>
      <c r="H205" t="s">
        <v>20</v>
      </c>
      <c r="I205" t="s">
        <v>15</v>
      </c>
      <c r="J205" t="str">
        <f>"FY" &amp; IF(MONTH(GiftData[[#This Row],[Gift_Date]])&gt;=7, RIGHT(YEAR(GiftData[[#This Row],[Gift_Date]])+1, 2), RIGHT(YEAR(GiftData[[#This Row],[Gift_Date]]), 2))</f>
        <v>FY25</v>
      </c>
      <c r="K205">
        <f>IF(COUNTIFS(GiftData[Constituent_ID], GiftData[[#This Row],[Constituent_ID]], GiftData[Fiscal_Year], "FY24")&gt;0, 1, 0)</f>
        <v>1</v>
      </c>
      <c r="L205">
        <f>IF(COUNTIFS(GiftData[Constituent_ID], GiftData[[#This Row],[Constituent_ID]], GiftData[Fiscal_Year], "FY25")&gt;0, 1, 0)</f>
        <v>1</v>
      </c>
      <c r="M205">
        <f>IF(COUNTIFS(GiftData[Constituent_ID], GiftData[[#This Row],[Constituent_ID]], GiftData[Fiscal_Year], "FY26")&gt;0, 1, 0)</f>
        <v>0</v>
      </c>
      <c r="N205" t="str" cm="1">
        <f t="array" ref="N2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06" spans="1:14" x14ac:dyDescent="0.2">
      <c r="A206" t="s">
        <v>392</v>
      </c>
      <c r="B206" t="s">
        <v>393</v>
      </c>
      <c r="C206" t="s">
        <v>35</v>
      </c>
      <c r="D206" s="1">
        <v>45916</v>
      </c>
      <c r="E206">
        <v>32.130000000000003</v>
      </c>
      <c r="F206" t="s">
        <v>12</v>
      </c>
      <c r="G206" t="s">
        <v>13</v>
      </c>
      <c r="H206" t="s">
        <v>14</v>
      </c>
      <c r="I206" t="s">
        <v>38</v>
      </c>
      <c r="J206" t="str">
        <f>"FY" &amp; IF(MONTH(GiftData[[#This Row],[Gift_Date]])&gt;=7, RIGHT(YEAR(GiftData[[#This Row],[Gift_Date]])+1, 2), RIGHT(YEAR(GiftData[[#This Row],[Gift_Date]]), 2))</f>
        <v>FY26</v>
      </c>
      <c r="K206">
        <f>IF(COUNTIFS(GiftData[Constituent_ID], GiftData[[#This Row],[Constituent_ID]], GiftData[Fiscal_Year], "FY24")&gt;0, 1, 0)</f>
        <v>1</v>
      </c>
      <c r="L206">
        <f>IF(COUNTIFS(GiftData[Constituent_ID], GiftData[[#This Row],[Constituent_ID]], GiftData[Fiscal_Year], "FY25")&gt;0, 1, 0)</f>
        <v>1</v>
      </c>
      <c r="M206">
        <f>IF(COUNTIFS(GiftData[Constituent_ID], GiftData[[#This Row],[Constituent_ID]], GiftData[Fiscal_Year], "FY26")&gt;0, 1, 0)</f>
        <v>1</v>
      </c>
      <c r="N206" t="str" cm="1">
        <f t="array" ref="N2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7" spans="1:14" x14ac:dyDescent="0.2">
      <c r="A207" t="s">
        <v>394</v>
      </c>
      <c r="B207" t="s">
        <v>199</v>
      </c>
      <c r="C207" t="s">
        <v>18</v>
      </c>
      <c r="D207" s="1">
        <v>45981</v>
      </c>
      <c r="E207">
        <v>43.26</v>
      </c>
      <c r="F207" t="s">
        <v>12</v>
      </c>
      <c r="G207" t="s">
        <v>13</v>
      </c>
      <c r="H207" t="s">
        <v>20</v>
      </c>
      <c r="I207" t="s">
        <v>15</v>
      </c>
      <c r="J207" t="str">
        <f>"FY" &amp; IF(MONTH(GiftData[[#This Row],[Gift_Date]])&gt;=7, RIGHT(YEAR(GiftData[[#This Row],[Gift_Date]])+1, 2), RIGHT(YEAR(GiftData[[#This Row],[Gift_Date]]), 2))</f>
        <v>FY26</v>
      </c>
      <c r="K207">
        <f>IF(COUNTIFS(GiftData[Constituent_ID], GiftData[[#This Row],[Constituent_ID]], GiftData[Fiscal_Year], "FY24")&gt;0, 1, 0)</f>
        <v>0</v>
      </c>
      <c r="L207">
        <f>IF(COUNTIFS(GiftData[Constituent_ID], GiftData[[#This Row],[Constituent_ID]], GiftData[Fiscal_Year], "FY25")&gt;0, 1, 0)</f>
        <v>1</v>
      </c>
      <c r="M207">
        <f>IF(COUNTIFS(GiftData[Constituent_ID], GiftData[[#This Row],[Constituent_ID]], GiftData[Fiscal_Year], "FY26")&gt;0, 1, 0)</f>
        <v>1</v>
      </c>
      <c r="N207" t="str" cm="1">
        <f t="array" ref="N2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08" spans="1:14" x14ac:dyDescent="0.2">
      <c r="A208" t="s">
        <v>395</v>
      </c>
      <c r="B208" t="s">
        <v>396</v>
      </c>
      <c r="C208" t="s">
        <v>11</v>
      </c>
      <c r="D208" s="1">
        <v>45121</v>
      </c>
      <c r="E208">
        <v>28.99</v>
      </c>
      <c r="F208" t="s">
        <v>12</v>
      </c>
      <c r="G208" t="s">
        <v>13</v>
      </c>
      <c r="H208" t="s">
        <v>164</v>
      </c>
      <c r="I208" t="s">
        <v>15</v>
      </c>
      <c r="J208" t="str">
        <f>"FY" &amp; IF(MONTH(GiftData[[#This Row],[Gift_Date]])&gt;=7, RIGHT(YEAR(GiftData[[#This Row],[Gift_Date]])+1, 2), RIGHT(YEAR(GiftData[[#This Row],[Gift_Date]]), 2))</f>
        <v>FY24</v>
      </c>
      <c r="K208">
        <f>IF(COUNTIFS(GiftData[Constituent_ID], GiftData[[#This Row],[Constituent_ID]], GiftData[Fiscal_Year], "FY24")&gt;0, 1, 0)</f>
        <v>1</v>
      </c>
      <c r="L208">
        <f>IF(COUNTIFS(GiftData[Constituent_ID], GiftData[[#This Row],[Constituent_ID]], GiftData[Fiscal_Year], "FY25")&gt;0, 1, 0)</f>
        <v>1</v>
      </c>
      <c r="M208">
        <f>IF(COUNTIFS(GiftData[Constituent_ID], GiftData[[#This Row],[Constituent_ID]], GiftData[Fiscal_Year], "FY26")&gt;0, 1, 0)</f>
        <v>0</v>
      </c>
      <c r="N208" t="str" cm="1">
        <f t="array" ref="N2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09" spans="1:14" x14ac:dyDescent="0.2">
      <c r="A209" t="s">
        <v>397</v>
      </c>
      <c r="B209" t="s">
        <v>398</v>
      </c>
      <c r="C209" t="s">
        <v>18</v>
      </c>
      <c r="D209" s="1">
        <v>46078</v>
      </c>
      <c r="E209">
        <v>40.25</v>
      </c>
      <c r="F209" t="s">
        <v>12</v>
      </c>
      <c r="G209" t="s">
        <v>29</v>
      </c>
      <c r="H209" t="s">
        <v>14</v>
      </c>
      <c r="I209" t="s">
        <v>15</v>
      </c>
      <c r="J209" t="str">
        <f>"FY" &amp; IF(MONTH(GiftData[[#This Row],[Gift_Date]])&gt;=7, RIGHT(YEAR(GiftData[[#This Row],[Gift_Date]])+1, 2), RIGHT(YEAR(GiftData[[#This Row],[Gift_Date]]), 2))</f>
        <v>FY26</v>
      </c>
      <c r="K209">
        <f>IF(COUNTIFS(GiftData[Constituent_ID], GiftData[[#This Row],[Constituent_ID]], GiftData[Fiscal_Year], "FY24")&gt;0, 1, 0)</f>
        <v>1</v>
      </c>
      <c r="L209">
        <f>IF(COUNTIFS(GiftData[Constituent_ID], GiftData[[#This Row],[Constituent_ID]], GiftData[Fiscal_Year], "FY25")&gt;0, 1, 0)</f>
        <v>1</v>
      </c>
      <c r="M209">
        <f>IF(COUNTIFS(GiftData[Constituent_ID], GiftData[[#This Row],[Constituent_ID]], GiftData[Fiscal_Year], "FY26")&gt;0, 1, 0)</f>
        <v>1</v>
      </c>
      <c r="N209" t="str" cm="1">
        <f t="array" ref="N2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0" spans="1:14" x14ac:dyDescent="0.2">
      <c r="A210" t="s">
        <v>399</v>
      </c>
      <c r="B210" t="s">
        <v>400</v>
      </c>
      <c r="C210" t="s">
        <v>18</v>
      </c>
      <c r="D210" s="1">
        <v>46085</v>
      </c>
      <c r="E210">
        <v>310.91000000000003</v>
      </c>
      <c r="F210" t="s">
        <v>12</v>
      </c>
      <c r="G210" t="s">
        <v>13</v>
      </c>
      <c r="H210" t="s">
        <v>41</v>
      </c>
      <c r="I210" t="s">
        <v>38</v>
      </c>
      <c r="J210" t="str">
        <f>"FY" &amp; IF(MONTH(GiftData[[#This Row],[Gift_Date]])&gt;=7, RIGHT(YEAR(GiftData[[#This Row],[Gift_Date]])+1, 2), RIGHT(YEAR(GiftData[[#This Row],[Gift_Date]]), 2))</f>
        <v>FY26</v>
      </c>
      <c r="K210">
        <f>IF(COUNTIFS(GiftData[Constituent_ID], GiftData[[#This Row],[Constituent_ID]], GiftData[Fiscal_Year], "FY24")&gt;0, 1, 0)</f>
        <v>0</v>
      </c>
      <c r="L210">
        <f>IF(COUNTIFS(GiftData[Constituent_ID], GiftData[[#This Row],[Constituent_ID]], GiftData[Fiscal_Year], "FY25")&gt;0, 1, 0)</f>
        <v>1</v>
      </c>
      <c r="M210">
        <f>IF(COUNTIFS(GiftData[Constituent_ID], GiftData[[#This Row],[Constituent_ID]], GiftData[Fiscal_Year], "FY26")&gt;0, 1, 0)</f>
        <v>1</v>
      </c>
      <c r="N210" t="str" cm="1">
        <f t="array" ref="N2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1" spans="1:14" x14ac:dyDescent="0.2">
      <c r="A211" t="s">
        <v>401</v>
      </c>
      <c r="B211" t="s">
        <v>351</v>
      </c>
      <c r="C211" t="s">
        <v>11</v>
      </c>
      <c r="D211" s="1">
        <v>46121</v>
      </c>
      <c r="E211">
        <v>39.6</v>
      </c>
      <c r="F211" t="s">
        <v>25</v>
      </c>
      <c r="G211" t="s">
        <v>13</v>
      </c>
      <c r="H211" t="s">
        <v>41</v>
      </c>
      <c r="I211" t="s">
        <v>15</v>
      </c>
      <c r="J211" t="str">
        <f>"FY" &amp; IF(MONTH(GiftData[[#This Row],[Gift_Date]])&gt;=7, RIGHT(YEAR(GiftData[[#This Row],[Gift_Date]])+1, 2), RIGHT(YEAR(GiftData[[#This Row],[Gift_Date]]), 2))</f>
        <v>FY26</v>
      </c>
      <c r="K211">
        <f>IF(COUNTIFS(GiftData[Constituent_ID], GiftData[[#This Row],[Constituent_ID]], GiftData[Fiscal_Year], "FY24")&gt;0, 1, 0)</f>
        <v>1</v>
      </c>
      <c r="L211">
        <f>IF(COUNTIFS(GiftData[Constituent_ID], GiftData[[#This Row],[Constituent_ID]], GiftData[Fiscal_Year], "FY25")&gt;0, 1, 0)</f>
        <v>1</v>
      </c>
      <c r="M211">
        <f>IF(COUNTIFS(GiftData[Constituent_ID], GiftData[[#This Row],[Constituent_ID]], GiftData[Fiscal_Year], "FY26")&gt;0, 1, 0)</f>
        <v>1</v>
      </c>
      <c r="N211" t="str" cm="1">
        <f t="array" ref="N2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2" spans="1:14" x14ac:dyDescent="0.2">
      <c r="A212" t="s">
        <v>402</v>
      </c>
      <c r="B212" t="s">
        <v>220</v>
      </c>
      <c r="C212" t="s">
        <v>18</v>
      </c>
      <c r="D212" s="1">
        <v>46143</v>
      </c>
      <c r="E212">
        <v>2234.2600000000002</v>
      </c>
      <c r="F212" t="s">
        <v>25</v>
      </c>
      <c r="G212" t="s">
        <v>13</v>
      </c>
      <c r="H212" t="s">
        <v>14</v>
      </c>
      <c r="I212" t="s">
        <v>56</v>
      </c>
      <c r="J212" t="str">
        <f>"FY" &amp; IF(MONTH(GiftData[[#This Row],[Gift_Date]])&gt;=7, RIGHT(YEAR(GiftData[[#This Row],[Gift_Date]])+1, 2), RIGHT(YEAR(GiftData[[#This Row],[Gift_Date]]), 2))</f>
        <v>FY26</v>
      </c>
      <c r="K212">
        <f>IF(COUNTIFS(GiftData[Constituent_ID], GiftData[[#This Row],[Constituent_ID]], GiftData[Fiscal_Year], "FY24")&gt;0, 1, 0)</f>
        <v>1</v>
      </c>
      <c r="L212">
        <f>IF(COUNTIFS(GiftData[Constituent_ID], GiftData[[#This Row],[Constituent_ID]], GiftData[Fiscal_Year], "FY25")&gt;0, 1, 0)</f>
        <v>1</v>
      </c>
      <c r="M212">
        <f>IF(COUNTIFS(GiftData[Constituent_ID], GiftData[[#This Row],[Constituent_ID]], GiftData[Fiscal_Year], "FY26")&gt;0, 1, 0)</f>
        <v>1</v>
      </c>
      <c r="N212" t="str" cm="1">
        <f t="array" ref="N2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3" spans="1:14" x14ac:dyDescent="0.2">
      <c r="A213" t="s">
        <v>403</v>
      </c>
      <c r="B213" t="s">
        <v>404</v>
      </c>
      <c r="C213" t="s">
        <v>18</v>
      </c>
      <c r="D213" s="1">
        <v>45194</v>
      </c>
      <c r="E213">
        <v>220.98</v>
      </c>
      <c r="F213" t="s">
        <v>12</v>
      </c>
      <c r="G213" t="s">
        <v>13</v>
      </c>
      <c r="H213" t="s">
        <v>41</v>
      </c>
      <c r="I213" t="s">
        <v>15</v>
      </c>
      <c r="J213" t="str">
        <f>"FY" &amp; IF(MONTH(GiftData[[#This Row],[Gift_Date]])&gt;=7, RIGHT(YEAR(GiftData[[#This Row],[Gift_Date]])+1, 2), RIGHT(YEAR(GiftData[[#This Row],[Gift_Date]]), 2))</f>
        <v>FY24</v>
      </c>
      <c r="K213">
        <f>IF(COUNTIFS(GiftData[Constituent_ID], GiftData[[#This Row],[Constituent_ID]], GiftData[Fiscal_Year], "FY24")&gt;0, 1, 0)</f>
        <v>1</v>
      </c>
      <c r="L213">
        <f>IF(COUNTIFS(GiftData[Constituent_ID], GiftData[[#This Row],[Constituent_ID]], GiftData[Fiscal_Year], "FY25")&gt;0, 1, 0)</f>
        <v>1</v>
      </c>
      <c r="M213">
        <f>IF(COUNTIFS(GiftData[Constituent_ID], GiftData[[#This Row],[Constituent_ID]], GiftData[Fiscal_Year], "FY26")&gt;0, 1, 0)</f>
        <v>0</v>
      </c>
      <c r="N213" t="str" cm="1">
        <f t="array" ref="N2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14" spans="1:14" x14ac:dyDescent="0.2">
      <c r="A214" t="s">
        <v>405</v>
      </c>
      <c r="B214" t="s">
        <v>379</v>
      </c>
      <c r="C214" t="s">
        <v>11</v>
      </c>
      <c r="D214" s="1">
        <v>46016</v>
      </c>
      <c r="E214">
        <v>497.64</v>
      </c>
      <c r="F214" t="s">
        <v>19</v>
      </c>
      <c r="G214" t="s">
        <v>13</v>
      </c>
      <c r="H214" t="s">
        <v>41</v>
      </c>
      <c r="I214" t="s">
        <v>15</v>
      </c>
      <c r="J214" t="str">
        <f>"FY" &amp; IF(MONTH(GiftData[[#This Row],[Gift_Date]])&gt;=7, RIGHT(YEAR(GiftData[[#This Row],[Gift_Date]])+1, 2), RIGHT(YEAR(GiftData[[#This Row],[Gift_Date]]), 2))</f>
        <v>FY26</v>
      </c>
      <c r="K214">
        <f>IF(COUNTIFS(GiftData[Constituent_ID], GiftData[[#This Row],[Constituent_ID]], GiftData[Fiscal_Year], "FY24")&gt;0, 1, 0)</f>
        <v>1</v>
      </c>
      <c r="L214">
        <f>IF(COUNTIFS(GiftData[Constituent_ID], GiftData[[#This Row],[Constituent_ID]], GiftData[Fiscal_Year], "FY25")&gt;0, 1, 0)</f>
        <v>1</v>
      </c>
      <c r="M214">
        <f>IF(COUNTIFS(GiftData[Constituent_ID], GiftData[[#This Row],[Constituent_ID]], GiftData[Fiscal_Year], "FY26")&gt;0, 1, 0)</f>
        <v>1</v>
      </c>
      <c r="N214" t="str" cm="1">
        <f t="array" ref="N2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5" spans="1:14" x14ac:dyDescent="0.2">
      <c r="A215" t="s">
        <v>406</v>
      </c>
      <c r="B215" t="s">
        <v>407</v>
      </c>
      <c r="C215" t="s">
        <v>11</v>
      </c>
      <c r="D215" s="1">
        <v>45229</v>
      </c>
      <c r="E215">
        <v>229.73</v>
      </c>
      <c r="F215" t="s">
        <v>12</v>
      </c>
      <c r="G215" t="s">
        <v>29</v>
      </c>
      <c r="H215" t="s">
        <v>41</v>
      </c>
      <c r="I215" t="s">
        <v>15</v>
      </c>
      <c r="J215" t="str">
        <f>"FY" &amp; IF(MONTH(GiftData[[#This Row],[Gift_Date]])&gt;=7, RIGHT(YEAR(GiftData[[#This Row],[Gift_Date]])+1, 2), RIGHT(YEAR(GiftData[[#This Row],[Gift_Date]]), 2))</f>
        <v>FY24</v>
      </c>
      <c r="K215">
        <f>IF(COUNTIFS(GiftData[Constituent_ID], GiftData[[#This Row],[Constituent_ID]], GiftData[Fiscal_Year], "FY24")&gt;0, 1, 0)</f>
        <v>1</v>
      </c>
      <c r="L215">
        <f>IF(COUNTIFS(GiftData[Constituent_ID], GiftData[[#This Row],[Constituent_ID]], GiftData[Fiscal_Year], "FY25")&gt;0, 1, 0)</f>
        <v>0</v>
      </c>
      <c r="M215">
        <f>IF(COUNTIFS(GiftData[Constituent_ID], GiftData[[#This Row],[Constituent_ID]], GiftData[Fiscal_Year], "FY26")&gt;0, 1, 0)</f>
        <v>1</v>
      </c>
      <c r="N215" t="str" cm="1">
        <f t="array" ref="N2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6" spans="1:14" x14ac:dyDescent="0.2">
      <c r="A216" t="s">
        <v>408</v>
      </c>
      <c r="B216" t="s">
        <v>218</v>
      </c>
      <c r="C216" t="s">
        <v>18</v>
      </c>
      <c r="D216" s="1">
        <v>45857</v>
      </c>
      <c r="E216">
        <v>589.07000000000005</v>
      </c>
      <c r="F216" t="s">
        <v>12</v>
      </c>
      <c r="G216" t="s">
        <v>13</v>
      </c>
      <c r="H216" t="s">
        <v>14</v>
      </c>
      <c r="I216" t="s">
        <v>15</v>
      </c>
      <c r="J216" t="str">
        <f>"FY" &amp; IF(MONTH(GiftData[[#This Row],[Gift_Date]])&gt;=7, RIGHT(YEAR(GiftData[[#This Row],[Gift_Date]])+1, 2), RIGHT(YEAR(GiftData[[#This Row],[Gift_Date]]), 2))</f>
        <v>FY26</v>
      </c>
      <c r="K216">
        <f>IF(COUNTIFS(GiftData[Constituent_ID], GiftData[[#This Row],[Constituent_ID]], GiftData[Fiscal_Year], "FY24")&gt;0, 1, 0)</f>
        <v>1</v>
      </c>
      <c r="L216">
        <f>IF(COUNTIFS(GiftData[Constituent_ID], GiftData[[#This Row],[Constituent_ID]], GiftData[Fiscal_Year], "FY25")&gt;0, 1, 0)</f>
        <v>0</v>
      </c>
      <c r="M216">
        <f>IF(COUNTIFS(GiftData[Constituent_ID], GiftData[[#This Row],[Constituent_ID]], GiftData[Fiscal_Year], "FY26")&gt;0, 1, 0)</f>
        <v>1</v>
      </c>
      <c r="N216" t="str" cm="1">
        <f t="array" ref="N2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7" spans="1:14" x14ac:dyDescent="0.2">
      <c r="A217" t="s">
        <v>409</v>
      </c>
      <c r="B217" t="s">
        <v>89</v>
      </c>
      <c r="C217" t="s">
        <v>18</v>
      </c>
      <c r="D217" s="1">
        <v>45792</v>
      </c>
      <c r="E217">
        <v>39.31</v>
      </c>
      <c r="F217" t="s">
        <v>12</v>
      </c>
      <c r="G217" t="s">
        <v>13</v>
      </c>
      <c r="H217" t="s">
        <v>14</v>
      </c>
      <c r="I217" t="s">
        <v>15</v>
      </c>
      <c r="J217" t="str">
        <f>"FY" &amp; IF(MONTH(GiftData[[#This Row],[Gift_Date]])&gt;=7, RIGHT(YEAR(GiftData[[#This Row],[Gift_Date]])+1, 2), RIGHT(YEAR(GiftData[[#This Row],[Gift_Date]]), 2))</f>
        <v>FY25</v>
      </c>
      <c r="K217">
        <f>IF(COUNTIFS(GiftData[Constituent_ID], GiftData[[#This Row],[Constituent_ID]], GiftData[Fiscal_Year], "FY24")&gt;0, 1, 0)</f>
        <v>1</v>
      </c>
      <c r="L217">
        <f>IF(COUNTIFS(GiftData[Constituent_ID], GiftData[[#This Row],[Constituent_ID]], GiftData[Fiscal_Year], "FY25")&gt;0, 1, 0)</f>
        <v>1</v>
      </c>
      <c r="M217">
        <f>IF(COUNTIFS(GiftData[Constituent_ID], GiftData[[#This Row],[Constituent_ID]], GiftData[Fiscal_Year], "FY26")&gt;0, 1, 0)</f>
        <v>0</v>
      </c>
      <c r="N217" t="str" cm="1">
        <f t="array" ref="N2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18" spans="1:14" x14ac:dyDescent="0.2">
      <c r="A218" t="s">
        <v>410</v>
      </c>
      <c r="B218" t="s">
        <v>79</v>
      </c>
      <c r="C218" t="s">
        <v>18</v>
      </c>
      <c r="D218" s="1">
        <v>45416</v>
      </c>
      <c r="E218">
        <v>797.13</v>
      </c>
      <c r="F218" t="s">
        <v>59</v>
      </c>
      <c r="G218" t="s">
        <v>29</v>
      </c>
      <c r="H218" t="s">
        <v>20</v>
      </c>
      <c r="I218" t="s">
        <v>15</v>
      </c>
      <c r="J218" t="str">
        <f>"FY" &amp; IF(MONTH(GiftData[[#This Row],[Gift_Date]])&gt;=7, RIGHT(YEAR(GiftData[[#This Row],[Gift_Date]])+1, 2), RIGHT(YEAR(GiftData[[#This Row],[Gift_Date]]), 2))</f>
        <v>FY24</v>
      </c>
      <c r="K218">
        <f>IF(COUNTIFS(GiftData[Constituent_ID], GiftData[[#This Row],[Constituent_ID]], GiftData[Fiscal_Year], "FY24")&gt;0, 1, 0)</f>
        <v>1</v>
      </c>
      <c r="L218">
        <f>IF(COUNTIFS(GiftData[Constituent_ID], GiftData[[#This Row],[Constituent_ID]], GiftData[Fiscal_Year], "FY25")&gt;0, 1, 0)</f>
        <v>1</v>
      </c>
      <c r="M218">
        <f>IF(COUNTIFS(GiftData[Constituent_ID], GiftData[[#This Row],[Constituent_ID]], GiftData[Fiscal_Year], "FY26")&gt;0, 1, 0)</f>
        <v>1</v>
      </c>
      <c r="N218" t="str" cm="1">
        <f t="array" ref="N2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19" spans="1:14" x14ac:dyDescent="0.2">
      <c r="A219" t="s">
        <v>411</v>
      </c>
      <c r="B219" t="s">
        <v>158</v>
      </c>
      <c r="C219" t="s">
        <v>18</v>
      </c>
      <c r="D219" s="1">
        <v>45802</v>
      </c>
      <c r="E219">
        <v>145.94</v>
      </c>
      <c r="F219" t="s">
        <v>12</v>
      </c>
      <c r="G219" t="s">
        <v>13</v>
      </c>
      <c r="H219" t="s">
        <v>51</v>
      </c>
      <c r="I219" t="s">
        <v>15</v>
      </c>
      <c r="J219" t="str">
        <f>"FY" &amp; IF(MONTH(GiftData[[#This Row],[Gift_Date]])&gt;=7, RIGHT(YEAR(GiftData[[#This Row],[Gift_Date]])+1, 2), RIGHT(YEAR(GiftData[[#This Row],[Gift_Date]]), 2))</f>
        <v>FY25</v>
      </c>
      <c r="K219">
        <f>IF(COUNTIFS(GiftData[Constituent_ID], GiftData[[#This Row],[Constituent_ID]], GiftData[Fiscal_Year], "FY24")&gt;0, 1, 0)</f>
        <v>1</v>
      </c>
      <c r="L219">
        <f>IF(COUNTIFS(GiftData[Constituent_ID], GiftData[[#This Row],[Constituent_ID]], GiftData[Fiscal_Year], "FY25")&gt;0, 1, 0)</f>
        <v>1</v>
      </c>
      <c r="M219">
        <f>IF(COUNTIFS(GiftData[Constituent_ID], GiftData[[#This Row],[Constituent_ID]], GiftData[Fiscal_Year], "FY26")&gt;0, 1, 0)</f>
        <v>1</v>
      </c>
      <c r="N219" t="str" cm="1">
        <f t="array" ref="N2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0" spans="1:14" x14ac:dyDescent="0.2">
      <c r="A220" t="s">
        <v>412</v>
      </c>
      <c r="B220" t="s">
        <v>413</v>
      </c>
      <c r="C220" t="s">
        <v>28</v>
      </c>
      <c r="D220" s="1">
        <v>45395</v>
      </c>
      <c r="E220">
        <v>585.25</v>
      </c>
      <c r="F220" t="s">
        <v>12</v>
      </c>
      <c r="G220" t="s">
        <v>29</v>
      </c>
      <c r="H220" t="s">
        <v>41</v>
      </c>
      <c r="I220" t="s">
        <v>15</v>
      </c>
      <c r="J220" t="str">
        <f>"FY" &amp; IF(MONTH(GiftData[[#This Row],[Gift_Date]])&gt;=7, RIGHT(YEAR(GiftData[[#This Row],[Gift_Date]])+1, 2), RIGHT(YEAR(GiftData[[#This Row],[Gift_Date]]), 2))</f>
        <v>FY24</v>
      </c>
      <c r="K220">
        <f>IF(COUNTIFS(GiftData[Constituent_ID], GiftData[[#This Row],[Constituent_ID]], GiftData[Fiscal_Year], "FY24")&gt;0, 1, 0)</f>
        <v>1</v>
      </c>
      <c r="L220">
        <f>IF(COUNTIFS(GiftData[Constituent_ID], GiftData[[#This Row],[Constituent_ID]], GiftData[Fiscal_Year], "FY25")&gt;0, 1, 0)</f>
        <v>1</v>
      </c>
      <c r="M220">
        <f>IF(COUNTIFS(GiftData[Constituent_ID], GiftData[[#This Row],[Constituent_ID]], GiftData[Fiscal_Year], "FY26")&gt;0, 1, 0)</f>
        <v>0</v>
      </c>
      <c r="N220" t="str" cm="1">
        <f t="array" ref="N2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21" spans="1:14" x14ac:dyDescent="0.2">
      <c r="A221" t="s">
        <v>414</v>
      </c>
      <c r="B221" t="s">
        <v>43</v>
      </c>
      <c r="C221" t="s">
        <v>11</v>
      </c>
      <c r="D221" s="1">
        <v>45414</v>
      </c>
      <c r="E221">
        <v>18.7</v>
      </c>
      <c r="F221" t="s">
        <v>25</v>
      </c>
      <c r="G221" t="s">
        <v>13</v>
      </c>
      <c r="H221" t="s">
        <v>14</v>
      </c>
      <c r="I221" t="s">
        <v>15</v>
      </c>
      <c r="J221" t="str">
        <f>"FY" &amp; IF(MONTH(GiftData[[#This Row],[Gift_Date]])&gt;=7, RIGHT(YEAR(GiftData[[#This Row],[Gift_Date]])+1, 2), RIGHT(YEAR(GiftData[[#This Row],[Gift_Date]]), 2))</f>
        <v>FY24</v>
      </c>
      <c r="K221">
        <f>IF(COUNTIFS(GiftData[Constituent_ID], GiftData[[#This Row],[Constituent_ID]], GiftData[Fiscal_Year], "FY24")&gt;0, 1, 0)</f>
        <v>1</v>
      </c>
      <c r="L221">
        <f>IF(COUNTIFS(GiftData[Constituent_ID], GiftData[[#This Row],[Constituent_ID]], GiftData[Fiscal_Year], "FY25")&gt;0, 1, 0)</f>
        <v>0</v>
      </c>
      <c r="M221">
        <f>IF(COUNTIFS(GiftData[Constituent_ID], GiftData[[#This Row],[Constituent_ID]], GiftData[Fiscal_Year], "FY26")&gt;0, 1, 0)</f>
        <v>1</v>
      </c>
      <c r="N221" t="str" cm="1">
        <f t="array" ref="N2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2" spans="1:14" x14ac:dyDescent="0.2">
      <c r="A222" t="s">
        <v>415</v>
      </c>
      <c r="B222" t="s">
        <v>416</v>
      </c>
      <c r="C222" t="s">
        <v>11</v>
      </c>
      <c r="D222" s="1">
        <v>46021</v>
      </c>
      <c r="E222">
        <v>153.66</v>
      </c>
      <c r="F222" t="s">
        <v>12</v>
      </c>
      <c r="G222" t="s">
        <v>13</v>
      </c>
      <c r="H222" t="s">
        <v>164</v>
      </c>
      <c r="I222" t="s">
        <v>30</v>
      </c>
      <c r="J222" t="str">
        <f>"FY" &amp; IF(MONTH(GiftData[[#This Row],[Gift_Date]])&gt;=7, RIGHT(YEAR(GiftData[[#This Row],[Gift_Date]])+1, 2), RIGHT(YEAR(GiftData[[#This Row],[Gift_Date]]), 2))</f>
        <v>FY26</v>
      </c>
      <c r="K222">
        <f>IF(COUNTIFS(GiftData[Constituent_ID], GiftData[[#This Row],[Constituent_ID]], GiftData[Fiscal_Year], "FY24")&gt;0, 1, 0)</f>
        <v>0</v>
      </c>
      <c r="L222">
        <f>IF(COUNTIFS(GiftData[Constituent_ID], GiftData[[#This Row],[Constituent_ID]], GiftData[Fiscal_Year], "FY25")&gt;0, 1, 0)</f>
        <v>1</v>
      </c>
      <c r="M222">
        <f>IF(COUNTIFS(GiftData[Constituent_ID], GiftData[[#This Row],[Constituent_ID]], GiftData[Fiscal_Year], "FY26")&gt;0, 1, 0)</f>
        <v>1</v>
      </c>
      <c r="N222" t="str" cm="1">
        <f t="array" ref="N2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3" spans="1:14" x14ac:dyDescent="0.2">
      <c r="A223" t="s">
        <v>417</v>
      </c>
      <c r="B223" t="s">
        <v>220</v>
      </c>
      <c r="C223" t="s">
        <v>11</v>
      </c>
      <c r="D223" s="1">
        <v>45769</v>
      </c>
      <c r="E223">
        <v>146.76</v>
      </c>
      <c r="F223" t="s">
        <v>25</v>
      </c>
      <c r="G223" t="s">
        <v>13</v>
      </c>
      <c r="H223" t="s">
        <v>20</v>
      </c>
      <c r="I223" t="s">
        <v>15</v>
      </c>
      <c r="J223" t="str">
        <f>"FY" &amp; IF(MONTH(GiftData[[#This Row],[Gift_Date]])&gt;=7, RIGHT(YEAR(GiftData[[#This Row],[Gift_Date]])+1, 2), RIGHT(YEAR(GiftData[[#This Row],[Gift_Date]]), 2))</f>
        <v>FY25</v>
      </c>
      <c r="K223">
        <f>IF(COUNTIFS(GiftData[Constituent_ID], GiftData[[#This Row],[Constituent_ID]], GiftData[Fiscal_Year], "FY24")&gt;0, 1, 0)</f>
        <v>1</v>
      </c>
      <c r="L223">
        <f>IF(COUNTIFS(GiftData[Constituent_ID], GiftData[[#This Row],[Constituent_ID]], GiftData[Fiscal_Year], "FY25")&gt;0, 1, 0)</f>
        <v>1</v>
      </c>
      <c r="M223">
        <f>IF(COUNTIFS(GiftData[Constituent_ID], GiftData[[#This Row],[Constituent_ID]], GiftData[Fiscal_Year], "FY26")&gt;0, 1, 0)</f>
        <v>1</v>
      </c>
      <c r="N223" t="str" cm="1">
        <f t="array" ref="N2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4" spans="1:14" x14ac:dyDescent="0.2">
      <c r="A224" t="s">
        <v>418</v>
      </c>
      <c r="B224" t="s">
        <v>419</v>
      </c>
      <c r="C224" t="s">
        <v>28</v>
      </c>
      <c r="D224" s="1">
        <v>45656</v>
      </c>
      <c r="E224">
        <v>54.33</v>
      </c>
      <c r="F224" t="s">
        <v>59</v>
      </c>
      <c r="G224" t="s">
        <v>13</v>
      </c>
      <c r="H224" t="s">
        <v>51</v>
      </c>
      <c r="I224" t="s">
        <v>38</v>
      </c>
      <c r="J224" t="str">
        <f>"FY" &amp; IF(MONTH(GiftData[[#This Row],[Gift_Date]])&gt;=7, RIGHT(YEAR(GiftData[[#This Row],[Gift_Date]])+1, 2), RIGHT(YEAR(GiftData[[#This Row],[Gift_Date]]), 2))</f>
        <v>FY25</v>
      </c>
      <c r="K224">
        <f>IF(COUNTIFS(GiftData[Constituent_ID], GiftData[[#This Row],[Constituent_ID]], GiftData[Fiscal_Year], "FY24")&gt;0, 1, 0)</f>
        <v>0</v>
      </c>
      <c r="L224">
        <f>IF(COUNTIFS(GiftData[Constituent_ID], GiftData[[#This Row],[Constituent_ID]], GiftData[Fiscal_Year], "FY25")&gt;0, 1, 0)</f>
        <v>1</v>
      </c>
      <c r="M224">
        <f>IF(COUNTIFS(GiftData[Constituent_ID], GiftData[[#This Row],[Constituent_ID]], GiftData[Fiscal_Year], "FY26")&gt;0, 1, 0)</f>
        <v>1</v>
      </c>
      <c r="N224" t="str" cm="1">
        <f t="array" ref="N2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5" spans="1:14" x14ac:dyDescent="0.2">
      <c r="A225" t="s">
        <v>420</v>
      </c>
      <c r="B225" t="s">
        <v>249</v>
      </c>
      <c r="C225" t="s">
        <v>35</v>
      </c>
      <c r="D225" s="1">
        <v>45419</v>
      </c>
      <c r="E225">
        <v>182.56</v>
      </c>
      <c r="F225" t="s">
        <v>19</v>
      </c>
      <c r="G225" t="s">
        <v>13</v>
      </c>
      <c r="H225" t="s">
        <v>164</v>
      </c>
      <c r="I225" t="s">
        <v>15</v>
      </c>
      <c r="J225" t="str">
        <f>"FY" &amp; IF(MONTH(GiftData[[#This Row],[Gift_Date]])&gt;=7, RIGHT(YEAR(GiftData[[#This Row],[Gift_Date]])+1, 2), RIGHT(YEAR(GiftData[[#This Row],[Gift_Date]]), 2))</f>
        <v>FY24</v>
      </c>
      <c r="K225">
        <f>IF(COUNTIFS(GiftData[Constituent_ID], GiftData[[#This Row],[Constituent_ID]], GiftData[Fiscal_Year], "FY24")&gt;0, 1, 0)</f>
        <v>1</v>
      </c>
      <c r="L225">
        <f>IF(COUNTIFS(GiftData[Constituent_ID], GiftData[[#This Row],[Constituent_ID]], GiftData[Fiscal_Year], "FY25")&gt;0, 1, 0)</f>
        <v>1</v>
      </c>
      <c r="M225">
        <f>IF(COUNTIFS(GiftData[Constituent_ID], GiftData[[#This Row],[Constituent_ID]], GiftData[Fiscal_Year], "FY26")&gt;0, 1, 0)</f>
        <v>1</v>
      </c>
      <c r="N225" t="str" cm="1">
        <f t="array" ref="N2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6" spans="1:14" x14ac:dyDescent="0.2">
      <c r="A226" t="s">
        <v>421</v>
      </c>
      <c r="B226" t="s">
        <v>355</v>
      </c>
      <c r="C226" t="s">
        <v>35</v>
      </c>
      <c r="D226" s="1">
        <v>45980</v>
      </c>
      <c r="E226">
        <v>899.19</v>
      </c>
      <c r="F226" t="s">
        <v>12</v>
      </c>
      <c r="G226" t="s">
        <v>13</v>
      </c>
      <c r="H226" t="s">
        <v>51</v>
      </c>
      <c r="I226" t="s">
        <v>15</v>
      </c>
      <c r="J226" t="str">
        <f>"FY" &amp; IF(MONTH(GiftData[[#This Row],[Gift_Date]])&gt;=7, RIGHT(YEAR(GiftData[[#This Row],[Gift_Date]])+1, 2), RIGHT(YEAR(GiftData[[#This Row],[Gift_Date]]), 2))</f>
        <v>FY26</v>
      </c>
      <c r="K226">
        <f>IF(COUNTIFS(GiftData[Constituent_ID], GiftData[[#This Row],[Constituent_ID]], GiftData[Fiscal_Year], "FY24")&gt;0, 1, 0)</f>
        <v>1</v>
      </c>
      <c r="L226">
        <f>IF(COUNTIFS(GiftData[Constituent_ID], GiftData[[#This Row],[Constituent_ID]], GiftData[Fiscal_Year], "FY25")&gt;0, 1, 0)</f>
        <v>0</v>
      </c>
      <c r="M226">
        <f>IF(COUNTIFS(GiftData[Constituent_ID], GiftData[[#This Row],[Constituent_ID]], GiftData[Fiscal_Year], "FY26")&gt;0, 1, 0)</f>
        <v>1</v>
      </c>
      <c r="N226" t="str" cm="1">
        <f t="array" ref="N2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7" spans="1:14" x14ac:dyDescent="0.2">
      <c r="A227" t="s">
        <v>422</v>
      </c>
      <c r="B227" t="s">
        <v>136</v>
      </c>
      <c r="C227" t="s">
        <v>28</v>
      </c>
      <c r="D227" s="1">
        <v>46031</v>
      </c>
      <c r="E227">
        <v>49.16</v>
      </c>
      <c r="F227" t="s">
        <v>12</v>
      </c>
      <c r="G227" t="s">
        <v>13</v>
      </c>
      <c r="H227" t="s">
        <v>51</v>
      </c>
      <c r="I227" t="s">
        <v>15</v>
      </c>
      <c r="J227" t="str">
        <f>"FY" &amp; IF(MONTH(GiftData[[#This Row],[Gift_Date]])&gt;=7, RIGHT(YEAR(GiftData[[#This Row],[Gift_Date]])+1, 2), RIGHT(YEAR(GiftData[[#This Row],[Gift_Date]]), 2))</f>
        <v>FY26</v>
      </c>
      <c r="K227">
        <f>IF(COUNTIFS(GiftData[Constituent_ID], GiftData[[#This Row],[Constituent_ID]], GiftData[Fiscal_Year], "FY24")&gt;0, 1, 0)</f>
        <v>1</v>
      </c>
      <c r="L227">
        <f>IF(COUNTIFS(GiftData[Constituent_ID], GiftData[[#This Row],[Constituent_ID]], GiftData[Fiscal_Year], "FY25")&gt;0, 1, 0)</f>
        <v>0</v>
      </c>
      <c r="M227">
        <f>IF(COUNTIFS(GiftData[Constituent_ID], GiftData[[#This Row],[Constituent_ID]], GiftData[Fiscal_Year], "FY26")&gt;0, 1, 0)</f>
        <v>1</v>
      </c>
      <c r="N227" t="str" cm="1">
        <f t="array" ref="N2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8" spans="1:14" x14ac:dyDescent="0.2">
      <c r="A228" t="s">
        <v>423</v>
      </c>
      <c r="B228" t="s">
        <v>107</v>
      </c>
      <c r="C228" t="s">
        <v>11</v>
      </c>
      <c r="D228" s="1">
        <v>45862</v>
      </c>
      <c r="E228">
        <v>424.29</v>
      </c>
      <c r="F228" t="s">
        <v>12</v>
      </c>
      <c r="G228" t="s">
        <v>29</v>
      </c>
      <c r="H228" t="s">
        <v>14</v>
      </c>
      <c r="I228" t="s">
        <v>15</v>
      </c>
      <c r="J228" t="str">
        <f>"FY" &amp; IF(MONTH(GiftData[[#This Row],[Gift_Date]])&gt;=7, RIGHT(YEAR(GiftData[[#This Row],[Gift_Date]])+1, 2), RIGHT(YEAR(GiftData[[#This Row],[Gift_Date]]), 2))</f>
        <v>FY26</v>
      </c>
      <c r="K228">
        <f>IF(COUNTIFS(GiftData[Constituent_ID], GiftData[[#This Row],[Constituent_ID]], GiftData[Fiscal_Year], "FY24")&gt;0, 1, 0)</f>
        <v>1</v>
      </c>
      <c r="L228">
        <f>IF(COUNTIFS(GiftData[Constituent_ID], GiftData[[#This Row],[Constituent_ID]], GiftData[Fiscal_Year], "FY25")&gt;0, 1, 0)</f>
        <v>1</v>
      </c>
      <c r="M228">
        <f>IF(COUNTIFS(GiftData[Constituent_ID], GiftData[[#This Row],[Constituent_ID]], GiftData[Fiscal_Year], "FY26")&gt;0, 1, 0)</f>
        <v>1</v>
      </c>
      <c r="N228" t="str" cm="1">
        <f t="array" ref="N2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29" spans="1:14" x14ac:dyDescent="0.2">
      <c r="A229" t="s">
        <v>424</v>
      </c>
      <c r="B229" t="s">
        <v>296</v>
      </c>
      <c r="C229" t="s">
        <v>28</v>
      </c>
      <c r="D229" s="1">
        <v>45142</v>
      </c>
      <c r="E229">
        <v>28.06</v>
      </c>
      <c r="F229" t="s">
        <v>12</v>
      </c>
      <c r="G229" t="s">
        <v>13</v>
      </c>
      <c r="H229" t="s">
        <v>20</v>
      </c>
      <c r="I229" t="s">
        <v>15</v>
      </c>
      <c r="J229" t="str">
        <f>"FY" &amp; IF(MONTH(GiftData[[#This Row],[Gift_Date]])&gt;=7, RIGHT(YEAR(GiftData[[#This Row],[Gift_Date]])+1, 2), RIGHT(YEAR(GiftData[[#This Row],[Gift_Date]]), 2))</f>
        <v>FY24</v>
      </c>
      <c r="K229">
        <f>IF(COUNTIFS(GiftData[Constituent_ID], GiftData[[#This Row],[Constituent_ID]], GiftData[Fiscal_Year], "FY24")&gt;0, 1, 0)</f>
        <v>1</v>
      </c>
      <c r="L229">
        <f>IF(COUNTIFS(GiftData[Constituent_ID], GiftData[[#This Row],[Constituent_ID]], GiftData[Fiscal_Year], "FY25")&gt;0, 1, 0)</f>
        <v>1</v>
      </c>
      <c r="M229">
        <f>IF(COUNTIFS(GiftData[Constituent_ID], GiftData[[#This Row],[Constituent_ID]], GiftData[Fiscal_Year], "FY26")&gt;0, 1, 0)</f>
        <v>0</v>
      </c>
      <c r="N229" t="str" cm="1">
        <f t="array" ref="N2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30" spans="1:14" x14ac:dyDescent="0.2">
      <c r="A230" t="s">
        <v>425</v>
      </c>
      <c r="B230" t="s">
        <v>244</v>
      </c>
      <c r="C230" t="s">
        <v>28</v>
      </c>
      <c r="D230" s="1">
        <v>45552</v>
      </c>
      <c r="E230">
        <v>1886.12</v>
      </c>
      <c r="F230" t="s">
        <v>12</v>
      </c>
      <c r="G230" t="s">
        <v>29</v>
      </c>
      <c r="H230" t="s">
        <v>41</v>
      </c>
      <c r="I230" t="s">
        <v>15</v>
      </c>
      <c r="J230" t="str">
        <f>"FY" &amp; IF(MONTH(GiftData[[#This Row],[Gift_Date]])&gt;=7, RIGHT(YEAR(GiftData[[#This Row],[Gift_Date]])+1, 2), RIGHT(YEAR(GiftData[[#This Row],[Gift_Date]]), 2))</f>
        <v>FY25</v>
      </c>
      <c r="K230">
        <f>IF(COUNTIFS(GiftData[Constituent_ID], GiftData[[#This Row],[Constituent_ID]], GiftData[Fiscal_Year], "FY24")&gt;0, 1, 0)</f>
        <v>0</v>
      </c>
      <c r="L230">
        <f>IF(COUNTIFS(GiftData[Constituent_ID], GiftData[[#This Row],[Constituent_ID]], GiftData[Fiscal_Year], "FY25")&gt;0, 1, 0)</f>
        <v>1</v>
      </c>
      <c r="M230">
        <f>IF(COUNTIFS(GiftData[Constituent_ID], GiftData[[#This Row],[Constituent_ID]], GiftData[Fiscal_Year], "FY26")&gt;0, 1, 0)</f>
        <v>1</v>
      </c>
      <c r="N230" t="str" cm="1">
        <f t="array" ref="N2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1" spans="1:14" x14ac:dyDescent="0.2">
      <c r="A231" t="s">
        <v>426</v>
      </c>
      <c r="B231" t="s">
        <v>427</v>
      </c>
      <c r="C231" t="s">
        <v>18</v>
      </c>
      <c r="D231" s="1">
        <v>45200</v>
      </c>
      <c r="E231">
        <v>336.97</v>
      </c>
      <c r="F231" t="s">
        <v>12</v>
      </c>
      <c r="G231" t="s">
        <v>13</v>
      </c>
      <c r="H231" t="s">
        <v>20</v>
      </c>
      <c r="I231" t="s">
        <v>38</v>
      </c>
      <c r="J231" t="str">
        <f>"FY" &amp; IF(MONTH(GiftData[[#This Row],[Gift_Date]])&gt;=7, RIGHT(YEAR(GiftData[[#This Row],[Gift_Date]])+1, 2), RIGHT(YEAR(GiftData[[#This Row],[Gift_Date]]), 2))</f>
        <v>FY24</v>
      </c>
      <c r="K231">
        <f>IF(COUNTIFS(GiftData[Constituent_ID], GiftData[[#This Row],[Constituent_ID]], GiftData[Fiscal_Year], "FY24")&gt;0, 1, 0)</f>
        <v>1</v>
      </c>
      <c r="L231">
        <f>IF(COUNTIFS(GiftData[Constituent_ID], GiftData[[#This Row],[Constituent_ID]], GiftData[Fiscal_Year], "FY25")&gt;0, 1, 0)</f>
        <v>1</v>
      </c>
      <c r="M231">
        <f>IF(COUNTIFS(GiftData[Constituent_ID], GiftData[[#This Row],[Constituent_ID]], GiftData[Fiscal_Year], "FY26")&gt;0, 1, 0)</f>
        <v>0</v>
      </c>
      <c r="N231" t="str" cm="1">
        <f t="array" ref="N2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32" spans="1:14" x14ac:dyDescent="0.2">
      <c r="A232" t="s">
        <v>428</v>
      </c>
      <c r="B232" t="s">
        <v>58</v>
      </c>
      <c r="C232" t="s">
        <v>18</v>
      </c>
      <c r="D232" s="1">
        <v>45460</v>
      </c>
      <c r="E232">
        <v>1144.42</v>
      </c>
      <c r="F232" t="s">
        <v>19</v>
      </c>
      <c r="G232" t="s">
        <v>13</v>
      </c>
      <c r="H232" t="s">
        <v>20</v>
      </c>
      <c r="I232" t="s">
        <v>15</v>
      </c>
      <c r="J232" t="str">
        <f>"FY" &amp; IF(MONTH(GiftData[[#This Row],[Gift_Date]])&gt;=7, RIGHT(YEAR(GiftData[[#This Row],[Gift_Date]])+1, 2), RIGHT(YEAR(GiftData[[#This Row],[Gift_Date]]), 2))</f>
        <v>FY24</v>
      </c>
      <c r="K232">
        <f>IF(COUNTIFS(GiftData[Constituent_ID], GiftData[[#This Row],[Constituent_ID]], GiftData[Fiscal_Year], "FY24")&gt;0, 1, 0)</f>
        <v>1</v>
      </c>
      <c r="L232">
        <f>IF(COUNTIFS(GiftData[Constituent_ID], GiftData[[#This Row],[Constituent_ID]], GiftData[Fiscal_Year], "FY25")&gt;0, 1, 0)</f>
        <v>1</v>
      </c>
      <c r="M232">
        <f>IF(COUNTIFS(GiftData[Constituent_ID], GiftData[[#This Row],[Constituent_ID]], GiftData[Fiscal_Year], "FY26")&gt;0, 1, 0)</f>
        <v>0</v>
      </c>
      <c r="N232" t="str" cm="1">
        <f t="array" ref="N2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33" spans="1:14" x14ac:dyDescent="0.2">
      <c r="A233" t="s">
        <v>429</v>
      </c>
      <c r="B233" t="s">
        <v>430</v>
      </c>
      <c r="C233" t="s">
        <v>11</v>
      </c>
      <c r="D233" s="1">
        <v>46010</v>
      </c>
      <c r="E233">
        <v>291.10000000000002</v>
      </c>
      <c r="F233" t="s">
        <v>59</v>
      </c>
      <c r="G233" t="s">
        <v>13</v>
      </c>
      <c r="H233" t="s">
        <v>41</v>
      </c>
      <c r="I233" t="s">
        <v>15</v>
      </c>
      <c r="J233" t="str">
        <f>"FY" &amp; IF(MONTH(GiftData[[#This Row],[Gift_Date]])&gt;=7, RIGHT(YEAR(GiftData[[#This Row],[Gift_Date]])+1, 2), RIGHT(YEAR(GiftData[[#This Row],[Gift_Date]]), 2))</f>
        <v>FY26</v>
      </c>
      <c r="K233">
        <f>IF(COUNTIFS(GiftData[Constituent_ID], GiftData[[#This Row],[Constituent_ID]], GiftData[Fiscal_Year], "FY24")&gt;0, 1, 0)</f>
        <v>0</v>
      </c>
      <c r="L233">
        <f>IF(COUNTIFS(GiftData[Constituent_ID], GiftData[[#This Row],[Constituent_ID]], GiftData[Fiscal_Year], "FY25")&gt;0, 1, 0)</f>
        <v>1</v>
      </c>
      <c r="M233">
        <f>IF(COUNTIFS(GiftData[Constituent_ID], GiftData[[#This Row],[Constituent_ID]], GiftData[Fiscal_Year], "FY26")&gt;0, 1, 0)</f>
        <v>1</v>
      </c>
      <c r="N233" t="str" cm="1">
        <f t="array" ref="N2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4" spans="1:14" x14ac:dyDescent="0.2">
      <c r="A234" t="s">
        <v>431</v>
      </c>
      <c r="B234" t="s">
        <v>339</v>
      </c>
      <c r="C234" t="s">
        <v>48</v>
      </c>
      <c r="D234" s="1">
        <v>45969</v>
      </c>
      <c r="E234">
        <v>201.9</v>
      </c>
      <c r="F234" t="s">
        <v>12</v>
      </c>
      <c r="G234" t="s">
        <v>13</v>
      </c>
      <c r="H234" t="s">
        <v>20</v>
      </c>
      <c r="I234" t="s">
        <v>15</v>
      </c>
      <c r="J234" t="str">
        <f>"FY" &amp; IF(MONTH(GiftData[[#This Row],[Gift_Date]])&gt;=7, RIGHT(YEAR(GiftData[[#This Row],[Gift_Date]])+1, 2), RIGHT(YEAR(GiftData[[#This Row],[Gift_Date]]), 2))</f>
        <v>FY26</v>
      </c>
      <c r="K234">
        <f>IF(COUNTIFS(GiftData[Constituent_ID], GiftData[[#This Row],[Constituent_ID]], GiftData[Fiscal_Year], "FY24")&gt;0, 1, 0)</f>
        <v>1</v>
      </c>
      <c r="L234">
        <f>IF(COUNTIFS(GiftData[Constituent_ID], GiftData[[#This Row],[Constituent_ID]], GiftData[Fiscal_Year], "FY25")&gt;0, 1, 0)</f>
        <v>1</v>
      </c>
      <c r="M234">
        <f>IF(COUNTIFS(GiftData[Constituent_ID], GiftData[[#This Row],[Constituent_ID]], GiftData[Fiscal_Year], "FY26")&gt;0, 1, 0)</f>
        <v>1</v>
      </c>
      <c r="N234" t="str" cm="1">
        <f t="array" ref="N2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5" spans="1:14" x14ac:dyDescent="0.2">
      <c r="A235" t="s">
        <v>432</v>
      </c>
      <c r="B235" t="s">
        <v>140</v>
      </c>
      <c r="C235" t="s">
        <v>11</v>
      </c>
      <c r="D235" s="1">
        <v>45266</v>
      </c>
      <c r="E235">
        <v>340.64</v>
      </c>
      <c r="F235" t="s">
        <v>12</v>
      </c>
      <c r="G235" t="s">
        <v>29</v>
      </c>
      <c r="H235" t="s">
        <v>164</v>
      </c>
      <c r="I235" t="s">
        <v>38</v>
      </c>
      <c r="J235" t="str">
        <f>"FY" &amp; IF(MONTH(GiftData[[#This Row],[Gift_Date]])&gt;=7, RIGHT(YEAR(GiftData[[#This Row],[Gift_Date]])+1, 2), RIGHT(YEAR(GiftData[[#This Row],[Gift_Date]]), 2))</f>
        <v>FY24</v>
      </c>
      <c r="K235">
        <f>IF(COUNTIFS(GiftData[Constituent_ID], GiftData[[#This Row],[Constituent_ID]], GiftData[Fiscal_Year], "FY24")&gt;0, 1, 0)</f>
        <v>1</v>
      </c>
      <c r="L235">
        <f>IF(COUNTIFS(GiftData[Constituent_ID], GiftData[[#This Row],[Constituent_ID]], GiftData[Fiscal_Year], "FY25")&gt;0, 1, 0)</f>
        <v>1</v>
      </c>
      <c r="M235">
        <f>IF(COUNTIFS(GiftData[Constituent_ID], GiftData[[#This Row],[Constituent_ID]], GiftData[Fiscal_Year], "FY26")&gt;0, 1, 0)</f>
        <v>0</v>
      </c>
      <c r="N235" t="str" cm="1">
        <f t="array" ref="N2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36" spans="1:14" x14ac:dyDescent="0.2">
      <c r="A236" t="s">
        <v>433</v>
      </c>
      <c r="B236" t="s">
        <v>434</v>
      </c>
      <c r="C236" t="s">
        <v>28</v>
      </c>
      <c r="D236" s="1">
        <v>46064</v>
      </c>
      <c r="E236">
        <v>101.76</v>
      </c>
      <c r="F236" t="s">
        <v>12</v>
      </c>
      <c r="G236" t="s">
        <v>13</v>
      </c>
      <c r="H236" t="s">
        <v>51</v>
      </c>
      <c r="I236" t="s">
        <v>38</v>
      </c>
      <c r="J236" t="str">
        <f>"FY" &amp; IF(MONTH(GiftData[[#This Row],[Gift_Date]])&gt;=7, RIGHT(YEAR(GiftData[[#This Row],[Gift_Date]])+1, 2), RIGHT(YEAR(GiftData[[#This Row],[Gift_Date]]), 2))</f>
        <v>FY26</v>
      </c>
      <c r="K236">
        <f>IF(COUNTIFS(GiftData[Constituent_ID], GiftData[[#This Row],[Constituent_ID]], GiftData[Fiscal_Year], "FY24")&gt;0, 1, 0)</f>
        <v>0</v>
      </c>
      <c r="L236">
        <f>IF(COUNTIFS(GiftData[Constituent_ID], GiftData[[#This Row],[Constituent_ID]], GiftData[Fiscal_Year], "FY25")&gt;0, 1, 0)</f>
        <v>0</v>
      </c>
      <c r="M236">
        <f>IF(COUNTIFS(GiftData[Constituent_ID], GiftData[[#This Row],[Constituent_ID]], GiftData[Fiscal_Year], "FY26")&gt;0, 1, 0)</f>
        <v>1</v>
      </c>
      <c r="N236" t="str" cm="1">
        <f t="array" ref="N2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7" spans="1:14" x14ac:dyDescent="0.2">
      <c r="A237" t="s">
        <v>435</v>
      </c>
      <c r="B237" t="s">
        <v>436</v>
      </c>
      <c r="C237" t="s">
        <v>11</v>
      </c>
      <c r="D237" s="1">
        <v>45131</v>
      </c>
      <c r="E237">
        <v>15</v>
      </c>
      <c r="F237" t="s">
        <v>12</v>
      </c>
      <c r="G237" t="s">
        <v>13</v>
      </c>
      <c r="H237" t="s">
        <v>51</v>
      </c>
      <c r="I237" t="s">
        <v>15</v>
      </c>
      <c r="J237" t="str">
        <f>"FY" &amp; IF(MONTH(GiftData[[#This Row],[Gift_Date]])&gt;=7, RIGHT(YEAR(GiftData[[#This Row],[Gift_Date]])+1, 2), RIGHT(YEAR(GiftData[[#This Row],[Gift_Date]]), 2))</f>
        <v>FY24</v>
      </c>
      <c r="K237">
        <f>IF(COUNTIFS(GiftData[Constituent_ID], GiftData[[#This Row],[Constituent_ID]], GiftData[Fiscal_Year], "FY24")&gt;0, 1, 0)</f>
        <v>1</v>
      </c>
      <c r="L237">
        <f>IF(COUNTIFS(GiftData[Constituent_ID], GiftData[[#This Row],[Constituent_ID]], GiftData[Fiscal_Year], "FY25")&gt;0, 1, 0)</f>
        <v>1</v>
      </c>
      <c r="M237">
        <f>IF(COUNTIFS(GiftData[Constituent_ID], GiftData[[#This Row],[Constituent_ID]], GiftData[Fiscal_Year], "FY26")&gt;0, 1, 0)</f>
        <v>1</v>
      </c>
      <c r="N237" t="str" cm="1">
        <f t="array" ref="N2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8" spans="1:14" x14ac:dyDescent="0.2">
      <c r="A238" t="s">
        <v>437</v>
      </c>
      <c r="B238" t="s">
        <v>142</v>
      </c>
      <c r="C238" t="s">
        <v>11</v>
      </c>
      <c r="D238" s="1">
        <v>45511</v>
      </c>
      <c r="E238">
        <v>217.37</v>
      </c>
      <c r="F238" t="s">
        <v>25</v>
      </c>
      <c r="G238" t="s">
        <v>13</v>
      </c>
      <c r="H238" t="s">
        <v>41</v>
      </c>
      <c r="I238" t="s">
        <v>15</v>
      </c>
      <c r="J238" t="str">
        <f>"FY" &amp; IF(MONTH(GiftData[[#This Row],[Gift_Date]])&gt;=7, RIGHT(YEAR(GiftData[[#This Row],[Gift_Date]])+1, 2), RIGHT(YEAR(GiftData[[#This Row],[Gift_Date]]), 2))</f>
        <v>FY25</v>
      </c>
      <c r="K238">
        <f>IF(COUNTIFS(GiftData[Constituent_ID], GiftData[[#This Row],[Constituent_ID]], GiftData[Fiscal_Year], "FY24")&gt;0, 1, 0)</f>
        <v>0</v>
      </c>
      <c r="L238">
        <f>IF(COUNTIFS(GiftData[Constituent_ID], GiftData[[#This Row],[Constituent_ID]], GiftData[Fiscal_Year], "FY25")&gt;0, 1, 0)</f>
        <v>1</v>
      </c>
      <c r="M238">
        <f>IF(COUNTIFS(GiftData[Constituent_ID], GiftData[[#This Row],[Constituent_ID]], GiftData[Fiscal_Year], "FY26")&gt;0, 1, 0)</f>
        <v>1</v>
      </c>
      <c r="N238" t="str" cm="1">
        <f t="array" ref="N2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39" spans="1:14" x14ac:dyDescent="0.2">
      <c r="A239" t="s">
        <v>438</v>
      </c>
      <c r="B239" t="s">
        <v>303</v>
      </c>
      <c r="C239" t="s">
        <v>18</v>
      </c>
      <c r="D239" s="1">
        <v>45912</v>
      </c>
      <c r="E239">
        <v>45.51</v>
      </c>
      <c r="F239" t="s">
        <v>25</v>
      </c>
      <c r="G239" t="s">
        <v>13</v>
      </c>
      <c r="H239" t="s">
        <v>51</v>
      </c>
      <c r="I239" t="s">
        <v>15</v>
      </c>
      <c r="J239" t="str">
        <f>"FY" &amp; IF(MONTH(GiftData[[#This Row],[Gift_Date]])&gt;=7, RIGHT(YEAR(GiftData[[#This Row],[Gift_Date]])+1, 2), RIGHT(YEAR(GiftData[[#This Row],[Gift_Date]]), 2))</f>
        <v>FY26</v>
      </c>
      <c r="K239">
        <f>IF(COUNTIFS(GiftData[Constituent_ID], GiftData[[#This Row],[Constituent_ID]], GiftData[Fiscal_Year], "FY24")&gt;0, 1, 0)</f>
        <v>1</v>
      </c>
      <c r="L239">
        <f>IF(COUNTIFS(GiftData[Constituent_ID], GiftData[[#This Row],[Constituent_ID]], GiftData[Fiscal_Year], "FY25")&gt;0, 1, 0)</f>
        <v>1</v>
      </c>
      <c r="M239">
        <f>IF(COUNTIFS(GiftData[Constituent_ID], GiftData[[#This Row],[Constituent_ID]], GiftData[Fiscal_Year], "FY26")&gt;0, 1, 0)</f>
        <v>1</v>
      </c>
      <c r="N239" t="str" cm="1">
        <f t="array" ref="N2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0" spans="1:14" x14ac:dyDescent="0.2">
      <c r="A240" t="s">
        <v>439</v>
      </c>
      <c r="B240" t="s">
        <v>440</v>
      </c>
      <c r="C240" t="s">
        <v>18</v>
      </c>
      <c r="D240" s="1">
        <v>45623</v>
      </c>
      <c r="E240">
        <v>29.02</v>
      </c>
      <c r="F240" t="s">
        <v>59</v>
      </c>
      <c r="G240" t="s">
        <v>13</v>
      </c>
      <c r="H240" t="s">
        <v>51</v>
      </c>
      <c r="I240" t="s">
        <v>15</v>
      </c>
      <c r="J240" t="str">
        <f>"FY" &amp; IF(MONTH(GiftData[[#This Row],[Gift_Date]])&gt;=7, RIGHT(YEAR(GiftData[[#This Row],[Gift_Date]])+1, 2), RIGHT(YEAR(GiftData[[#This Row],[Gift_Date]]), 2))</f>
        <v>FY25</v>
      </c>
      <c r="K240">
        <f>IF(COUNTIFS(GiftData[Constituent_ID], GiftData[[#This Row],[Constituent_ID]], GiftData[Fiscal_Year], "FY24")&gt;0, 1, 0)</f>
        <v>1</v>
      </c>
      <c r="L240">
        <f>IF(COUNTIFS(GiftData[Constituent_ID], GiftData[[#This Row],[Constituent_ID]], GiftData[Fiscal_Year], "FY25")&gt;0, 1, 0)</f>
        <v>1</v>
      </c>
      <c r="M240">
        <f>IF(COUNTIFS(GiftData[Constituent_ID], GiftData[[#This Row],[Constituent_ID]], GiftData[Fiscal_Year], "FY26")&gt;0, 1, 0)</f>
        <v>1</v>
      </c>
      <c r="N240" t="str" cm="1">
        <f t="array" ref="N2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1" spans="1:14" x14ac:dyDescent="0.2">
      <c r="A241" t="s">
        <v>441</v>
      </c>
      <c r="B241" t="s">
        <v>442</v>
      </c>
      <c r="C241" t="s">
        <v>35</v>
      </c>
      <c r="D241" s="1">
        <v>45839</v>
      </c>
      <c r="E241">
        <v>277.88</v>
      </c>
      <c r="F241" t="s">
        <v>25</v>
      </c>
      <c r="G241" t="s">
        <v>13</v>
      </c>
      <c r="H241" t="s">
        <v>41</v>
      </c>
      <c r="I241" t="s">
        <v>38</v>
      </c>
      <c r="J241" t="str">
        <f>"FY" &amp; IF(MONTH(GiftData[[#This Row],[Gift_Date]])&gt;=7, RIGHT(YEAR(GiftData[[#This Row],[Gift_Date]])+1, 2), RIGHT(YEAR(GiftData[[#This Row],[Gift_Date]]), 2))</f>
        <v>FY26</v>
      </c>
      <c r="K241">
        <f>IF(COUNTIFS(GiftData[Constituent_ID], GiftData[[#This Row],[Constituent_ID]], GiftData[Fiscal_Year], "FY24")&gt;0, 1, 0)</f>
        <v>0</v>
      </c>
      <c r="L241">
        <f>IF(COUNTIFS(GiftData[Constituent_ID], GiftData[[#This Row],[Constituent_ID]], GiftData[Fiscal_Year], "FY25")&gt;0, 1, 0)</f>
        <v>1</v>
      </c>
      <c r="M241">
        <f>IF(COUNTIFS(GiftData[Constituent_ID], GiftData[[#This Row],[Constituent_ID]], GiftData[Fiscal_Year], "FY26")&gt;0, 1, 0)</f>
        <v>1</v>
      </c>
      <c r="N241" t="str" cm="1">
        <f t="array" ref="N2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2" spans="1:14" x14ac:dyDescent="0.2">
      <c r="A242" t="s">
        <v>443</v>
      </c>
      <c r="B242" t="s">
        <v>339</v>
      </c>
      <c r="C242" t="s">
        <v>28</v>
      </c>
      <c r="D242" s="1">
        <v>45639</v>
      </c>
      <c r="E242">
        <v>84.53</v>
      </c>
      <c r="F242" t="s">
        <v>12</v>
      </c>
      <c r="G242" t="s">
        <v>13</v>
      </c>
      <c r="H242" t="s">
        <v>20</v>
      </c>
      <c r="I242" t="s">
        <v>38</v>
      </c>
      <c r="J242" t="str">
        <f>"FY" &amp; IF(MONTH(GiftData[[#This Row],[Gift_Date]])&gt;=7, RIGHT(YEAR(GiftData[[#This Row],[Gift_Date]])+1, 2), RIGHT(YEAR(GiftData[[#This Row],[Gift_Date]]), 2))</f>
        <v>FY25</v>
      </c>
      <c r="K242">
        <f>IF(COUNTIFS(GiftData[Constituent_ID], GiftData[[#This Row],[Constituent_ID]], GiftData[Fiscal_Year], "FY24")&gt;0, 1, 0)</f>
        <v>1</v>
      </c>
      <c r="L242">
        <f>IF(COUNTIFS(GiftData[Constituent_ID], GiftData[[#This Row],[Constituent_ID]], GiftData[Fiscal_Year], "FY25")&gt;0, 1, 0)</f>
        <v>1</v>
      </c>
      <c r="M242">
        <f>IF(COUNTIFS(GiftData[Constituent_ID], GiftData[[#This Row],[Constituent_ID]], GiftData[Fiscal_Year], "FY26")&gt;0, 1, 0)</f>
        <v>1</v>
      </c>
      <c r="N242" t="str" cm="1">
        <f t="array" ref="N2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3" spans="1:14" x14ac:dyDescent="0.2">
      <c r="A243" t="s">
        <v>444</v>
      </c>
      <c r="B243" t="s">
        <v>445</v>
      </c>
      <c r="C243" t="s">
        <v>11</v>
      </c>
      <c r="D243" s="1">
        <v>46063</v>
      </c>
      <c r="E243">
        <v>462.21</v>
      </c>
      <c r="F243" t="s">
        <v>25</v>
      </c>
      <c r="G243" t="s">
        <v>13</v>
      </c>
      <c r="H243" t="s">
        <v>51</v>
      </c>
      <c r="I243" t="s">
        <v>15</v>
      </c>
      <c r="J243" t="str">
        <f>"FY" &amp; IF(MONTH(GiftData[[#This Row],[Gift_Date]])&gt;=7, RIGHT(YEAR(GiftData[[#This Row],[Gift_Date]])+1, 2), RIGHT(YEAR(GiftData[[#This Row],[Gift_Date]]), 2))</f>
        <v>FY26</v>
      </c>
      <c r="K243">
        <f>IF(COUNTIFS(GiftData[Constituent_ID], GiftData[[#This Row],[Constituent_ID]], GiftData[Fiscal_Year], "FY24")&gt;0, 1, 0)</f>
        <v>0</v>
      </c>
      <c r="L243">
        <f>IF(COUNTIFS(GiftData[Constituent_ID], GiftData[[#This Row],[Constituent_ID]], GiftData[Fiscal_Year], "FY25")&gt;0, 1, 0)</f>
        <v>1</v>
      </c>
      <c r="M243">
        <f>IF(COUNTIFS(GiftData[Constituent_ID], GiftData[[#This Row],[Constituent_ID]], GiftData[Fiscal_Year], "FY26")&gt;0, 1, 0)</f>
        <v>1</v>
      </c>
      <c r="N243" t="str" cm="1">
        <f t="array" ref="N2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4" spans="1:14" x14ac:dyDescent="0.2">
      <c r="A244" t="s">
        <v>446</v>
      </c>
      <c r="B244" t="s">
        <v>87</v>
      </c>
      <c r="C244" t="s">
        <v>35</v>
      </c>
      <c r="D244" s="1">
        <v>45259</v>
      </c>
      <c r="E244">
        <v>43.57</v>
      </c>
      <c r="F244" t="s">
        <v>12</v>
      </c>
      <c r="G244" t="s">
        <v>13</v>
      </c>
      <c r="H244" t="s">
        <v>51</v>
      </c>
      <c r="I244" t="s">
        <v>15</v>
      </c>
      <c r="J244" t="str">
        <f>"FY" &amp; IF(MONTH(GiftData[[#This Row],[Gift_Date]])&gt;=7, RIGHT(YEAR(GiftData[[#This Row],[Gift_Date]])+1, 2), RIGHT(YEAR(GiftData[[#This Row],[Gift_Date]]), 2))</f>
        <v>FY24</v>
      </c>
      <c r="K244">
        <f>IF(COUNTIFS(GiftData[Constituent_ID], GiftData[[#This Row],[Constituent_ID]], GiftData[Fiscal_Year], "FY24")&gt;0, 1, 0)</f>
        <v>1</v>
      </c>
      <c r="L244">
        <f>IF(COUNTIFS(GiftData[Constituent_ID], GiftData[[#This Row],[Constituent_ID]], GiftData[Fiscal_Year], "FY25")&gt;0, 1, 0)</f>
        <v>1</v>
      </c>
      <c r="M244">
        <f>IF(COUNTIFS(GiftData[Constituent_ID], GiftData[[#This Row],[Constituent_ID]], GiftData[Fiscal_Year], "FY26")&gt;0, 1, 0)</f>
        <v>0</v>
      </c>
      <c r="N244" t="str" cm="1">
        <f t="array" ref="N2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45" spans="1:14" x14ac:dyDescent="0.2">
      <c r="A245" t="s">
        <v>447</v>
      </c>
      <c r="B245" t="s">
        <v>448</v>
      </c>
      <c r="C245" t="s">
        <v>18</v>
      </c>
      <c r="D245" s="1">
        <v>46054</v>
      </c>
      <c r="E245">
        <v>65.89</v>
      </c>
      <c r="F245" t="s">
        <v>12</v>
      </c>
      <c r="G245" t="s">
        <v>13</v>
      </c>
      <c r="H245" t="s">
        <v>14</v>
      </c>
      <c r="I245" t="s">
        <v>38</v>
      </c>
      <c r="J245" t="str">
        <f>"FY" &amp; IF(MONTH(GiftData[[#This Row],[Gift_Date]])&gt;=7, RIGHT(YEAR(GiftData[[#This Row],[Gift_Date]])+1, 2), RIGHT(YEAR(GiftData[[#This Row],[Gift_Date]]), 2))</f>
        <v>FY26</v>
      </c>
      <c r="K245">
        <f>IF(COUNTIFS(GiftData[Constituent_ID], GiftData[[#This Row],[Constituent_ID]], GiftData[Fiscal_Year], "FY24")&gt;0, 1, 0)</f>
        <v>1</v>
      </c>
      <c r="L245">
        <f>IF(COUNTIFS(GiftData[Constituent_ID], GiftData[[#This Row],[Constituent_ID]], GiftData[Fiscal_Year], "FY25")&gt;0, 1, 0)</f>
        <v>1</v>
      </c>
      <c r="M245">
        <f>IF(COUNTIFS(GiftData[Constituent_ID], GiftData[[#This Row],[Constituent_ID]], GiftData[Fiscal_Year], "FY26")&gt;0, 1, 0)</f>
        <v>1</v>
      </c>
      <c r="N245" t="str" cm="1">
        <f t="array" ref="N2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6" spans="1:14" x14ac:dyDescent="0.2">
      <c r="A246" t="s">
        <v>449</v>
      </c>
      <c r="B246" t="s">
        <v>101</v>
      </c>
      <c r="C246" t="s">
        <v>48</v>
      </c>
      <c r="D246" s="1">
        <v>45715</v>
      </c>
      <c r="E246">
        <v>542.05999999999995</v>
      </c>
      <c r="F246" t="s">
        <v>12</v>
      </c>
      <c r="G246" t="s">
        <v>13</v>
      </c>
      <c r="H246" t="s">
        <v>20</v>
      </c>
      <c r="I246" t="s">
        <v>15</v>
      </c>
      <c r="J246" t="str">
        <f>"FY" &amp; IF(MONTH(GiftData[[#This Row],[Gift_Date]])&gt;=7, RIGHT(YEAR(GiftData[[#This Row],[Gift_Date]])+1, 2), RIGHT(YEAR(GiftData[[#This Row],[Gift_Date]]), 2))</f>
        <v>FY25</v>
      </c>
      <c r="K246">
        <f>IF(COUNTIFS(GiftData[Constituent_ID], GiftData[[#This Row],[Constituent_ID]], GiftData[Fiscal_Year], "FY24")&gt;0, 1, 0)</f>
        <v>1</v>
      </c>
      <c r="L246">
        <f>IF(COUNTIFS(GiftData[Constituent_ID], GiftData[[#This Row],[Constituent_ID]], GiftData[Fiscal_Year], "FY25")&gt;0, 1, 0)</f>
        <v>1</v>
      </c>
      <c r="M246">
        <f>IF(COUNTIFS(GiftData[Constituent_ID], GiftData[[#This Row],[Constituent_ID]], GiftData[Fiscal_Year], "FY26")&gt;0, 1, 0)</f>
        <v>1</v>
      </c>
      <c r="N246" t="str" cm="1">
        <f t="array" ref="N2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7" spans="1:14" x14ac:dyDescent="0.2">
      <c r="A247" t="s">
        <v>450</v>
      </c>
      <c r="B247" t="s">
        <v>97</v>
      </c>
      <c r="C247" t="s">
        <v>11</v>
      </c>
      <c r="D247" s="1">
        <v>45527</v>
      </c>
      <c r="E247">
        <v>174.83</v>
      </c>
      <c r="F247" t="s">
        <v>12</v>
      </c>
      <c r="G247" t="s">
        <v>29</v>
      </c>
      <c r="H247" t="s">
        <v>41</v>
      </c>
      <c r="I247" t="s">
        <v>15</v>
      </c>
      <c r="J247" t="str">
        <f>"FY" &amp; IF(MONTH(GiftData[[#This Row],[Gift_Date]])&gt;=7, RIGHT(YEAR(GiftData[[#This Row],[Gift_Date]])+1, 2), RIGHT(YEAR(GiftData[[#This Row],[Gift_Date]]), 2))</f>
        <v>FY25</v>
      </c>
      <c r="K247">
        <f>IF(COUNTIFS(GiftData[Constituent_ID], GiftData[[#This Row],[Constituent_ID]], GiftData[Fiscal_Year], "FY24")&gt;0, 1, 0)</f>
        <v>1</v>
      </c>
      <c r="L247">
        <f>IF(COUNTIFS(GiftData[Constituent_ID], GiftData[[#This Row],[Constituent_ID]], GiftData[Fiscal_Year], "FY25")&gt;0, 1, 0)</f>
        <v>1</v>
      </c>
      <c r="M247">
        <f>IF(COUNTIFS(GiftData[Constituent_ID], GiftData[[#This Row],[Constituent_ID]], GiftData[Fiscal_Year], "FY26")&gt;0, 1, 0)</f>
        <v>1</v>
      </c>
      <c r="N247" t="str" cm="1">
        <f t="array" ref="N2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8" spans="1:14" x14ac:dyDescent="0.2">
      <c r="A248" t="s">
        <v>451</v>
      </c>
      <c r="B248" t="s">
        <v>452</v>
      </c>
      <c r="C248" t="s">
        <v>11</v>
      </c>
      <c r="D248" s="1">
        <v>45973</v>
      </c>
      <c r="E248">
        <v>17.8</v>
      </c>
      <c r="F248" t="s">
        <v>12</v>
      </c>
      <c r="G248" t="s">
        <v>13</v>
      </c>
      <c r="H248" t="s">
        <v>20</v>
      </c>
      <c r="I248" t="s">
        <v>38</v>
      </c>
      <c r="J248" t="str">
        <f>"FY" &amp; IF(MONTH(GiftData[[#This Row],[Gift_Date]])&gt;=7, RIGHT(YEAR(GiftData[[#This Row],[Gift_Date]])+1, 2), RIGHT(YEAR(GiftData[[#This Row],[Gift_Date]]), 2))</f>
        <v>FY26</v>
      </c>
      <c r="K248">
        <f>IF(COUNTIFS(GiftData[Constituent_ID], GiftData[[#This Row],[Constituent_ID]], GiftData[Fiscal_Year], "FY24")&gt;0, 1, 0)</f>
        <v>1</v>
      </c>
      <c r="L248">
        <f>IF(COUNTIFS(GiftData[Constituent_ID], GiftData[[#This Row],[Constituent_ID]], GiftData[Fiscal_Year], "FY25")&gt;0, 1, 0)</f>
        <v>0</v>
      </c>
      <c r="M248">
        <f>IF(COUNTIFS(GiftData[Constituent_ID], GiftData[[#This Row],[Constituent_ID]], GiftData[Fiscal_Year], "FY26")&gt;0, 1, 0)</f>
        <v>1</v>
      </c>
      <c r="N248" t="str" cm="1">
        <f t="array" ref="N2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49" spans="1:14" x14ac:dyDescent="0.2">
      <c r="A249" t="s">
        <v>453</v>
      </c>
      <c r="B249" t="s">
        <v>454</v>
      </c>
      <c r="C249" t="s">
        <v>11</v>
      </c>
      <c r="D249" s="1">
        <v>45685</v>
      </c>
      <c r="E249">
        <v>169.88</v>
      </c>
      <c r="F249" t="s">
        <v>12</v>
      </c>
      <c r="G249" t="s">
        <v>13</v>
      </c>
      <c r="H249" t="s">
        <v>164</v>
      </c>
      <c r="I249" t="s">
        <v>15</v>
      </c>
      <c r="J249" t="str">
        <f>"FY" &amp; IF(MONTH(GiftData[[#This Row],[Gift_Date]])&gt;=7, RIGHT(YEAR(GiftData[[#This Row],[Gift_Date]])+1, 2), RIGHT(YEAR(GiftData[[#This Row],[Gift_Date]]), 2))</f>
        <v>FY25</v>
      </c>
      <c r="K249">
        <f>IF(COUNTIFS(GiftData[Constituent_ID], GiftData[[#This Row],[Constituent_ID]], GiftData[Fiscal_Year], "FY24")&gt;0, 1, 0)</f>
        <v>0</v>
      </c>
      <c r="L249">
        <f>IF(COUNTIFS(GiftData[Constituent_ID], GiftData[[#This Row],[Constituent_ID]], GiftData[Fiscal_Year], "FY25")&gt;0, 1, 0)</f>
        <v>1</v>
      </c>
      <c r="M249">
        <f>IF(COUNTIFS(GiftData[Constituent_ID], GiftData[[#This Row],[Constituent_ID]], GiftData[Fiscal_Year], "FY26")&gt;0, 1, 0)</f>
        <v>1</v>
      </c>
      <c r="N249" t="str" cm="1">
        <f t="array" ref="N2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0" spans="1:14" x14ac:dyDescent="0.2">
      <c r="A250" t="s">
        <v>455</v>
      </c>
      <c r="B250" t="s">
        <v>456</v>
      </c>
      <c r="C250" t="s">
        <v>18</v>
      </c>
      <c r="D250" s="1">
        <v>45442</v>
      </c>
      <c r="E250">
        <v>833.48</v>
      </c>
      <c r="F250" t="s">
        <v>59</v>
      </c>
      <c r="G250" t="s">
        <v>13</v>
      </c>
      <c r="H250" t="s">
        <v>164</v>
      </c>
      <c r="I250" t="s">
        <v>15</v>
      </c>
      <c r="J250" t="str">
        <f>"FY" &amp; IF(MONTH(GiftData[[#This Row],[Gift_Date]])&gt;=7, RIGHT(YEAR(GiftData[[#This Row],[Gift_Date]])+1, 2), RIGHT(YEAR(GiftData[[#This Row],[Gift_Date]]), 2))</f>
        <v>FY24</v>
      </c>
      <c r="K250">
        <f>IF(COUNTIFS(GiftData[Constituent_ID], GiftData[[#This Row],[Constituent_ID]], GiftData[Fiscal_Year], "FY24")&gt;0, 1, 0)</f>
        <v>1</v>
      </c>
      <c r="L250">
        <f>IF(COUNTIFS(GiftData[Constituent_ID], GiftData[[#This Row],[Constituent_ID]], GiftData[Fiscal_Year], "FY25")&gt;0, 1, 0)</f>
        <v>1</v>
      </c>
      <c r="M250">
        <f>IF(COUNTIFS(GiftData[Constituent_ID], GiftData[[#This Row],[Constituent_ID]], GiftData[Fiscal_Year], "FY26")&gt;0, 1, 0)</f>
        <v>1</v>
      </c>
      <c r="N250" t="str" cm="1">
        <f t="array" ref="N2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1" spans="1:14" x14ac:dyDescent="0.2">
      <c r="A251" t="s">
        <v>457</v>
      </c>
      <c r="B251" t="s">
        <v>458</v>
      </c>
      <c r="C251" t="s">
        <v>18</v>
      </c>
      <c r="D251" s="1">
        <v>46039</v>
      </c>
      <c r="E251">
        <v>65.23</v>
      </c>
      <c r="F251" t="s">
        <v>12</v>
      </c>
      <c r="G251" t="s">
        <v>13</v>
      </c>
      <c r="H251" t="s">
        <v>20</v>
      </c>
      <c r="I251" t="s">
        <v>15</v>
      </c>
      <c r="J251" t="str">
        <f>"FY" &amp; IF(MONTH(GiftData[[#This Row],[Gift_Date]])&gt;=7, RIGHT(YEAR(GiftData[[#This Row],[Gift_Date]])+1, 2), RIGHT(YEAR(GiftData[[#This Row],[Gift_Date]]), 2))</f>
        <v>FY26</v>
      </c>
      <c r="K251">
        <f>IF(COUNTIFS(GiftData[Constituent_ID], GiftData[[#This Row],[Constituent_ID]], GiftData[Fiscal_Year], "FY24")&gt;0, 1, 0)</f>
        <v>0</v>
      </c>
      <c r="L251">
        <f>IF(COUNTIFS(GiftData[Constituent_ID], GiftData[[#This Row],[Constituent_ID]], GiftData[Fiscal_Year], "FY25")&gt;0, 1, 0)</f>
        <v>1</v>
      </c>
      <c r="M251">
        <f>IF(COUNTIFS(GiftData[Constituent_ID], GiftData[[#This Row],[Constituent_ID]], GiftData[Fiscal_Year], "FY26")&gt;0, 1, 0)</f>
        <v>1</v>
      </c>
      <c r="N251" t="str" cm="1">
        <f t="array" ref="N2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2" spans="1:14" x14ac:dyDescent="0.2">
      <c r="A252" t="s">
        <v>459</v>
      </c>
      <c r="B252" t="s">
        <v>460</v>
      </c>
      <c r="C252" t="s">
        <v>28</v>
      </c>
      <c r="D252" s="1">
        <v>45402</v>
      </c>
      <c r="E252">
        <v>264.39999999999998</v>
      </c>
      <c r="F252" t="s">
        <v>12</v>
      </c>
      <c r="G252" t="s">
        <v>29</v>
      </c>
      <c r="H252" t="s">
        <v>41</v>
      </c>
      <c r="I252" t="s">
        <v>38</v>
      </c>
      <c r="J252" t="str">
        <f>"FY" &amp; IF(MONTH(GiftData[[#This Row],[Gift_Date]])&gt;=7, RIGHT(YEAR(GiftData[[#This Row],[Gift_Date]])+1, 2), RIGHT(YEAR(GiftData[[#This Row],[Gift_Date]]), 2))</f>
        <v>FY24</v>
      </c>
      <c r="K252">
        <f>IF(COUNTIFS(GiftData[Constituent_ID], GiftData[[#This Row],[Constituent_ID]], GiftData[Fiscal_Year], "FY24")&gt;0, 1, 0)</f>
        <v>1</v>
      </c>
      <c r="L252">
        <f>IF(COUNTIFS(GiftData[Constituent_ID], GiftData[[#This Row],[Constituent_ID]], GiftData[Fiscal_Year], "FY25")&gt;0, 1, 0)</f>
        <v>1</v>
      </c>
      <c r="M252">
        <f>IF(COUNTIFS(GiftData[Constituent_ID], GiftData[[#This Row],[Constituent_ID]], GiftData[Fiscal_Year], "FY26")&gt;0, 1, 0)</f>
        <v>1</v>
      </c>
      <c r="N252" t="str" cm="1">
        <f t="array" ref="N2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3" spans="1:14" x14ac:dyDescent="0.2">
      <c r="A253" t="s">
        <v>461</v>
      </c>
      <c r="B253" t="s">
        <v>373</v>
      </c>
      <c r="C253" t="s">
        <v>35</v>
      </c>
      <c r="D253" s="1">
        <v>45862</v>
      </c>
      <c r="E253">
        <v>40.28</v>
      </c>
      <c r="F253" t="s">
        <v>12</v>
      </c>
      <c r="G253" t="s">
        <v>13</v>
      </c>
      <c r="H253" t="s">
        <v>20</v>
      </c>
      <c r="I253" t="s">
        <v>15</v>
      </c>
      <c r="J253" t="str">
        <f>"FY" &amp; IF(MONTH(GiftData[[#This Row],[Gift_Date]])&gt;=7, RIGHT(YEAR(GiftData[[#This Row],[Gift_Date]])+1, 2), RIGHT(YEAR(GiftData[[#This Row],[Gift_Date]]), 2))</f>
        <v>FY26</v>
      </c>
      <c r="K253">
        <f>IF(COUNTIFS(GiftData[Constituent_ID], GiftData[[#This Row],[Constituent_ID]], GiftData[Fiscal_Year], "FY24")&gt;0, 1, 0)</f>
        <v>1</v>
      </c>
      <c r="L253">
        <f>IF(COUNTIFS(GiftData[Constituent_ID], GiftData[[#This Row],[Constituent_ID]], GiftData[Fiscal_Year], "FY25")&gt;0, 1, 0)</f>
        <v>1</v>
      </c>
      <c r="M253">
        <f>IF(COUNTIFS(GiftData[Constituent_ID], GiftData[[#This Row],[Constituent_ID]], GiftData[Fiscal_Year], "FY26")&gt;0, 1, 0)</f>
        <v>1</v>
      </c>
      <c r="N253" t="str" cm="1">
        <f t="array" ref="N2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4" spans="1:14" x14ac:dyDescent="0.2">
      <c r="A254" t="s">
        <v>462</v>
      </c>
      <c r="B254" t="s">
        <v>463</v>
      </c>
      <c r="C254" t="s">
        <v>35</v>
      </c>
      <c r="D254" s="1">
        <v>45293</v>
      </c>
      <c r="E254">
        <v>101.72</v>
      </c>
      <c r="F254" t="s">
        <v>25</v>
      </c>
      <c r="G254" t="s">
        <v>13</v>
      </c>
      <c r="H254" t="s">
        <v>41</v>
      </c>
      <c r="I254" t="s">
        <v>30</v>
      </c>
      <c r="J254" t="str">
        <f>"FY" &amp; IF(MONTH(GiftData[[#This Row],[Gift_Date]])&gt;=7, RIGHT(YEAR(GiftData[[#This Row],[Gift_Date]])+1, 2), RIGHT(YEAR(GiftData[[#This Row],[Gift_Date]]), 2))</f>
        <v>FY24</v>
      </c>
      <c r="K254">
        <f>IF(COUNTIFS(GiftData[Constituent_ID], GiftData[[#This Row],[Constituent_ID]], GiftData[Fiscal_Year], "FY24")&gt;0, 1, 0)</f>
        <v>1</v>
      </c>
      <c r="L254">
        <f>IF(COUNTIFS(GiftData[Constituent_ID], GiftData[[#This Row],[Constituent_ID]], GiftData[Fiscal_Year], "FY25")&gt;0, 1, 0)</f>
        <v>0</v>
      </c>
      <c r="M254">
        <f>IF(COUNTIFS(GiftData[Constituent_ID], GiftData[[#This Row],[Constituent_ID]], GiftData[Fiscal_Year], "FY26")&gt;0, 1, 0)</f>
        <v>0</v>
      </c>
      <c r="N254" t="str" cm="1">
        <f t="array" ref="N2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255" spans="1:14" x14ac:dyDescent="0.2">
      <c r="A255" t="s">
        <v>464</v>
      </c>
      <c r="B255" t="s">
        <v>361</v>
      </c>
      <c r="C255" t="s">
        <v>18</v>
      </c>
      <c r="D255" s="1">
        <v>45744</v>
      </c>
      <c r="E255">
        <v>501.09</v>
      </c>
      <c r="F255" t="s">
        <v>12</v>
      </c>
      <c r="G255" t="s">
        <v>13</v>
      </c>
      <c r="H255" t="s">
        <v>20</v>
      </c>
      <c r="I255" t="s">
        <v>38</v>
      </c>
      <c r="J255" t="str">
        <f>"FY" &amp; IF(MONTH(GiftData[[#This Row],[Gift_Date]])&gt;=7, RIGHT(YEAR(GiftData[[#This Row],[Gift_Date]])+1, 2), RIGHT(YEAR(GiftData[[#This Row],[Gift_Date]]), 2))</f>
        <v>FY25</v>
      </c>
      <c r="K255">
        <f>IF(COUNTIFS(GiftData[Constituent_ID], GiftData[[#This Row],[Constituent_ID]], GiftData[Fiscal_Year], "FY24")&gt;0, 1, 0)</f>
        <v>1</v>
      </c>
      <c r="L255">
        <f>IF(COUNTIFS(GiftData[Constituent_ID], GiftData[[#This Row],[Constituent_ID]], GiftData[Fiscal_Year], "FY25")&gt;0, 1, 0)</f>
        <v>1</v>
      </c>
      <c r="M255">
        <f>IF(COUNTIFS(GiftData[Constituent_ID], GiftData[[#This Row],[Constituent_ID]], GiftData[Fiscal_Year], "FY26")&gt;0, 1, 0)</f>
        <v>1</v>
      </c>
      <c r="N255" t="str" cm="1">
        <f t="array" ref="N2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6" spans="1:14" x14ac:dyDescent="0.2">
      <c r="A256" t="s">
        <v>465</v>
      </c>
      <c r="B256" t="s">
        <v>177</v>
      </c>
      <c r="C256" t="s">
        <v>11</v>
      </c>
      <c r="D256" s="1">
        <v>45637</v>
      </c>
      <c r="E256">
        <v>161.58000000000001</v>
      </c>
      <c r="F256" t="s">
        <v>19</v>
      </c>
      <c r="G256" t="s">
        <v>13</v>
      </c>
      <c r="H256" t="s">
        <v>41</v>
      </c>
      <c r="I256" t="s">
        <v>15</v>
      </c>
      <c r="J256" t="str">
        <f>"FY" &amp; IF(MONTH(GiftData[[#This Row],[Gift_Date]])&gt;=7, RIGHT(YEAR(GiftData[[#This Row],[Gift_Date]])+1, 2), RIGHT(YEAR(GiftData[[#This Row],[Gift_Date]]), 2))</f>
        <v>FY25</v>
      </c>
      <c r="K256">
        <f>IF(COUNTIFS(GiftData[Constituent_ID], GiftData[[#This Row],[Constituent_ID]], GiftData[Fiscal_Year], "FY24")&gt;0, 1, 0)</f>
        <v>1</v>
      </c>
      <c r="L256">
        <f>IF(COUNTIFS(GiftData[Constituent_ID], GiftData[[#This Row],[Constituent_ID]], GiftData[Fiscal_Year], "FY25")&gt;0, 1, 0)</f>
        <v>1</v>
      </c>
      <c r="M256">
        <f>IF(COUNTIFS(GiftData[Constituent_ID], GiftData[[#This Row],[Constituent_ID]], GiftData[Fiscal_Year], "FY26")&gt;0, 1, 0)</f>
        <v>1</v>
      </c>
      <c r="N256" t="str" cm="1">
        <f t="array" ref="N2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7" spans="1:14" x14ac:dyDescent="0.2">
      <c r="A257" t="s">
        <v>466</v>
      </c>
      <c r="B257" t="s">
        <v>99</v>
      </c>
      <c r="C257" t="s">
        <v>18</v>
      </c>
      <c r="D257" s="1">
        <v>45128</v>
      </c>
      <c r="E257">
        <v>649.4</v>
      </c>
      <c r="F257" t="s">
        <v>59</v>
      </c>
      <c r="G257" t="s">
        <v>13</v>
      </c>
      <c r="H257" t="s">
        <v>14</v>
      </c>
      <c r="I257" t="s">
        <v>15</v>
      </c>
      <c r="J257" t="str">
        <f>"FY" &amp; IF(MONTH(GiftData[[#This Row],[Gift_Date]])&gt;=7, RIGHT(YEAR(GiftData[[#This Row],[Gift_Date]])+1, 2), RIGHT(YEAR(GiftData[[#This Row],[Gift_Date]]), 2))</f>
        <v>FY24</v>
      </c>
      <c r="K257">
        <f>IF(COUNTIFS(GiftData[Constituent_ID], GiftData[[#This Row],[Constituent_ID]], GiftData[Fiscal_Year], "FY24")&gt;0, 1, 0)</f>
        <v>1</v>
      </c>
      <c r="L257">
        <f>IF(COUNTIFS(GiftData[Constituent_ID], GiftData[[#This Row],[Constituent_ID]], GiftData[Fiscal_Year], "FY25")&gt;0, 1, 0)</f>
        <v>0</v>
      </c>
      <c r="M257">
        <f>IF(COUNTIFS(GiftData[Constituent_ID], GiftData[[#This Row],[Constituent_ID]], GiftData[Fiscal_Year], "FY26")&gt;0, 1, 0)</f>
        <v>1</v>
      </c>
      <c r="N257" t="str" cm="1">
        <f t="array" ref="N2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8" spans="1:14" x14ac:dyDescent="0.2">
      <c r="A258" t="s">
        <v>467</v>
      </c>
      <c r="B258" t="s">
        <v>468</v>
      </c>
      <c r="C258" t="s">
        <v>18</v>
      </c>
      <c r="D258" s="1">
        <v>46018</v>
      </c>
      <c r="E258">
        <v>211.22</v>
      </c>
      <c r="F258" t="s">
        <v>12</v>
      </c>
      <c r="G258" t="s">
        <v>13</v>
      </c>
      <c r="H258" t="s">
        <v>20</v>
      </c>
      <c r="I258" t="s">
        <v>15</v>
      </c>
      <c r="J258" t="str">
        <f>"FY" &amp; IF(MONTH(GiftData[[#This Row],[Gift_Date]])&gt;=7, RIGHT(YEAR(GiftData[[#This Row],[Gift_Date]])+1, 2), RIGHT(YEAR(GiftData[[#This Row],[Gift_Date]]), 2))</f>
        <v>FY26</v>
      </c>
      <c r="K258">
        <f>IF(COUNTIFS(GiftData[Constituent_ID], GiftData[[#This Row],[Constituent_ID]], GiftData[Fiscal_Year], "FY24")&gt;0, 1, 0)</f>
        <v>0</v>
      </c>
      <c r="L258">
        <f>IF(COUNTIFS(GiftData[Constituent_ID], GiftData[[#This Row],[Constituent_ID]], GiftData[Fiscal_Year], "FY25")&gt;0, 1, 0)</f>
        <v>1</v>
      </c>
      <c r="M258">
        <f>IF(COUNTIFS(GiftData[Constituent_ID], GiftData[[#This Row],[Constituent_ID]], GiftData[Fiscal_Year], "FY26")&gt;0, 1, 0)</f>
        <v>1</v>
      </c>
      <c r="N258" t="str" cm="1">
        <f t="array" ref="N2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59" spans="1:14" x14ac:dyDescent="0.2">
      <c r="A259" t="s">
        <v>469</v>
      </c>
      <c r="B259" t="s">
        <v>298</v>
      </c>
      <c r="C259" t="s">
        <v>28</v>
      </c>
      <c r="D259" s="1">
        <v>45974</v>
      </c>
      <c r="E259">
        <v>2174.08</v>
      </c>
      <c r="F259" t="s">
        <v>25</v>
      </c>
      <c r="G259" t="s">
        <v>13</v>
      </c>
      <c r="H259" t="s">
        <v>14</v>
      </c>
      <c r="I259" t="s">
        <v>15</v>
      </c>
      <c r="J259" t="str">
        <f>"FY" &amp; IF(MONTH(GiftData[[#This Row],[Gift_Date]])&gt;=7, RIGHT(YEAR(GiftData[[#This Row],[Gift_Date]])+1, 2), RIGHT(YEAR(GiftData[[#This Row],[Gift_Date]]), 2))</f>
        <v>FY26</v>
      </c>
      <c r="K259">
        <f>IF(COUNTIFS(GiftData[Constituent_ID], GiftData[[#This Row],[Constituent_ID]], GiftData[Fiscal_Year], "FY24")&gt;0, 1, 0)</f>
        <v>1</v>
      </c>
      <c r="L259">
        <f>IF(COUNTIFS(GiftData[Constituent_ID], GiftData[[#This Row],[Constituent_ID]], GiftData[Fiscal_Year], "FY25")&gt;0, 1, 0)</f>
        <v>1</v>
      </c>
      <c r="M259">
        <f>IF(COUNTIFS(GiftData[Constituent_ID], GiftData[[#This Row],[Constituent_ID]], GiftData[Fiscal_Year], "FY26")&gt;0, 1, 0)</f>
        <v>1</v>
      </c>
      <c r="N259" t="str" cm="1">
        <f t="array" ref="N2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0" spans="1:14" x14ac:dyDescent="0.2">
      <c r="A260" t="s">
        <v>470</v>
      </c>
      <c r="B260" t="s">
        <v>289</v>
      </c>
      <c r="C260" t="s">
        <v>11</v>
      </c>
      <c r="D260" s="1">
        <v>45901</v>
      </c>
      <c r="E260">
        <v>15.89</v>
      </c>
      <c r="F260" t="s">
        <v>12</v>
      </c>
      <c r="G260" t="s">
        <v>13</v>
      </c>
      <c r="H260" t="s">
        <v>20</v>
      </c>
      <c r="I260" t="s">
        <v>56</v>
      </c>
      <c r="J260" t="str">
        <f>"FY" &amp; IF(MONTH(GiftData[[#This Row],[Gift_Date]])&gt;=7, RIGHT(YEAR(GiftData[[#This Row],[Gift_Date]])+1, 2), RIGHT(YEAR(GiftData[[#This Row],[Gift_Date]]), 2))</f>
        <v>FY26</v>
      </c>
      <c r="K260">
        <f>IF(COUNTIFS(GiftData[Constituent_ID], GiftData[[#This Row],[Constituent_ID]], GiftData[Fiscal_Year], "FY24")&gt;0, 1, 0)</f>
        <v>1</v>
      </c>
      <c r="L260">
        <f>IF(COUNTIFS(GiftData[Constituent_ID], GiftData[[#This Row],[Constituent_ID]], GiftData[Fiscal_Year], "FY25")&gt;0, 1, 0)</f>
        <v>1</v>
      </c>
      <c r="M260">
        <f>IF(COUNTIFS(GiftData[Constituent_ID], GiftData[[#This Row],[Constituent_ID]], GiftData[Fiscal_Year], "FY26")&gt;0, 1, 0)</f>
        <v>1</v>
      </c>
      <c r="N260" t="str" cm="1">
        <f t="array" ref="N2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1" spans="1:14" x14ac:dyDescent="0.2">
      <c r="A261" t="s">
        <v>471</v>
      </c>
      <c r="B261" t="s">
        <v>472</v>
      </c>
      <c r="C261" t="s">
        <v>18</v>
      </c>
      <c r="D261" s="1">
        <v>45207</v>
      </c>
      <c r="E261">
        <v>91.62</v>
      </c>
      <c r="F261" t="s">
        <v>12</v>
      </c>
      <c r="G261" t="s">
        <v>13</v>
      </c>
      <c r="H261" t="s">
        <v>14</v>
      </c>
      <c r="I261" t="s">
        <v>38</v>
      </c>
      <c r="J261" t="str">
        <f>"FY" &amp; IF(MONTH(GiftData[[#This Row],[Gift_Date]])&gt;=7, RIGHT(YEAR(GiftData[[#This Row],[Gift_Date]])+1, 2), RIGHT(YEAR(GiftData[[#This Row],[Gift_Date]]), 2))</f>
        <v>FY24</v>
      </c>
      <c r="K261">
        <f>IF(COUNTIFS(GiftData[Constituent_ID], GiftData[[#This Row],[Constituent_ID]], GiftData[Fiscal_Year], "FY24")&gt;0, 1, 0)</f>
        <v>1</v>
      </c>
      <c r="L261">
        <f>IF(COUNTIFS(GiftData[Constituent_ID], GiftData[[#This Row],[Constituent_ID]], GiftData[Fiscal_Year], "FY25")&gt;0, 1, 0)</f>
        <v>1</v>
      </c>
      <c r="M261">
        <f>IF(COUNTIFS(GiftData[Constituent_ID], GiftData[[#This Row],[Constituent_ID]], GiftData[Fiscal_Year], "FY26")&gt;0, 1, 0)</f>
        <v>0</v>
      </c>
      <c r="N261" t="str" cm="1">
        <f t="array" ref="N2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62" spans="1:14" x14ac:dyDescent="0.2">
      <c r="A262" t="s">
        <v>473</v>
      </c>
      <c r="B262" t="s">
        <v>474</v>
      </c>
      <c r="C262" t="s">
        <v>18</v>
      </c>
      <c r="D262" s="1">
        <v>45859</v>
      </c>
      <c r="E262">
        <v>29.67</v>
      </c>
      <c r="F262" t="s">
        <v>25</v>
      </c>
      <c r="G262" t="s">
        <v>13</v>
      </c>
      <c r="H262" t="s">
        <v>20</v>
      </c>
      <c r="I262" t="s">
        <v>15</v>
      </c>
      <c r="J262" t="str">
        <f>"FY" &amp; IF(MONTH(GiftData[[#This Row],[Gift_Date]])&gt;=7, RIGHT(YEAR(GiftData[[#This Row],[Gift_Date]])+1, 2), RIGHT(YEAR(GiftData[[#This Row],[Gift_Date]]), 2))</f>
        <v>FY26</v>
      </c>
      <c r="K262">
        <f>IF(COUNTIFS(GiftData[Constituent_ID], GiftData[[#This Row],[Constituent_ID]], GiftData[Fiscal_Year], "FY24")&gt;0, 1, 0)</f>
        <v>1</v>
      </c>
      <c r="L262">
        <f>IF(COUNTIFS(GiftData[Constituent_ID], GiftData[[#This Row],[Constituent_ID]], GiftData[Fiscal_Year], "FY25")&gt;0, 1, 0)</f>
        <v>1</v>
      </c>
      <c r="M262">
        <f>IF(COUNTIFS(GiftData[Constituent_ID], GiftData[[#This Row],[Constituent_ID]], GiftData[Fiscal_Year], "FY26")&gt;0, 1, 0)</f>
        <v>1</v>
      </c>
      <c r="N262" t="str" cm="1">
        <f t="array" ref="N2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3" spans="1:14" x14ac:dyDescent="0.2">
      <c r="A263" t="s">
        <v>475</v>
      </c>
      <c r="B263" t="s">
        <v>379</v>
      </c>
      <c r="C263" t="s">
        <v>48</v>
      </c>
      <c r="D263" s="1">
        <v>45585</v>
      </c>
      <c r="E263">
        <v>32.42</v>
      </c>
      <c r="F263" t="s">
        <v>12</v>
      </c>
      <c r="G263" t="s">
        <v>13</v>
      </c>
      <c r="H263" t="s">
        <v>14</v>
      </c>
      <c r="I263" t="s">
        <v>38</v>
      </c>
      <c r="J263" t="str">
        <f>"FY" &amp; IF(MONTH(GiftData[[#This Row],[Gift_Date]])&gt;=7, RIGHT(YEAR(GiftData[[#This Row],[Gift_Date]])+1, 2), RIGHT(YEAR(GiftData[[#This Row],[Gift_Date]]), 2))</f>
        <v>FY25</v>
      </c>
      <c r="K263">
        <f>IF(COUNTIFS(GiftData[Constituent_ID], GiftData[[#This Row],[Constituent_ID]], GiftData[Fiscal_Year], "FY24")&gt;0, 1, 0)</f>
        <v>1</v>
      </c>
      <c r="L263">
        <f>IF(COUNTIFS(GiftData[Constituent_ID], GiftData[[#This Row],[Constituent_ID]], GiftData[Fiscal_Year], "FY25")&gt;0, 1, 0)</f>
        <v>1</v>
      </c>
      <c r="M263">
        <f>IF(COUNTIFS(GiftData[Constituent_ID], GiftData[[#This Row],[Constituent_ID]], GiftData[Fiscal_Year], "FY26")&gt;0, 1, 0)</f>
        <v>1</v>
      </c>
      <c r="N263" t="str" cm="1">
        <f t="array" ref="N2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4" spans="1:14" x14ac:dyDescent="0.2">
      <c r="A264" t="s">
        <v>476</v>
      </c>
      <c r="B264" t="s">
        <v>75</v>
      </c>
      <c r="C264" t="s">
        <v>18</v>
      </c>
      <c r="D264" s="1">
        <v>46047</v>
      </c>
      <c r="E264">
        <v>32.81</v>
      </c>
      <c r="F264" t="s">
        <v>12</v>
      </c>
      <c r="G264" t="s">
        <v>13</v>
      </c>
      <c r="H264" t="s">
        <v>51</v>
      </c>
      <c r="I264" t="s">
        <v>15</v>
      </c>
      <c r="J264" t="str">
        <f>"FY" &amp; IF(MONTH(GiftData[[#This Row],[Gift_Date]])&gt;=7, RIGHT(YEAR(GiftData[[#This Row],[Gift_Date]])+1, 2), RIGHT(YEAR(GiftData[[#This Row],[Gift_Date]]), 2))</f>
        <v>FY26</v>
      </c>
      <c r="K264">
        <f>IF(COUNTIFS(GiftData[Constituent_ID], GiftData[[#This Row],[Constituent_ID]], GiftData[Fiscal_Year], "FY24")&gt;0, 1, 0)</f>
        <v>1</v>
      </c>
      <c r="L264">
        <f>IF(COUNTIFS(GiftData[Constituent_ID], GiftData[[#This Row],[Constituent_ID]], GiftData[Fiscal_Year], "FY25")&gt;0, 1, 0)</f>
        <v>1</v>
      </c>
      <c r="M264">
        <f>IF(COUNTIFS(GiftData[Constituent_ID], GiftData[[#This Row],[Constituent_ID]], GiftData[Fiscal_Year], "FY26")&gt;0, 1, 0)</f>
        <v>1</v>
      </c>
      <c r="N264" t="str" cm="1">
        <f t="array" ref="N2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5" spans="1:14" x14ac:dyDescent="0.2">
      <c r="A265" t="s">
        <v>477</v>
      </c>
      <c r="B265" t="s">
        <v>261</v>
      </c>
      <c r="C265" t="s">
        <v>11</v>
      </c>
      <c r="D265" s="1">
        <v>45633</v>
      </c>
      <c r="E265">
        <v>151.12</v>
      </c>
      <c r="F265" t="s">
        <v>12</v>
      </c>
      <c r="G265" t="s">
        <v>13</v>
      </c>
      <c r="H265" t="s">
        <v>51</v>
      </c>
      <c r="I265" t="s">
        <v>38</v>
      </c>
      <c r="J265" t="str">
        <f>"FY" &amp; IF(MONTH(GiftData[[#This Row],[Gift_Date]])&gt;=7, RIGHT(YEAR(GiftData[[#This Row],[Gift_Date]])+1, 2), RIGHT(YEAR(GiftData[[#This Row],[Gift_Date]]), 2))</f>
        <v>FY25</v>
      </c>
      <c r="K265">
        <f>IF(COUNTIFS(GiftData[Constituent_ID], GiftData[[#This Row],[Constituent_ID]], GiftData[Fiscal_Year], "FY24")&gt;0, 1, 0)</f>
        <v>1</v>
      </c>
      <c r="L265">
        <f>IF(COUNTIFS(GiftData[Constituent_ID], GiftData[[#This Row],[Constituent_ID]], GiftData[Fiscal_Year], "FY25")&gt;0, 1, 0)</f>
        <v>1</v>
      </c>
      <c r="M265">
        <f>IF(COUNTIFS(GiftData[Constituent_ID], GiftData[[#This Row],[Constituent_ID]], GiftData[Fiscal_Year], "FY26")&gt;0, 1, 0)</f>
        <v>1</v>
      </c>
      <c r="N265" t="str" cm="1">
        <f t="array" ref="N2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6" spans="1:14" x14ac:dyDescent="0.2">
      <c r="A266" t="s">
        <v>478</v>
      </c>
      <c r="B266" t="s">
        <v>158</v>
      </c>
      <c r="C266" t="s">
        <v>11</v>
      </c>
      <c r="D266" s="1">
        <v>45441</v>
      </c>
      <c r="E266">
        <v>163.07</v>
      </c>
      <c r="F266" t="s">
        <v>12</v>
      </c>
      <c r="G266" t="s">
        <v>13</v>
      </c>
      <c r="H266" t="s">
        <v>51</v>
      </c>
      <c r="I266" t="s">
        <v>38</v>
      </c>
      <c r="J266" t="str">
        <f>"FY" &amp; IF(MONTH(GiftData[[#This Row],[Gift_Date]])&gt;=7, RIGHT(YEAR(GiftData[[#This Row],[Gift_Date]])+1, 2), RIGHT(YEAR(GiftData[[#This Row],[Gift_Date]]), 2))</f>
        <v>FY24</v>
      </c>
      <c r="K266">
        <f>IF(COUNTIFS(GiftData[Constituent_ID], GiftData[[#This Row],[Constituent_ID]], GiftData[Fiscal_Year], "FY24")&gt;0, 1, 0)</f>
        <v>1</v>
      </c>
      <c r="L266">
        <f>IF(COUNTIFS(GiftData[Constituent_ID], GiftData[[#This Row],[Constituent_ID]], GiftData[Fiscal_Year], "FY25")&gt;0, 1, 0)</f>
        <v>1</v>
      </c>
      <c r="M266">
        <f>IF(COUNTIFS(GiftData[Constituent_ID], GiftData[[#This Row],[Constituent_ID]], GiftData[Fiscal_Year], "FY26")&gt;0, 1, 0)</f>
        <v>1</v>
      </c>
      <c r="N266" t="str" cm="1">
        <f t="array" ref="N2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7" spans="1:14" x14ac:dyDescent="0.2">
      <c r="A267" t="s">
        <v>479</v>
      </c>
      <c r="B267" t="s">
        <v>263</v>
      </c>
      <c r="C267" t="s">
        <v>18</v>
      </c>
      <c r="D267" s="1">
        <v>45109</v>
      </c>
      <c r="E267">
        <v>211.81</v>
      </c>
      <c r="F267" t="s">
        <v>59</v>
      </c>
      <c r="G267" t="s">
        <v>13</v>
      </c>
      <c r="H267" t="s">
        <v>164</v>
      </c>
      <c r="I267" t="s">
        <v>15</v>
      </c>
      <c r="J267" t="str">
        <f>"FY" &amp; IF(MONTH(GiftData[[#This Row],[Gift_Date]])&gt;=7, RIGHT(YEAR(GiftData[[#This Row],[Gift_Date]])+1, 2), RIGHT(YEAR(GiftData[[#This Row],[Gift_Date]]), 2))</f>
        <v>FY24</v>
      </c>
      <c r="K267">
        <f>IF(COUNTIFS(GiftData[Constituent_ID], GiftData[[#This Row],[Constituent_ID]], GiftData[Fiscal_Year], "FY24")&gt;0, 1, 0)</f>
        <v>1</v>
      </c>
      <c r="L267">
        <f>IF(COUNTIFS(GiftData[Constituent_ID], GiftData[[#This Row],[Constituent_ID]], GiftData[Fiscal_Year], "FY25")&gt;0, 1, 0)</f>
        <v>1</v>
      </c>
      <c r="M267">
        <f>IF(COUNTIFS(GiftData[Constituent_ID], GiftData[[#This Row],[Constituent_ID]], GiftData[Fiscal_Year], "FY26")&gt;0, 1, 0)</f>
        <v>1</v>
      </c>
      <c r="N267" t="str" cm="1">
        <f t="array" ref="N2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8" spans="1:14" x14ac:dyDescent="0.2">
      <c r="A268" t="s">
        <v>480</v>
      </c>
      <c r="B268" t="s">
        <v>146</v>
      </c>
      <c r="C268" t="s">
        <v>18</v>
      </c>
      <c r="D268" s="1">
        <v>45482</v>
      </c>
      <c r="E268">
        <v>28.22</v>
      </c>
      <c r="F268" t="s">
        <v>12</v>
      </c>
      <c r="G268" t="s">
        <v>13</v>
      </c>
      <c r="H268" t="s">
        <v>20</v>
      </c>
      <c r="I268" t="s">
        <v>15</v>
      </c>
      <c r="J268" t="str">
        <f>"FY" &amp; IF(MONTH(GiftData[[#This Row],[Gift_Date]])&gt;=7, RIGHT(YEAR(GiftData[[#This Row],[Gift_Date]])+1, 2), RIGHT(YEAR(GiftData[[#This Row],[Gift_Date]]), 2))</f>
        <v>FY25</v>
      </c>
      <c r="K268">
        <f>IF(COUNTIFS(GiftData[Constituent_ID], GiftData[[#This Row],[Constituent_ID]], GiftData[Fiscal_Year], "FY24")&gt;0, 1, 0)</f>
        <v>1</v>
      </c>
      <c r="L268">
        <f>IF(COUNTIFS(GiftData[Constituent_ID], GiftData[[#This Row],[Constituent_ID]], GiftData[Fiscal_Year], "FY25")&gt;0, 1, 0)</f>
        <v>1</v>
      </c>
      <c r="M268">
        <f>IF(COUNTIFS(GiftData[Constituent_ID], GiftData[[#This Row],[Constituent_ID]], GiftData[Fiscal_Year], "FY26")&gt;0, 1, 0)</f>
        <v>1</v>
      </c>
      <c r="N268" t="str" cm="1">
        <f t="array" ref="N2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69" spans="1:14" x14ac:dyDescent="0.2">
      <c r="A269" t="s">
        <v>481</v>
      </c>
      <c r="B269" t="s">
        <v>482</v>
      </c>
      <c r="C269" t="s">
        <v>11</v>
      </c>
      <c r="D269" s="1">
        <v>45400</v>
      </c>
      <c r="E269">
        <v>79.72</v>
      </c>
      <c r="F269" t="s">
        <v>25</v>
      </c>
      <c r="G269" t="s">
        <v>29</v>
      </c>
      <c r="H269" t="s">
        <v>20</v>
      </c>
      <c r="I269" t="s">
        <v>38</v>
      </c>
      <c r="J269" t="str">
        <f>"FY" &amp; IF(MONTH(GiftData[[#This Row],[Gift_Date]])&gt;=7, RIGHT(YEAR(GiftData[[#This Row],[Gift_Date]])+1, 2), RIGHT(YEAR(GiftData[[#This Row],[Gift_Date]]), 2))</f>
        <v>FY24</v>
      </c>
      <c r="K269">
        <f>IF(COUNTIFS(GiftData[Constituent_ID], GiftData[[#This Row],[Constituent_ID]], GiftData[Fiscal_Year], "FY24")&gt;0, 1, 0)</f>
        <v>1</v>
      </c>
      <c r="L269">
        <f>IF(COUNTIFS(GiftData[Constituent_ID], GiftData[[#This Row],[Constituent_ID]], GiftData[Fiscal_Year], "FY25")&gt;0, 1, 0)</f>
        <v>0</v>
      </c>
      <c r="M269">
        <f>IF(COUNTIFS(GiftData[Constituent_ID], GiftData[[#This Row],[Constituent_ID]], GiftData[Fiscal_Year], "FY26")&gt;0, 1, 0)</f>
        <v>1</v>
      </c>
      <c r="N269" t="str" cm="1">
        <f t="array" ref="N2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0" spans="1:14" x14ac:dyDescent="0.2">
      <c r="A270" t="s">
        <v>483</v>
      </c>
      <c r="B270" t="s">
        <v>484</v>
      </c>
      <c r="C270" t="s">
        <v>35</v>
      </c>
      <c r="D270" s="1">
        <v>45944</v>
      </c>
      <c r="E270">
        <v>34.69</v>
      </c>
      <c r="F270" t="s">
        <v>12</v>
      </c>
      <c r="G270" t="s">
        <v>29</v>
      </c>
      <c r="H270" t="s">
        <v>14</v>
      </c>
      <c r="I270" t="s">
        <v>38</v>
      </c>
      <c r="J270" t="str">
        <f>"FY" &amp; IF(MONTH(GiftData[[#This Row],[Gift_Date]])&gt;=7, RIGHT(YEAR(GiftData[[#This Row],[Gift_Date]])+1, 2), RIGHT(YEAR(GiftData[[#This Row],[Gift_Date]]), 2))</f>
        <v>FY26</v>
      </c>
      <c r="K270">
        <f>IF(COUNTIFS(GiftData[Constituent_ID], GiftData[[#This Row],[Constituent_ID]], GiftData[Fiscal_Year], "FY24")&gt;0, 1, 0)</f>
        <v>1</v>
      </c>
      <c r="L270">
        <f>IF(COUNTIFS(GiftData[Constituent_ID], GiftData[[#This Row],[Constituent_ID]], GiftData[Fiscal_Year], "FY25")&gt;0, 1, 0)</f>
        <v>0</v>
      </c>
      <c r="M270">
        <f>IF(COUNTIFS(GiftData[Constituent_ID], GiftData[[#This Row],[Constituent_ID]], GiftData[Fiscal_Year], "FY26")&gt;0, 1, 0)</f>
        <v>1</v>
      </c>
      <c r="N270" t="str" cm="1">
        <f t="array" ref="N2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1" spans="1:14" x14ac:dyDescent="0.2">
      <c r="A271" t="s">
        <v>485</v>
      </c>
      <c r="B271" t="s">
        <v>486</v>
      </c>
      <c r="C271" t="s">
        <v>11</v>
      </c>
      <c r="D271" s="1">
        <v>46112</v>
      </c>
      <c r="E271">
        <v>410.2</v>
      </c>
      <c r="F271" t="s">
        <v>25</v>
      </c>
      <c r="G271" t="s">
        <v>13</v>
      </c>
      <c r="H271" t="s">
        <v>51</v>
      </c>
      <c r="I271" t="s">
        <v>15</v>
      </c>
      <c r="J271" t="str">
        <f>"FY" &amp; IF(MONTH(GiftData[[#This Row],[Gift_Date]])&gt;=7, RIGHT(YEAR(GiftData[[#This Row],[Gift_Date]])+1, 2), RIGHT(YEAR(GiftData[[#This Row],[Gift_Date]]), 2))</f>
        <v>FY26</v>
      </c>
      <c r="K271">
        <f>IF(COUNTIFS(GiftData[Constituent_ID], GiftData[[#This Row],[Constituent_ID]], GiftData[Fiscal_Year], "FY24")&gt;0, 1, 0)</f>
        <v>1</v>
      </c>
      <c r="L271">
        <f>IF(COUNTIFS(GiftData[Constituent_ID], GiftData[[#This Row],[Constituent_ID]], GiftData[Fiscal_Year], "FY25")&gt;0, 1, 0)</f>
        <v>1</v>
      </c>
      <c r="M271">
        <f>IF(COUNTIFS(GiftData[Constituent_ID], GiftData[[#This Row],[Constituent_ID]], GiftData[Fiscal_Year], "FY26")&gt;0, 1, 0)</f>
        <v>1</v>
      </c>
      <c r="N271" t="str" cm="1">
        <f t="array" ref="N2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2" spans="1:14" x14ac:dyDescent="0.2">
      <c r="A272" t="s">
        <v>487</v>
      </c>
      <c r="B272" t="s">
        <v>488</v>
      </c>
      <c r="C272" t="s">
        <v>28</v>
      </c>
      <c r="D272" s="1">
        <v>45660</v>
      </c>
      <c r="E272">
        <v>39.200000000000003</v>
      </c>
      <c r="F272" t="s">
        <v>12</v>
      </c>
      <c r="G272" t="s">
        <v>13</v>
      </c>
      <c r="H272" t="s">
        <v>164</v>
      </c>
      <c r="I272" t="s">
        <v>15</v>
      </c>
      <c r="J272" t="str">
        <f>"FY" &amp; IF(MONTH(GiftData[[#This Row],[Gift_Date]])&gt;=7, RIGHT(YEAR(GiftData[[#This Row],[Gift_Date]])+1, 2), RIGHT(YEAR(GiftData[[#This Row],[Gift_Date]]), 2))</f>
        <v>FY25</v>
      </c>
      <c r="K272">
        <f>IF(COUNTIFS(GiftData[Constituent_ID], GiftData[[#This Row],[Constituent_ID]], GiftData[Fiscal_Year], "FY24")&gt;0, 1, 0)</f>
        <v>1</v>
      </c>
      <c r="L272">
        <f>IF(COUNTIFS(GiftData[Constituent_ID], GiftData[[#This Row],[Constituent_ID]], GiftData[Fiscal_Year], "FY25")&gt;0, 1, 0)</f>
        <v>1</v>
      </c>
      <c r="M272">
        <f>IF(COUNTIFS(GiftData[Constituent_ID], GiftData[[#This Row],[Constituent_ID]], GiftData[Fiscal_Year], "FY26")&gt;0, 1, 0)</f>
        <v>1</v>
      </c>
      <c r="N272" t="str" cm="1">
        <f t="array" ref="N2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3" spans="1:14" x14ac:dyDescent="0.2">
      <c r="A273" t="s">
        <v>489</v>
      </c>
      <c r="B273" t="s">
        <v>130</v>
      </c>
      <c r="C273" t="s">
        <v>48</v>
      </c>
      <c r="D273" s="1">
        <v>45425</v>
      </c>
      <c r="E273">
        <v>92.04</v>
      </c>
      <c r="F273" t="s">
        <v>12</v>
      </c>
      <c r="G273" t="s">
        <v>13</v>
      </c>
      <c r="H273" t="s">
        <v>20</v>
      </c>
      <c r="I273" t="s">
        <v>38</v>
      </c>
      <c r="J273" t="str">
        <f>"FY" &amp; IF(MONTH(GiftData[[#This Row],[Gift_Date]])&gt;=7, RIGHT(YEAR(GiftData[[#This Row],[Gift_Date]])+1, 2), RIGHT(YEAR(GiftData[[#This Row],[Gift_Date]]), 2))</f>
        <v>FY24</v>
      </c>
      <c r="K273">
        <f>IF(COUNTIFS(GiftData[Constituent_ID], GiftData[[#This Row],[Constituent_ID]], GiftData[Fiscal_Year], "FY24")&gt;0, 1, 0)</f>
        <v>1</v>
      </c>
      <c r="L273">
        <f>IF(COUNTIFS(GiftData[Constituent_ID], GiftData[[#This Row],[Constituent_ID]], GiftData[Fiscal_Year], "FY25")&gt;0, 1, 0)</f>
        <v>0</v>
      </c>
      <c r="M273">
        <f>IF(COUNTIFS(GiftData[Constituent_ID], GiftData[[#This Row],[Constituent_ID]], GiftData[Fiscal_Year], "FY26")&gt;0, 1, 0)</f>
        <v>1</v>
      </c>
      <c r="N273" t="str" cm="1">
        <f t="array" ref="N2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4" spans="1:14" x14ac:dyDescent="0.2">
      <c r="A274" t="s">
        <v>490</v>
      </c>
      <c r="B274" t="s">
        <v>189</v>
      </c>
      <c r="C274" t="s">
        <v>35</v>
      </c>
      <c r="D274" s="1">
        <v>45488</v>
      </c>
      <c r="E274">
        <v>251.74</v>
      </c>
      <c r="F274" t="s">
        <v>59</v>
      </c>
      <c r="G274" t="s">
        <v>13</v>
      </c>
      <c r="H274" t="s">
        <v>14</v>
      </c>
      <c r="I274" t="s">
        <v>15</v>
      </c>
      <c r="J274" t="str">
        <f>"FY" &amp; IF(MONTH(GiftData[[#This Row],[Gift_Date]])&gt;=7, RIGHT(YEAR(GiftData[[#This Row],[Gift_Date]])+1, 2), RIGHT(YEAR(GiftData[[#This Row],[Gift_Date]]), 2))</f>
        <v>FY25</v>
      </c>
      <c r="K274">
        <f>IF(COUNTIFS(GiftData[Constituent_ID], GiftData[[#This Row],[Constituent_ID]], GiftData[Fiscal_Year], "FY24")&gt;0, 1, 0)</f>
        <v>1</v>
      </c>
      <c r="L274">
        <f>IF(COUNTIFS(GiftData[Constituent_ID], GiftData[[#This Row],[Constituent_ID]], GiftData[Fiscal_Year], "FY25")&gt;0, 1, 0)</f>
        <v>1</v>
      </c>
      <c r="M274">
        <f>IF(COUNTIFS(GiftData[Constituent_ID], GiftData[[#This Row],[Constituent_ID]], GiftData[Fiscal_Year], "FY26")&gt;0, 1, 0)</f>
        <v>1</v>
      </c>
      <c r="N274" t="str" cm="1">
        <f t="array" ref="N2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5" spans="1:14" x14ac:dyDescent="0.2">
      <c r="A275" t="s">
        <v>491</v>
      </c>
      <c r="B275" t="s">
        <v>492</v>
      </c>
      <c r="C275" t="s">
        <v>11</v>
      </c>
      <c r="D275" s="1">
        <v>45121</v>
      </c>
      <c r="E275">
        <v>54.58</v>
      </c>
      <c r="F275" t="s">
        <v>12</v>
      </c>
      <c r="G275" t="s">
        <v>13</v>
      </c>
      <c r="H275" t="s">
        <v>20</v>
      </c>
      <c r="I275" t="s">
        <v>15</v>
      </c>
      <c r="J275" t="str">
        <f>"FY" &amp; IF(MONTH(GiftData[[#This Row],[Gift_Date]])&gt;=7, RIGHT(YEAR(GiftData[[#This Row],[Gift_Date]])+1, 2), RIGHT(YEAR(GiftData[[#This Row],[Gift_Date]]), 2))</f>
        <v>FY24</v>
      </c>
      <c r="K275">
        <f>IF(COUNTIFS(GiftData[Constituent_ID], GiftData[[#This Row],[Constituent_ID]], GiftData[Fiscal_Year], "FY24")&gt;0, 1, 0)</f>
        <v>1</v>
      </c>
      <c r="L275">
        <f>IF(COUNTIFS(GiftData[Constituent_ID], GiftData[[#This Row],[Constituent_ID]], GiftData[Fiscal_Year], "FY25")&gt;0, 1, 0)</f>
        <v>1</v>
      </c>
      <c r="M275">
        <f>IF(COUNTIFS(GiftData[Constituent_ID], GiftData[[#This Row],[Constituent_ID]], GiftData[Fiscal_Year], "FY26")&gt;0, 1, 0)</f>
        <v>0</v>
      </c>
      <c r="N275" t="str" cm="1">
        <f t="array" ref="N2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76" spans="1:14" x14ac:dyDescent="0.2">
      <c r="A276" t="s">
        <v>493</v>
      </c>
      <c r="B276" t="s">
        <v>284</v>
      </c>
      <c r="C276" t="s">
        <v>11</v>
      </c>
      <c r="D276" s="1">
        <v>45611</v>
      </c>
      <c r="E276">
        <v>299.48</v>
      </c>
      <c r="F276" t="s">
        <v>12</v>
      </c>
      <c r="G276" t="s">
        <v>13</v>
      </c>
      <c r="H276" t="s">
        <v>41</v>
      </c>
      <c r="I276" t="s">
        <v>15</v>
      </c>
      <c r="J276" t="str">
        <f>"FY" &amp; IF(MONTH(GiftData[[#This Row],[Gift_Date]])&gt;=7, RIGHT(YEAR(GiftData[[#This Row],[Gift_Date]])+1, 2), RIGHT(YEAR(GiftData[[#This Row],[Gift_Date]]), 2))</f>
        <v>FY25</v>
      </c>
      <c r="K276">
        <f>IF(COUNTIFS(GiftData[Constituent_ID], GiftData[[#This Row],[Constituent_ID]], GiftData[Fiscal_Year], "FY24")&gt;0, 1, 0)</f>
        <v>1</v>
      </c>
      <c r="L276">
        <f>IF(COUNTIFS(GiftData[Constituent_ID], GiftData[[#This Row],[Constituent_ID]], GiftData[Fiscal_Year], "FY25")&gt;0, 1, 0)</f>
        <v>1</v>
      </c>
      <c r="M276">
        <f>IF(COUNTIFS(GiftData[Constituent_ID], GiftData[[#This Row],[Constituent_ID]], GiftData[Fiscal_Year], "FY26")&gt;0, 1, 0)</f>
        <v>0</v>
      </c>
      <c r="N276" t="str" cm="1">
        <f t="array" ref="N2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77" spans="1:14" x14ac:dyDescent="0.2">
      <c r="A277" t="s">
        <v>494</v>
      </c>
      <c r="B277" t="s">
        <v>146</v>
      </c>
      <c r="C277" t="s">
        <v>28</v>
      </c>
      <c r="D277" s="1">
        <v>45338</v>
      </c>
      <c r="E277">
        <v>967.68</v>
      </c>
      <c r="F277" t="s">
        <v>12</v>
      </c>
      <c r="G277" t="s">
        <v>29</v>
      </c>
      <c r="H277" t="s">
        <v>41</v>
      </c>
      <c r="I277" t="s">
        <v>15</v>
      </c>
      <c r="J277" t="str">
        <f>"FY" &amp; IF(MONTH(GiftData[[#This Row],[Gift_Date]])&gt;=7, RIGHT(YEAR(GiftData[[#This Row],[Gift_Date]])+1, 2), RIGHT(YEAR(GiftData[[#This Row],[Gift_Date]]), 2))</f>
        <v>FY24</v>
      </c>
      <c r="K277">
        <f>IF(COUNTIFS(GiftData[Constituent_ID], GiftData[[#This Row],[Constituent_ID]], GiftData[Fiscal_Year], "FY24")&gt;0, 1, 0)</f>
        <v>1</v>
      </c>
      <c r="L277">
        <f>IF(COUNTIFS(GiftData[Constituent_ID], GiftData[[#This Row],[Constituent_ID]], GiftData[Fiscal_Year], "FY25")&gt;0, 1, 0)</f>
        <v>1</v>
      </c>
      <c r="M277">
        <f>IF(COUNTIFS(GiftData[Constituent_ID], GiftData[[#This Row],[Constituent_ID]], GiftData[Fiscal_Year], "FY26")&gt;0, 1, 0)</f>
        <v>1</v>
      </c>
      <c r="N277" t="str" cm="1">
        <f t="array" ref="N2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8" spans="1:14" x14ac:dyDescent="0.2">
      <c r="A278" t="s">
        <v>495</v>
      </c>
      <c r="B278" t="s">
        <v>496</v>
      </c>
      <c r="C278" t="s">
        <v>28</v>
      </c>
      <c r="D278" s="1">
        <v>45237</v>
      </c>
      <c r="E278">
        <v>155.5</v>
      </c>
      <c r="F278" t="s">
        <v>25</v>
      </c>
      <c r="G278" t="s">
        <v>13</v>
      </c>
      <c r="H278" t="s">
        <v>20</v>
      </c>
      <c r="I278" t="s">
        <v>15</v>
      </c>
      <c r="J278" t="str">
        <f>"FY" &amp; IF(MONTH(GiftData[[#This Row],[Gift_Date]])&gt;=7, RIGHT(YEAR(GiftData[[#This Row],[Gift_Date]])+1, 2), RIGHT(YEAR(GiftData[[#This Row],[Gift_Date]]), 2))</f>
        <v>FY24</v>
      </c>
      <c r="K278">
        <f>IF(COUNTIFS(GiftData[Constituent_ID], GiftData[[#This Row],[Constituent_ID]], GiftData[Fiscal_Year], "FY24")&gt;0, 1, 0)</f>
        <v>1</v>
      </c>
      <c r="L278">
        <f>IF(COUNTIFS(GiftData[Constituent_ID], GiftData[[#This Row],[Constituent_ID]], GiftData[Fiscal_Year], "FY25")&gt;0, 1, 0)</f>
        <v>1</v>
      </c>
      <c r="M278">
        <f>IF(COUNTIFS(GiftData[Constituent_ID], GiftData[[#This Row],[Constituent_ID]], GiftData[Fiscal_Year], "FY26")&gt;0, 1, 0)</f>
        <v>1</v>
      </c>
      <c r="N278" t="str" cm="1">
        <f t="array" ref="N2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79" spans="1:14" x14ac:dyDescent="0.2">
      <c r="A279" t="s">
        <v>497</v>
      </c>
      <c r="B279" t="s">
        <v>116</v>
      </c>
      <c r="C279" t="s">
        <v>11</v>
      </c>
      <c r="D279" s="1">
        <v>45945</v>
      </c>
      <c r="E279">
        <v>392.33</v>
      </c>
      <c r="F279" t="s">
        <v>12</v>
      </c>
      <c r="G279" t="s">
        <v>13</v>
      </c>
      <c r="H279" t="s">
        <v>14</v>
      </c>
      <c r="I279" t="s">
        <v>30</v>
      </c>
      <c r="J279" t="str">
        <f>"FY" &amp; IF(MONTH(GiftData[[#This Row],[Gift_Date]])&gt;=7, RIGHT(YEAR(GiftData[[#This Row],[Gift_Date]])+1, 2), RIGHT(YEAR(GiftData[[#This Row],[Gift_Date]]), 2))</f>
        <v>FY26</v>
      </c>
      <c r="K279">
        <f>IF(COUNTIFS(GiftData[Constituent_ID], GiftData[[#This Row],[Constituent_ID]], GiftData[Fiscal_Year], "FY24")&gt;0, 1, 0)</f>
        <v>0</v>
      </c>
      <c r="L279">
        <f>IF(COUNTIFS(GiftData[Constituent_ID], GiftData[[#This Row],[Constituent_ID]], GiftData[Fiscal_Year], "FY25")&gt;0, 1, 0)</f>
        <v>1</v>
      </c>
      <c r="M279">
        <f>IF(COUNTIFS(GiftData[Constituent_ID], GiftData[[#This Row],[Constituent_ID]], GiftData[Fiscal_Year], "FY26")&gt;0, 1, 0)</f>
        <v>1</v>
      </c>
      <c r="N279" t="str" cm="1">
        <f t="array" ref="N2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0" spans="1:14" x14ac:dyDescent="0.2">
      <c r="A280" t="s">
        <v>498</v>
      </c>
      <c r="B280" t="s">
        <v>148</v>
      </c>
      <c r="C280" t="s">
        <v>28</v>
      </c>
      <c r="D280" s="1">
        <v>45998</v>
      </c>
      <c r="E280">
        <v>15</v>
      </c>
      <c r="F280" t="s">
        <v>59</v>
      </c>
      <c r="G280" t="s">
        <v>13</v>
      </c>
      <c r="H280" t="s">
        <v>41</v>
      </c>
      <c r="I280" t="s">
        <v>38</v>
      </c>
      <c r="J280" t="str">
        <f>"FY" &amp; IF(MONTH(GiftData[[#This Row],[Gift_Date]])&gt;=7, RIGHT(YEAR(GiftData[[#This Row],[Gift_Date]])+1, 2), RIGHT(YEAR(GiftData[[#This Row],[Gift_Date]]), 2))</f>
        <v>FY26</v>
      </c>
      <c r="K280">
        <f>IF(COUNTIFS(GiftData[Constituent_ID], GiftData[[#This Row],[Constituent_ID]], GiftData[Fiscal_Year], "FY24")&gt;0, 1, 0)</f>
        <v>1</v>
      </c>
      <c r="L280">
        <f>IF(COUNTIFS(GiftData[Constituent_ID], GiftData[[#This Row],[Constituent_ID]], GiftData[Fiscal_Year], "FY25")&gt;0, 1, 0)</f>
        <v>1</v>
      </c>
      <c r="M280">
        <f>IF(COUNTIFS(GiftData[Constituent_ID], GiftData[[#This Row],[Constituent_ID]], GiftData[Fiscal_Year], "FY26")&gt;0, 1, 0)</f>
        <v>1</v>
      </c>
      <c r="N280" t="str" cm="1">
        <f t="array" ref="N2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1" spans="1:14" x14ac:dyDescent="0.2">
      <c r="A281" t="s">
        <v>499</v>
      </c>
      <c r="B281" t="s">
        <v>500</v>
      </c>
      <c r="C281" t="s">
        <v>18</v>
      </c>
      <c r="D281" s="1">
        <v>45135</v>
      </c>
      <c r="E281">
        <v>69.56</v>
      </c>
      <c r="F281" t="s">
        <v>12</v>
      </c>
      <c r="G281" t="s">
        <v>13</v>
      </c>
      <c r="H281" t="s">
        <v>41</v>
      </c>
      <c r="I281" t="s">
        <v>15</v>
      </c>
      <c r="J281" t="str">
        <f>"FY" &amp; IF(MONTH(GiftData[[#This Row],[Gift_Date]])&gt;=7, RIGHT(YEAR(GiftData[[#This Row],[Gift_Date]])+1, 2), RIGHT(YEAR(GiftData[[#This Row],[Gift_Date]]), 2))</f>
        <v>FY24</v>
      </c>
      <c r="K281">
        <f>IF(COUNTIFS(GiftData[Constituent_ID], GiftData[[#This Row],[Constituent_ID]], GiftData[Fiscal_Year], "FY24")&gt;0, 1, 0)</f>
        <v>1</v>
      </c>
      <c r="L281">
        <f>IF(COUNTIFS(GiftData[Constituent_ID], GiftData[[#This Row],[Constituent_ID]], GiftData[Fiscal_Year], "FY25")&gt;0, 1, 0)</f>
        <v>1</v>
      </c>
      <c r="M281">
        <f>IF(COUNTIFS(GiftData[Constituent_ID], GiftData[[#This Row],[Constituent_ID]], GiftData[Fiscal_Year], "FY26")&gt;0, 1, 0)</f>
        <v>1</v>
      </c>
      <c r="N281" t="str" cm="1">
        <f t="array" ref="N2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2" spans="1:14" x14ac:dyDescent="0.2">
      <c r="A282" t="s">
        <v>501</v>
      </c>
      <c r="B282" t="s">
        <v>502</v>
      </c>
      <c r="C282" t="s">
        <v>11</v>
      </c>
      <c r="D282" s="1">
        <v>45173</v>
      </c>
      <c r="E282">
        <v>154.53</v>
      </c>
      <c r="F282" t="s">
        <v>12</v>
      </c>
      <c r="G282" t="s">
        <v>13</v>
      </c>
      <c r="H282" t="s">
        <v>20</v>
      </c>
      <c r="I282" t="s">
        <v>15</v>
      </c>
      <c r="J282" t="str">
        <f>"FY" &amp; IF(MONTH(GiftData[[#This Row],[Gift_Date]])&gt;=7, RIGHT(YEAR(GiftData[[#This Row],[Gift_Date]])+1, 2), RIGHT(YEAR(GiftData[[#This Row],[Gift_Date]]), 2))</f>
        <v>FY24</v>
      </c>
      <c r="K282">
        <f>IF(COUNTIFS(GiftData[Constituent_ID], GiftData[[#This Row],[Constituent_ID]], GiftData[Fiscal_Year], "FY24")&gt;0, 1, 0)</f>
        <v>1</v>
      </c>
      <c r="L282">
        <f>IF(COUNTIFS(GiftData[Constituent_ID], GiftData[[#This Row],[Constituent_ID]], GiftData[Fiscal_Year], "FY25")&gt;0, 1, 0)</f>
        <v>1</v>
      </c>
      <c r="M282">
        <f>IF(COUNTIFS(GiftData[Constituent_ID], GiftData[[#This Row],[Constituent_ID]], GiftData[Fiscal_Year], "FY26")&gt;0, 1, 0)</f>
        <v>1</v>
      </c>
      <c r="N282" t="str" cm="1">
        <f t="array" ref="N2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3" spans="1:14" x14ac:dyDescent="0.2">
      <c r="A283" t="s">
        <v>503</v>
      </c>
      <c r="B283" t="s">
        <v>504</v>
      </c>
      <c r="C283" t="s">
        <v>11</v>
      </c>
      <c r="D283" s="1">
        <v>45368</v>
      </c>
      <c r="E283">
        <v>30.91</v>
      </c>
      <c r="F283" t="s">
        <v>25</v>
      </c>
      <c r="G283" t="s">
        <v>13</v>
      </c>
      <c r="H283" t="s">
        <v>51</v>
      </c>
      <c r="I283" t="s">
        <v>15</v>
      </c>
      <c r="J283" t="str">
        <f>"FY" &amp; IF(MONTH(GiftData[[#This Row],[Gift_Date]])&gt;=7, RIGHT(YEAR(GiftData[[#This Row],[Gift_Date]])+1, 2), RIGHT(YEAR(GiftData[[#This Row],[Gift_Date]]), 2))</f>
        <v>FY24</v>
      </c>
      <c r="K283">
        <f>IF(COUNTIFS(GiftData[Constituent_ID], GiftData[[#This Row],[Constituent_ID]], GiftData[Fiscal_Year], "FY24")&gt;0, 1, 0)</f>
        <v>1</v>
      </c>
      <c r="L283">
        <f>IF(COUNTIFS(GiftData[Constituent_ID], GiftData[[#This Row],[Constituent_ID]], GiftData[Fiscal_Year], "FY25")&gt;0, 1, 0)</f>
        <v>1</v>
      </c>
      <c r="M283">
        <f>IF(COUNTIFS(GiftData[Constituent_ID], GiftData[[#This Row],[Constituent_ID]], GiftData[Fiscal_Year], "FY26")&gt;0, 1, 0)</f>
        <v>0</v>
      </c>
      <c r="N283" t="str" cm="1">
        <f t="array" ref="N2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84" spans="1:14" x14ac:dyDescent="0.2">
      <c r="A284" t="s">
        <v>505</v>
      </c>
      <c r="B284" t="s">
        <v>460</v>
      </c>
      <c r="C284" t="s">
        <v>18</v>
      </c>
      <c r="D284" s="1">
        <v>45567</v>
      </c>
      <c r="E284">
        <v>159.16999999999999</v>
      </c>
      <c r="F284" t="s">
        <v>25</v>
      </c>
      <c r="G284" t="s">
        <v>13</v>
      </c>
      <c r="H284" t="s">
        <v>14</v>
      </c>
      <c r="I284" t="s">
        <v>15</v>
      </c>
      <c r="J284" t="str">
        <f>"FY" &amp; IF(MONTH(GiftData[[#This Row],[Gift_Date]])&gt;=7, RIGHT(YEAR(GiftData[[#This Row],[Gift_Date]])+1, 2), RIGHT(YEAR(GiftData[[#This Row],[Gift_Date]]), 2))</f>
        <v>FY25</v>
      </c>
      <c r="K284">
        <f>IF(COUNTIFS(GiftData[Constituent_ID], GiftData[[#This Row],[Constituent_ID]], GiftData[Fiscal_Year], "FY24")&gt;0, 1, 0)</f>
        <v>1</v>
      </c>
      <c r="L284">
        <f>IF(COUNTIFS(GiftData[Constituent_ID], GiftData[[#This Row],[Constituent_ID]], GiftData[Fiscal_Year], "FY25")&gt;0, 1, 0)</f>
        <v>1</v>
      </c>
      <c r="M284">
        <f>IF(COUNTIFS(GiftData[Constituent_ID], GiftData[[#This Row],[Constituent_ID]], GiftData[Fiscal_Year], "FY26")&gt;0, 1, 0)</f>
        <v>1</v>
      </c>
      <c r="N284" t="str" cm="1">
        <f t="array" ref="N2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5" spans="1:14" x14ac:dyDescent="0.2">
      <c r="A285" t="s">
        <v>506</v>
      </c>
      <c r="B285" t="s">
        <v>507</v>
      </c>
      <c r="C285" t="s">
        <v>18</v>
      </c>
      <c r="D285" s="1">
        <v>45408</v>
      </c>
      <c r="E285">
        <v>481.99</v>
      </c>
      <c r="F285" t="s">
        <v>59</v>
      </c>
      <c r="G285" t="s">
        <v>13</v>
      </c>
      <c r="H285" t="s">
        <v>51</v>
      </c>
      <c r="I285" t="s">
        <v>56</v>
      </c>
      <c r="J285" t="str">
        <f>"FY" &amp; IF(MONTH(GiftData[[#This Row],[Gift_Date]])&gt;=7, RIGHT(YEAR(GiftData[[#This Row],[Gift_Date]])+1, 2), RIGHT(YEAR(GiftData[[#This Row],[Gift_Date]]), 2))</f>
        <v>FY24</v>
      </c>
      <c r="K285">
        <f>IF(COUNTIFS(GiftData[Constituent_ID], GiftData[[#This Row],[Constituent_ID]], GiftData[Fiscal_Year], "FY24")&gt;0, 1, 0)</f>
        <v>1</v>
      </c>
      <c r="L285">
        <f>IF(COUNTIFS(GiftData[Constituent_ID], GiftData[[#This Row],[Constituent_ID]], GiftData[Fiscal_Year], "FY25")&gt;0, 1, 0)</f>
        <v>0</v>
      </c>
      <c r="M285">
        <f>IF(COUNTIFS(GiftData[Constituent_ID], GiftData[[#This Row],[Constituent_ID]], GiftData[Fiscal_Year], "FY26")&gt;0, 1, 0)</f>
        <v>0</v>
      </c>
      <c r="N285" t="str" cm="1">
        <f t="array" ref="N2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286" spans="1:14" x14ac:dyDescent="0.2">
      <c r="A286" t="s">
        <v>508</v>
      </c>
      <c r="B286" t="s">
        <v>251</v>
      </c>
      <c r="C286" t="s">
        <v>28</v>
      </c>
      <c r="D286" s="1">
        <v>46026</v>
      </c>
      <c r="E286">
        <v>15</v>
      </c>
      <c r="F286" t="s">
        <v>19</v>
      </c>
      <c r="G286" t="s">
        <v>13</v>
      </c>
      <c r="H286" t="s">
        <v>51</v>
      </c>
      <c r="I286" t="s">
        <v>15</v>
      </c>
      <c r="J286" t="str">
        <f>"FY" &amp; IF(MONTH(GiftData[[#This Row],[Gift_Date]])&gt;=7, RIGHT(YEAR(GiftData[[#This Row],[Gift_Date]])+1, 2), RIGHT(YEAR(GiftData[[#This Row],[Gift_Date]]), 2))</f>
        <v>FY26</v>
      </c>
      <c r="K286">
        <f>IF(COUNTIFS(GiftData[Constituent_ID], GiftData[[#This Row],[Constituent_ID]], GiftData[Fiscal_Year], "FY24")&gt;0, 1, 0)</f>
        <v>1</v>
      </c>
      <c r="L286">
        <f>IF(COUNTIFS(GiftData[Constituent_ID], GiftData[[#This Row],[Constituent_ID]], GiftData[Fiscal_Year], "FY25")&gt;0, 1, 0)</f>
        <v>1</v>
      </c>
      <c r="M286">
        <f>IF(COUNTIFS(GiftData[Constituent_ID], GiftData[[#This Row],[Constituent_ID]], GiftData[Fiscal_Year], "FY26")&gt;0, 1, 0)</f>
        <v>1</v>
      </c>
      <c r="N286" t="str" cm="1">
        <f t="array" ref="N2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7" spans="1:14" x14ac:dyDescent="0.2">
      <c r="A287" t="s">
        <v>509</v>
      </c>
      <c r="B287" t="s">
        <v>43</v>
      </c>
      <c r="C287" t="s">
        <v>11</v>
      </c>
      <c r="D287" s="1">
        <v>45394</v>
      </c>
      <c r="E287">
        <v>25.9</v>
      </c>
      <c r="F287" t="s">
        <v>12</v>
      </c>
      <c r="G287" t="s">
        <v>13</v>
      </c>
      <c r="H287" t="s">
        <v>20</v>
      </c>
      <c r="I287" t="s">
        <v>30</v>
      </c>
      <c r="J287" t="str">
        <f>"FY" &amp; IF(MONTH(GiftData[[#This Row],[Gift_Date]])&gt;=7, RIGHT(YEAR(GiftData[[#This Row],[Gift_Date]])+1, 2), RIGHT(YEAR(GiftData[[#This Row],[Gift_Date]]), 2))</f>
        <v>FY24</v>
      </c>
      <c r="K287">
        <f>IF(COUNTIFS(GiftData[Constituent_ID], GiftData[[#This Row],[Constituent_ID]], GiftData[Fiscal_Year], "FY24")&gt;0, 1, 0)</f>
        <v>1</v>
      </c>
      <c r="L287">
        <f>IF(COUNTIFS(GiftData[Constituent_ID], GiftData[[#This Row],[Constituent_ID]], GiftData[Fiscal_Year], "FY25")&gt;0, 1, 0)</f>
        <v>0</v>
      </c>
      <c r="M287">
        <f>IF(COUNTIFS(GiftData[Constituent_ID], GiftData[[#This Row],[Constituent_ID]], GiftData[Fiscal_Year], "FY26")&gt;0, 1, 0)</f>
        <v>1</v>
      </c>
      <c r="N287" t="str" cm="1">
        <f t="array" ref="N2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8" spans="1:14" x14ac:dyDescent="0.2">
      <c r="A288" t="s">
        <v>510</v>
      </c>
      <c r="B288" t="s">
        <v>407</v>
      </c>
      <c r="C288" t="s">
        <v>11</v>
      </c>
      <c r="D288" s="1">
        <v>46141</v>
      </c>
      <c r="E288">
        <v>154.51</v>
      </c>
      <c r="F288" t="s">
        <v>12</v>
      </c>
      <c r="G288" t="s">
        <v>13</v>
      </c>
      <c r="H288" t="s">
        <v>20</v>
      </c>
      <c r="I288" t="s">
        <v>15</v>
      </c>
      <c r="J288" t="str">
        <f>"FY" &amp; IF(MONTH(GiftData[[#This Row],[Gift_Date]])&gt;=7, RIGHT(YEAR(GiftData[[#This Row],[Gift_Date]])+1, 2), RIGHT(YEAR(GiftData[[#This Row],[Gift_Date]]), 2))</f>
        <v>FY26</v>
      </c>
      <c r="K288">
        <f>IF(COUNTIFS(GiftData[Constituent_ID], GiftData[[#This Row],[Constituent_ID]], GiftData[Fiscal_Year], "FY24")&gt;0, 1, 0)</f>
        <v>1</v>
      </c>
      <c r="L288">
        <f>IF(COUNTIFS(GiftData[Constituent_ID], GiftData[[#This Row],[Constituent_ID]], GiftData[Fiscal_Year], "FY25")&gt;0, 1, 0)</f>
        <v>0</v>
      </c>
      <c r="M288">
        <f>IF(COUNTIFS(GiftData[Constituent_ID], GiftData[[#This Row],[Constituent_ID]], GiftData[Fiscal_Year], "FY26")&gt;0, 1, 0)</f>
        <v>1</v>
      </c>
      <c r="N288" t="str" cm="1">
        <f t="array" ref="N2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89" spans="1:14" x14ac:dyDescent="0.2">
      <c r="A289" t="s">
        <v>511</v>
      </c>
      <c r="B289" t="s">
        <v>512</v>
      </c>
      <c r="C289" t="s">
        <v>11</v>
      </c>
      <c r="D289" s="1">
        <v>45737</v>
      </c>
      <c r="E289">
        <v>221.08</v>
      </c>
      <c r="F289" t="s">
        <v>12</v>
      </c>
      <c r="G289" t="s">
        <v>13</v>
      </c>
      <c r="H289" t="s">
        <v>41</v>
      </c>
      <c r="I289" t="s">
        <v>38</v>
      </c>
      <c r="J289" t="str">
        <f>"FY" &amp; IF(MONTH(GiftData[[#This Row],[Gift_Date]])&gt;=7, RIGHT(YEAR(GiftData[[#This Row],[Gift_Date]])+1, 2), RIGHT(YEAR(GiftData[[#This Row],[Gift_Date]]), 2))</f>
        <v>FY25</v>
      </c>
      <c r="K289">
        <f>IF(COUNTIFS(GiftData[Constituent_ID], GiftData[[#This Row],[Constituent_ID]], GiftData[Fiscal_Year], "FY24")&gt;0, 1, 0)</f>
        <v>0</v>
      </c>
      <c r="L289">
        <f>IF(COUNTIFS(GiftData[Constituent_ID], GiftData[[#This Row],[Constituent_ID]], GiftData[Fiscal_Year], "FY25")&gt;0, 1, 0)</f>
        <v>1</v>
      </c>
      <c r="M289">
        <f>IF(COUNTIFS(GiftData[Constituent_ID], GiftData[[#This Row],[Constituent_ID]], GiftData[Fiscal_Year], "FY26")&gt;0, 1, 0)</f>
        <v>1</v>
      </c>
      <c r="N289" t="str" cm="1">
        <f t="array" ref="N2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0" spans="1:14" x14ac:dyDescent="0.2">
      <c r="A290" t="s">
        <v>513</v>
      </c>
      <c r="B290" t="s">
        <v>230</v>
      </c>
      <c r="C290" t="s">
        <v>11</v>
      </c>
      <c r="D290" s="1">
        <v>45377</v>
      </c>
      <c r="E290">
        <v>317.19</v>
      </c>
      <c r="F290" t="s">
        <v>25</v>
      </c>
      <c r="G290" t="s">
        <v>13</v>
      </c>
      <c r="H290" t="s">
        <v>20</v>
      </c>
      <c r="I290" t="s">
        <v>15</v>
      </c>
      <c r="J290" t="str">
        <f>"FY" &amp; IF(MONTH(GiftData[[#This Row],[Gift_Date]])&gt;=7, RIGHT(YEAR(GiftData[[#This Row],[Gift_Date]])+1, 2), RIGHT(YEAR(GiftData[[#This Row],[Gift_Date]]), 2))</f>
        <v>FY24</v>
      </c>
      <c r="K290">
        <f>IF(COUNTIFS(GiftData[Constituent_ID], GiftData[[#This Row],[Constituent_ID]], GiftData[Fiscal_Year], "FY24")&gt;0, 1, 0)</f>
        <v>1</v>
      </c>
      <c r="L290">
        <f>IF(COUNTIFS(GiftData[Constituent_ID], GiftData[[#This Row],[Constituent_ID]], GiftData[Fiscal_Year], "FY25")&gt;0, 1, 0)</f>
        <v>1</v>
      </c>
      <c r="M290">
        <f>IF(COUNTIFS(GiftData[Constituent_ID], GiftData[[#This Row],[Constituent_ID]], GiftData[Fiscal_Year], "FY26")&gt;0, 1, 0)</f>
        <v>1</v>
      </c>
      <c r="N290" t="str" cm="1">
        <f t="array" ref="N2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1" spans="1:14" x14ac:dyDescent="0.2">
      <c r="A291" t="s">
        <v>514</v>
      </c>
      <c r="B291" t="s">
        <v>293</v>
      </c>
      <c r="C291" t="s">
        <v>18</v>
      </c>
      <c r="D291" s="1">
        <v>45699</v>
      </c>
      <c r="E291">
        <v>140.35</v>
      </c>
      <c r="F291" t="s">
        <v>59</v>
      </c>
      <c r="G291" t="s">
        <v>29</v>
      </c>
      <c r="H291" t="s">
        <v>51</v>
      </c>
      <c r="I291" t="s">
        <v>15</v>
      </c>
      <c r="J291" t="str">
        <f>"FY" &amp; IF(MONTH(GiftData[[#This Row],[Gift_Date]])&gt;=7, RIGHT(YEAR(GiftData[[#This Row],[Gift_Date]])+1, 2), RIGHT(YEAR(GiftData[[#This Row],[Gift_Date]]), 2))</f>
        <v>FY25</v>
      </c>
      <c r="K291">
        <f>IF(COUNTIFS(GiftData[Constituent_ID], GiftData[[#This Row],[Constituent_ID]], GiftData[Fiscal_Year], "FY24")&gt;0, 1, 0)</f>
        <v>1</v>
      </c>
      <c r="L291">
        <f>IF(COUNTIFS(GiftData[Constituent_ID], GiftData[[#This Row],[Constituent_ID]], GiftData[Fiscal_Year], "FY25")&gt;0, 1, 0)</f>
        <v>1</v>
      </c>
      <c r="M291">
        <f>IF(COUNTIFS(GiftData[Constituent_ID], GiftData[[#This Row],[Constituent_ID]], GiftData[Fiscal_Year], "FY26")&gt;0, 1, 0)</f>
        <v>0</v>
      </c>
      <c r="N291" t="str" cm="1">
        <f t="array" ref="N2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292" spans="1:14" x14ac:dyDescent="0.2">
      <c r="A292" t="s">
        <v>515</v>
      </c>
      <c r="B292" t="s">
        <v>327</v>
      </c>
      <c r="C292" t="s">
        <v>28</v>
      </c>
      <c r="D292" s="1">
        <v>45951</v>
      </c>
      <c r="E292">
        <v>221.4</v>
      </c>
      <c r="F292" t="s">
        <v>12</v>
      </c>
      <c r="G292" t="s">
        <v>13</v>
      </c>
      <c r="H292" t="s">
        <v>41</v>
      </c>
      <c r="I292" t="s">
        <v>15</v>
      </c>
      <c r="J292" t="str">
        <f>"FY" &amp; IF(MONTH(GiftData[[#This Row],[Gift_Date]])&gt;=7, RIGHT(YEAR(GiftData[[#This Row],[Gift_Date]])+1, 2), RIGHT(YEAR(GiftData[[#This Row],[Gift_Date]]), 2))</f>
        <v>FY26</v>
      </c>
      <c r="K292">
        <f>IF(COUNTIFS(GiftData[Constituent_ID], GiftData[[#This Row],[Constituent_ID]], GiftData[Fiscal_Year], "FY24")&gt;0, 1, 0)</f>
        <v>0</v>
      </c>
      <c r="L292">
        <f>IF(COUNTIFS(GiftData[Constituent_ID], GiftData[[#This Row],[Constituent_ID]], GiftData[Fiscal_Year], "FY25")&gt;0, 1, 0)</f>
        <v>1</v>
      </c>
      <c r="M292">
        <f>IF(COUNTIFS(GiftData[Constituent_ID], GiftData[[#This Row],[Constituent_ID]], GiftData[Fiscal_Year], "FY26")&gt;0, 1, 0)</f>
        <v>1</v>
      </c>
      <c r="N292" t="str" cm="1">
        <f t="array" ref="N2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3" spans="1:14" x14ac:dyDescent="0.2">
      <c r="A293" t="s">
        <v>516</v>
      </c>
      <c r="B293" t="s">
        <v>517</v>
      </c>
      <c r="C293" t="s">
        <v>35</v>
      </c>
      <c r="D293" s="1">
        <v>45969</v>
      </c>
      <c r="E293">
        <v>393.28</v>
      </c>
      <c r="F293" t="s">
        <v>12</v>
      </c>
      <c r="G293" t="s">
        <v>29</v>
      </c>
      <c r="H293" t="s">
        <v>51</v>
      </c>
      <c r="I293" t="s">
        <v>56</v>
      </c>
      <c r="J293" t="str">
        <f>"FY" &amp; IF(MONTH(GiftData[[#This Row],[Gift_Date]])&gt;=7, RIGHT(YEAR(GiftData[[#This Row],[Gift_Date]])+1, 2), RIGHT(YEAR(GiftData[[#This Row],[Gift_Date]]), 2))</f>
        <v>FY26</v>
      </c>
      <c r="K293">
        <f>IF(COUNTIFS(GiftData[Constituent_ID], GiftData[[#This Row],[Constituent_ID]], GiftData[Fiscal_Year], "FY24")&gt;0, 1, 0)</f>
        <v>1</v>
      </c>
      <c r="L293">
        <f>IF(COUNTIFS(GiftData[Constituent_ID], GiftData[[#This Row],[Constituent_ID]], GiftData[Fiscal_Year], "FY25")&gt;0, 1, 0)</f>
        <v>0</v>
      </c>
      <c r="M293">
        <f>IF(COUNTIFS(GiftData[Constituent_ID], GiftData[[#This Row],[Constituent_ID]], GiftData[Fiscal_Year], "FY26")&gt;0, 1, 0)</f>
        <v>1</v>
      </c>
      <c r="N293" t="str" cm="1">
        <f t="array" ref="N2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4" spans="1:14" x14ac:dyDescent="0.2">
      <c r="A294" t="s">
        <v>518</v>
      </c>
      <c r="B294" t="s">
        <v>303</v>
      </c>
      <c r="C294" t="s">
        <v>35</v>
      </c>
      <c r="D294" s="1">
        <v>45240</v>
      </c>
      <c r="E294">
        <v>70.900000000000006</v>
      </c>
      <c r="F294" t="s">
        <v>12</v>
      </c>
      <c r="G294" t="s">
        <v>29</v>
      </c>
      <c r="H294" t="s">
        <v>20</v>
      </c>
      <c r="I294" t="s">
        <v>38</v>
      </c>
      <c r="J294" t="str">
        <f>"FY" &amp; IF(MONTH(GiftData[[#This Row],[Gift_Date]])&gt;=7, RIGHT(YEAR(GiftData[[#This Row],[Gift_Date]])+1, 2), RIGHT(YEAR(GiftData[[#This Row],[Gift_Date]]), 2))</f>
        <v>FY24</v>
      </c>
      <c r="K294">
        <f>IF(COUNTIFS(GiftData[Constituent_ID], GiftData[[#This Row],[Constituent_ID]], GiftData[Fiscal_Year], "FY24")&gt;0, 1, 0)</f>
        <v>1</v>
      </c>
      <c r="L294">
        <f>IF(COUNTIFS(GiftData[Constituent_ID], GiftData[[#This Row],[Constituent_ID]], GiftData[Fiscal_Year], "FY25")&gt;0, 1, 0)</f>
        <v>1</v>
      </c>
      <c r="M294">
        <f>IF(COUNTIFS(GiftData[Constituent_ID], GiftData[[#This Row],[Constituent_ID]], GiftData[Fiscal_Year], "FY26")&gt;0, 1, 0)</f>
        <v>1</v>
      </c>
      <c r="N294" t="str" cm="1">
        <f t="array" ref="N2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5" spans="1:14" x14ac:dyDescent="0.2">
      <c r="A295" t="s">
        <v>519</v>
      </c>
      <c r="B295" t="s">
        <v>520</v>
      </c>
      <c r="C295" t="s">
        <v>28</v>
      </c>
      <c r="D295" s="1">
        <v>46079</v>
      </c>
      <c r="E295">
        <v>55.08</v>
      </c>
      <c r="F295" t="s">
        <v>59</v>
      </c>
      <c r="G295" t="s">
        <v>13</v>
      </c>
      <c r="H295" t="s">
        <v>20</v>
      </c>
      <c r="I295" t="s">
        <v>56</v>
      </c>
      <c r="J295" t="str">
        <f>"FY" &amp; IF(MONTH(GiftData[[#This Row],[Gift_Date]])&gt;=7, RIGHT(YEAR(GiftData[[#This Row],[Gift_Date]])+1, 2), RIGHT(YEAR(GiftData[[#This Row],[Gift_Date]]), 2))</f>
        <v>FY26</v>
      </c>
      <c r="K295">
        <f>IF(COUNTIFS(GiftData[Constituent_ID], GiftData[[#This Row],[Constituent_ID]], GiftData[Fiscal_Year], "FY24")&gt;0, 1, 0)</f>
        <v>1</v>
      </c>
      <c r="L295">
        <f>IF(COUNTIFS(GiftData[Constituent_ID], GiftData[[#This Row],[Constituent_ID]], GiftData[Fiscal_Year], "FY25")&gt;0, 1, 0)</f>
        <v>0</v>
      </c>
      <c r="M295">
        <f>IF(COUNTIFS(GiftData[Constituent_ID], GiftData[[#This Row],[Constituent_ID]], GiftData[Fiscal_Year], "FY26")&gt;0, 1, 0)</f>
        <v>1</v>
      </c>
      <c r="N295" t="str" cm="1">
        <f t="array" ref="N2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6" spans="1:14" x14ac:dyDescent="0.2">
      <c r="A296" t="s">
        <v>521</v>
      </c>
      <c r="B296" t="s">
        <v>522</v>
      </c>
      <c r="C296" t="s">
        <v>11</v>
      </c>
      <c r="D296" s="1">
        <v>45620</v>
      </c>
      <c r="E296">
        <v>97.61</v>
      </c>
      <c r="F296" t="s">
        <v>12</v>
      </c>
      <c r="G296" t="s">
        <v>13</v>
      </c>
      <c r="H296" t="s">
        <v>41</v>
      </c>
      <c r="I296" t="s">
        <v>38</v>
      </c>
      <c r="J296" t="str">
        <f>"FY" &amp; IF(MONTH(GiftData[[#This Row],[Gift_Date]])&gt;=7, RIGHT(YEAR(GiftData[[#This Row],[Gift_Date]])+1, 2), RIGHT(YEAR(GiftData[[#This Row],[Gift_Date]]), 2))</f>
        <v>FY25</v>
      </c>
      <c r="K296">
        <f>IF(COUNTIFS(GiftData[Constituent_ID], GiftData[[#This Row],[Constituent_ID]], GiftData[Fiscal_Year], "FY24")&gt;0, 1, 0)</f>
        <v>1</v>
      </c>
      <c r="L296">
        <f>IF(COUNTIFS(GiftData[Constituent_ID], GiftData[[#This Row],[Constituent_ID]], GiftData[Fiscal_Year], "FY25")&gt;0, 1, 0)</f>
        <v>1</v>
      </c>
      <c r="M296">
        <f>IF(COUNTIFS(GiftData[Constituent_ID], GiftData[[#This Row],[Constituent_ID]], GiftData[Fiscal_Year], "FY26")&gt;0, 1, 0)</f>
        <v>1</v>
      </c>
      <c r="N296" t="str" cm="1">
        <f t="array" ref="N2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7" spans="1:14" x14ac:dyDescent="0.2">
      <c r="A297" t="s">
        <v>523</v>
      </c>
      <c r="B297" t="s">
        <v>524</v>
      </c>
      <c r="C297" t="s">
        <v>18</v>
      </c>
      <c r="D297" s="1">
        <v>45420</v>
      </c>
      <c r="E297">
        <v>157.49</v>
      </c>
      <c r="F297" t="s">
        <v>12</v>
      </c>
      <c r="G297" t="s">
        <v>29</v>
      </c>
      <c r="H297" t="s">
        <v>20</v>
      </c>
      <c r="I297" t="s">
        <v>56</v>
      </c>
      <c r="J297" t="str">
        <f>"FY" &amp; IF(MONTH(GiftData[[#This Row],[Gift_Date]])&gt;=7, RIGHT(YEAR(GiftData[[#This Row],[Gift_Date]])+1, 2), RIGHT(YEAR(GiftData[[#This Row],[Gift_Date]]), 2))</f>
        <v>FY24</v>
      </c>
      <c r="K297">
        <f>IF(COUNTIFS(GiftData[Constituent_ID], GiftData[[#This Row],[Constituent_ID]], GiftData[Fiscal_Year], "FY24")&gt;0, 1, 0)</f>
        <v>1</v>
      </c>
      <c r="L297">
        <f>IF(COUNTIFS(GiftData[Constituent_ID], GiftData[[#This Row],[Constituent_ID]], GiftData[Fiscal_Year], "FY25")&gt;0, 1, 0)</f>
        <v>0</v>
      </c>
      <c r="M297">
        <f>IF(COUNTIFS(GiftData[Constituent_ID], GiftData[[#This Row],[Constituent_ID]], GiftData[Fiscal_Year], "FY26")&gt;0, 1, 0)</f>
        <v>1</v>
      </c>
      <c r="N297" t="str" cm="1">
        <f t="array" ref="N2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8" spans="1:14" x14ac:dyDescent="0.2">
      <c r="A298" t="s">
        <v>525</v>
      </c>
      <c r="B298" t="s">
        <v>351</v>
      </c>
      <c r="C298" t="s">
        <v>11</v>
      </c>
      <c r="D298" s="1">
        <v>45683</v>
      </c>
      <c r="E298">
        <v>51.64</v>
      </c>
      <c r="F298" t="s">
        <v>12</v>
      </c>
      <c r="G298" t="s">
        <v>13</v>
      </c>
      <c r="H298" t="s">
        <v>41</v>
      </c>
      <c r="I298" t="s">
        <v>15</v>
      </c>
      <c r="J298" t="str">
        <f>"FY" &amp; IF(MONTH(GiftData[[#This Row],[Gift_Date]])&gt;=7, RIGHT(YEAR(GiftData[[#This Row],[Gift_Date]])+1, 2), RIGHT(YEAR(GiftData[[#This Row],[Gift_Date]]), 2))</f>
        <v>FY25</v>
      </c>
      <c r="K298">
        <f>IF(COUNTIFS(GiftData[Constituent_ID], GiftData[[#This Row],[Constituent_ID]], GiftData[Fiscal_Year], "FY24")&gt;0, 1, 0)</f>
        <v>1</v>
      </c>
      <c r="L298">
        <f>IF(COUNTIFS(GiftData[Constituent_ID], GiftData[[#This Row],[Constituent_ID]], GiftData[Fiscal_Year], "FY25")&gt;0, 1, 0)</f>
        <v>1</v>
      </c>
      <c r="M298">
        <f>IF(COUNTIFS(GiftData[Constituent_ID], GiftData[[#This Row],[Constituent_ID]], GiftData[Fiscal_Year], "FY26")&gt;0, 1, 0)</f>
        <v>1</v>
      </c>
      <c r="N298" t="str" cm="1">
        <f t="array" ref="N2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299" spans="1:14" x14ac:dyDescent="0.2">
      <c r="A299" t="s">
        <v>526</v>
      </c>
      <c r="B299" t="s">
        <v>527</v>
      </c>
      <c r="C299" t="s">
        <v>18</v>
      </c>
      <c r="D299" s="1">
        <v>45993</v>
      </c>
      <c r="E299">
        <v>72.83</v>
      </c>
      <c r="F299" t="s">
        <v>59</v>
      </c>
      <c r="G299" t="s">
        <v>13</v>
      </c>
      <c r="H299" t="s">
        <v>51</v>
      </c>
      <c r="I299" t="s">
        <v>15</v>
      </c>
      <c r="J299" t="str">
        <f>"FY" &amp; IF(MONTH(GiftData[[#This Row],[Gift_Date]])&gt;=7, RIGHT(YEAR(GiftData[[#This Row],[Gift_Date]])+1, 2), RIGHT(YEAR(GiftData[[#This Row],[Gift_Date]]), 2))</f>
        <v>FY26</v>
      </c>
      <c r="K299">
        <f>IF(COUNTIFS(GiftData[Constituent_ID], GiftData[[#This Row],[Constituent_ID]], GiftData[Fiscal_Year], "FY24")&gt;0, 1, 0)</f>
        <v>1</v>
      </c>
      <c r="L299">
        <f>IF(COUNTIFS(GiftData[Constituent_ID], GiftData[[#This Row],[Constituent_ID]], GiftData[Fiscal_Year], "FY25")&gt;0, 1, 0)</f>
        <v>0</v>
      </c>
      <c r="M299">
        <f>IF(COUNTIFS(GiftData[Constituent_ID], GiftData[[#This Row],[Constituent_ID]], GiftData[Fiscal_Year], "FY26")&gt;0, 1, 0)</f>
        <v>1</v>
      </c>
      <c r="N299" t="str" cm="1">
        <f t="array" ref="N2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0" spans="1:14" x14ac:dyDescent="0.2">
      <c r="A300" t="s">
        <v>528</v>
      </c>
      <c r="B300" t="s">
        <v>335</v>
      </c>
      <c r="C300" t="s">
        <v>48</v>
      </c>
      <c r="D300" s="1">
        <v>45794</v>
      </c>
      <c r="E300">
        <v>203.77</v>
      </c>
      <c r="F300" t="s">
        <v>25</v>
      </c>
      <c r="G300" t="s">
        <v>29</v>
      </c>
      <c r="H300" t="s">
        <v>14</v>
      </c>
      <c r="I300" t="s">
        <v>38</v>
      </c>
      <c r="J300" t="str">
        <f>"FY" &amp; IF(MONTH(GiftData[[#This Row],[Gift_Date]])&gt;=7, RIGHT(YEAR(GiftData[[#This Row],[Gift_Date]])+1, 2), RIGHT(YEAR(GiftData[[#This Row],[Gift_Date]]), 2))</f>
        <v>FY25</v>
      </c>
      <c r="K300">
        <f>IF(COUNTIFS(GiftData[Constituent_ID], GiftData[[#This Row],[Constituent_ID]], GiftData[Fiscal_Year], "FY24")&gt;0, 1, 0)</f>
        <v>1</v>
      </c>
      <c r="L300">
        <f>IF(COUNTIFS(GiftData[Constituent_ID], GiftData[[#This Row],[Constituent_ID]], GiftData[Fiscal_Year], "FY25")&gt;0, 1, 0)</f>
        <v>1</v>
      </c>
      <c r="M300">
        <f>IF(COUNTIFS(GiftData[Constituent_ID], GiftData[[#This Row],[Constituent_ID]], GiftData[Fiscal_Year], "FY26")&gt;0, 1, 0)</f>
        <v>1</v>
      </c>
      <c r="N300" t="str" cm="1">
        <f t="array" ref="N3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1" spans="1:14" x14ac:dyDescent="0.2">
      <c r="A301" t="s">
        <v>529</v>
      </c>
      <c r="B301" t="s">
        <v>530</v>
      </c>
      <c r="C301" t="s">
        <v>18</v>
      </c>
      <c r="D301" s="1">
        <v>45272</v>
      </c>
      <c r="E301">
        <v>149.16999999999999</v>
      </c>
      <c r="F301" t="s">
        <v>25</v>
      </c>
      <c r="G301" t="s">
        <v>13</v>
      </c>
      <c r="H301" t="s">
        <v>41</v>
      </c>
      <c r="I301" t="s">
        <v>38</v>
      </c>
      <c r="J301" t="str">
        <f>"FY" &amp; IF(MONTH(GiftData[[#This Row],[Gift_Date]])&gt;=7, RIGHT(YEAR(GiftData[[#This Row],[Gift_Date]])+1, 2), RIGHT(YEAR(GiftData[[#This Row],[Gift_Date]]), 2))</f>
        <v>FY24</v>
      </c>
      <c r="K301">
        <f>IF(COUNTIFS(GiftData[Constituent_ID], GiftData[[#This Row],[Constituent_ID]], GiftData[Fiscal_Year], "FY24")&gt;0, 1, 0)</f>
        <v>1</v>
      </c>
      <c r="L301">
        <f>IF(COUNTIFS(GiftData[Constituent_ID], GiftData[[#This Row],[Constituent_ID]], GiftData[Fiscal_Year], "FY25")&gt;0, 1, 0)</f>
        <v>0</v>
      </c>
      <c r="M301">
        <f>IF(COUNTIFS(GiftData[Constituent_ID], GiftData[[#This Row],[Constituent_ID]], GiftData[Fiscal_Year], "FY26")&gt;0, 1, 0)</f>
        <v>1</v>
      </c>
      <c r="N301" t="str" cm="1">
        <f t="array" ref="N3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2" spans="1:14" x14ac:dyDescent="0.2">
      <c r="A302" t="s">
        <v>531</v>
      </c>
      <c r="B302" t="s">
        <v>532</v>
      </c>
      <c r="C302" t="s">
        <v>18</v>
      </c>
      <c r="D302" s="1">
        <v>45412</v>
      </c>
      <c r="E302">
        <v>95.49</v>
      </c>
      <c r="F302" t="s">
        <v>12</v>
      </c>
      <c r="G302" t="s">
        <v>13</v>
      </c>
      <c r="H302" t="s">
        <v>20</v>
      </c>
      <c r="I302" t="s">
        <v>38</v>
      </c>
      <c r="J302" t="str">
        <f>"FY" &amp; IF(MONTH(GiftData[[#This Row],[Gift_Date]])&gt;=7, RIGHT(YEAR(GiftData[[#This Row],[Gift_Date]])+1, 2), RIGHT(YEAR(GiftData[[#This Row],[Gift_Date]]), 2))</f>
        <v>FY24</v>
      </c>
      <c r="K302">
        <f>IF(COUNTIFS(GiftData[Constituent_ID], GiftData[[#This Row],[Constituent_ID]], GiftData[Fiscal_Year], "FY24")&gt;0, 1, 0)</f>
        <v>1</v>
      </c>
      <c r="L302">
        <f>IF(COUNTIFS(GiftData[Constituent_ID], GiftData[[#This Row],[Constituent_ID]], GiftData[Fiscal_Year], "FY25")&gt;0, 1, 0)</f>
        <v>1</v>
      </c>
      <c r="M302">
        <f>IF(COUNTIFS(GiftData[Constituent_ID], GiftData[[#This Row],[Constituent_ID]], GiftData[Fiscal_Year], "FY26")&gt;0, 1, 0)</f>
        <v>0</v>
      </c>
      <c r="N302" t="str" cm="1">
        <f t="array" ref="N3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03" spans="1:14" x14ac:dyDescent="0.2">
      <c r="A303" t="s">
        <v>533</v>
      </c>
      <c r="B303" t="s">
        <v>163</v>
      </c>
      <c r="C303" t="s">
        <v>35</v>
      </c>
      <c r="D303" s="1">
        <v>45263</v>
      </c>
      <c r="E303">
        <v>15</v>
      </c>
      <c r="F303" t="s">
        <v>12</v>
      </c>
      <c r="G303" t="s">
        <v>13</v>
      </c>
      <c r="H303" t="s">
        <v>20</v>
      </c>
      <c r="I303" t="s">
        <v>15</v>
      </c>
      <c r="J303" t="str">
        <f>"FY" &amp; IF(MONTH(GiftData[[#This Row],[Gift_Date]])&gt;=7, RIGHT(YEAR(GiftData[[#This Row],[Gift_Date]])+1, 2), RIGHT(YEAR(GiftData[[#This Row],[Gift_Date]]), 2))</f>
        <v>FY24</v>
      </c>
      <c r="K303">
        <f>IF(COUNTIFS(GiftData[Constituent_ID], GiftData[[#This Row],[Constituent_ID]], GiftData[Fiscal_Year], "FY24")&gt;0, 1, 0)</f>
        <v>1</v>
      </c>
      <c r="L303">
        <f>IF(COUNTIFS(GiftData[Constituent_ID], GiftData[[#This Row],[Constituent_ID]], GiftData[Fiscal_Year], "FY25")&gt;0, 1, 0)</f>
        <v>1</v>
      </c>
      <c r="M303">
        <f>IF(COUNTIFS(GiftData[Constituent_ID], GiftData[[#This Row],[Constituent_ID]], GiftData[Fiscal_Year], "FY26")&gt;0, 1, 0)</f>
        <v>1</v>
      </c>
      <c r="N303" t="str" cm="1">
        <f t="array" ref="N3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4" spans="1:14" x14ac:dyDescent="0.2">
      <c r="A304" t="s">
        <v>534</v>
      </c>
      <c r="B304" t="s">
        <v>535</v>
      </c>
      <c r="C304" t="s">
        <v>48</v>
      </c>
      <c r="D304" s="1">
        <v>45727</v>
      </c>
      <c r="E304">
        <v>120.96</v>
      </c>
      <c r="F304" t="s">
        <v>25</v>
      </c>
      <c r="G304" t="s">
        <v>13</v>
      </c>
      <c r="H304" t="s">
        <v>164</v>
      </c>
      <c r="I304" t="s">
        <v>15</v>
      </c>
      <c r="J304" t="str">
        <f>"FY" &amp; IF(MONTH(GiftData[[#This Row],[Gift_Date]])&gt;=7, RIGHT(YEAR(GiftData[[#This Row],[Gift_Date]])+1, 2), RIGHT(YEAR(GiftData[[#This Row],[Gift_Date]]), 2))</f>
        <v>FY25</v>
      </c>
      <c r="K304">
        <f>IF(COUNTIFS(GiftData[Constituent_ID], GiftData[[#This Row],[Constituent_ID]], GiftData[Fiscal_Year], "FY24")&gt;0, 1, 0)</f>
        <v>1</v>
      </c>
      <c r="L304">
        <f>IF(COUNTIFS(GiftData[Constituent_ID], GiftData[[#This Row],[Constituent_ID]], GiftData[Fiscal_Year], "FY25")&gt;0, 1, 0)</f>
        <v>1</v>
      </c>
      <c r="M304">
        <f>IF(COUNTIFS(GiftData[Constituent_ID], GiftData[[#This Row],[Constituent_ID]], GiftData[Fiscal_Year], "FY26")&gt;0, 1, 0)</f>
        <v>1</v>
      </c>
      <c r="N304" t="str" cm="1">
        <f t="array" ref="N3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5" spans="1:14" x14ac:dyDescent="0.2">
      <c r="A305" t="s">
        <v>536</v>
      </c>
      <c r="B305" t="s">
        <v>537</v>
      </c>
      <c r="C305" t="s">
        <v>35</v>
      </c>
      <c r="D305" s="1">
        <v>46064</v>
      </c>
      <c r="E305">
        <v>34.43</v>
      </c>
      <c r="F305" t="s">
        <v>19</v>
      </c>
      <c r="G305" t="s">
        <v>13</v>
      </c>
      <c r="H305" t="s">
        <v>164</v>
      </c>
      <c r="I305" t="s">
        <v>56</v>
      </c>
      <c r="J305" t="str">
        <f>"FY" &amp; IF(MONTH(GiftData[[#This Row],[Gift_Date]])&gt;=7, RIGHT(YEAR(GiftData[[#This Row],[Gift_Date]])+1, 2), RIGHT(YEAR(GiftData[[#This Row],[Gift_Date]]), 2))</f>
        <v>FY26</v>
      </c>
      <c r="K305">
        <f>IF(COUNTIFS(GiftData[Constituent_ID], GiftData[[#This Row],[Constituent_ID]], GiftData[Fiscal_Year], "FY24")&gt;0, 1, 0)</f>
        <v>1</v>
      </c>
      <c r="L305">
        <f>IF(COUNTIFS(GiftData[Constituent_ID], GiftData[[#This Row],[Constituent_ID]], GiftData[Fiscal_Year], "FY25")&gt;0, 1, 0)</f>
        <v>1</v>
      </c>
      <c r="M305">
        <f>IF(COUNTIFS(GiftData[Constituent_ID], GiftData[[#This Row],[Constituent_ID]], GiftData[Fiscal_Year], "FY26")&gt;0, 1, 0)</f>
        <v>1</v>
      </c>
      <c r="N305" t="str" cm="1">
        <f t="array" ref="N3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6" spans="1:14" x14ac:dyDescent="0.2">
      <c r="A306" t="s">
        <v>538</v>
      </c>
      <c r="B306" t="s">
        <v>355</v>
      </c>
      <c r="C306" t="s">
        <v>18</v>
      </c>
      <c r="D306" s="1">
        <v>45441</v>
      </c>
      <c r="E306">
        <v>436.16</v>
      </c>
      <c r="F306" t="s">
        <v>12</v>
      </c>
      <c r="G306" t="s">
        <v>13</v>
      </c>
      <c r="H306" t="s">
        <v>14</v>
      </c>
      <c r="I306" t="s">
        <v>38</v>
      </c>
      <c r="J306" t="str">
        <f>"FY" &amp; IF(MONTH(GiftData[[#This Row],[Gift_Date]])&gt;=7, RIGHT(YEAR(GiftData[[#This Row],[Gift_Date]])+1, 2), RIGHT(YEAR(GiftData[[#This Row],[Gift_Date]]), 2))</f>
        <v>FY24</v>
      </c>
      <c r="K306">
        <f>IF(COUNTIFS(GiftData[Constituent_ID], GiftData[[#This Row],[Constituent_ID]], GiftData[Fiscal_Year], "FY24")&gt;0, 1, 0)</f>
        <v>1</v>
      </c>
      <c r="L306">
        <f>IF(COUNTIFS(GiftData[Constituent_ID], GiftData[[#This Row],[Constituent_ID]], GiftData[Fiscal_Year], "FY25")&gt;0, 1, 0)</f>
        <v>0</v>
      </c>
      <c r="M306">
        <f>IF(COUNTIFS(GiftData[Constituent_ID], GiftData[[#This Row],[Constituent_ID]], GiftData[Fiscal_Year], "FY26")&gt;0, 1, 0)</f>
        <v>1</v>
      </c>
      <c r="N306" t="str" cm="1">
        <f t="array" ref="N3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7" spans="1:14" x14ac:dyDescent="0.2">
      <c r="A307" t="s">
        <v>539</v>
      </c>
      <c r="B307" t="s">
        <v>91</v>
      </c>
      <c r="C307" t="s">
        <v>18</v>
      </c>
      <c r="D307" s="1">
        <v>46076</v>
      </c>
      <c r="E307">
        <v>81.34</v>
      </c>
      <c r="F307" t="s">
        <v>12</v>
      </c>
      <c r="G307" t="s">
        <v>13</v>
      </c>
      <c r="H307" t="s">
        <v>164</v>
      </c>
      <c r="I307" t="s">
        <v>15</v>
      </c>
      <c r="J307" t="str">
        <f>"FY" &amp; IF(MONTH(GiftData[[#This Row],[Gift_Date]])&gt;=7, RIGHT(YEAR(GiftData[[#This Row],[Gift_Date]])+1, 2), RIGHT(YEAR(GiftData[[#This Row],[Gift_Date]]), 2))</f>
        <v>FY26</v>
      </c>
      <c r="K307">
        <f>IF(COUNTIFS(GiftData[Constituent_ID], GiftData[[#This Row],[Constituent_ID]], GiftData[Fiscal_Year], "FY24")&gt;0, 1, 0)</f>
        <v>0</v>
      </c>
      <c r="L307">
        <f>IF(COUNTIFS(GiftData[Constituent_ID], GiftData[[#This Row],[Constituent_ID]], GiftData[Fiscal_Year], "FY25")&gt;0, 1, 0)</f>
        <v>1</v>
      </c>
      <c r="M307">
        <f>IF(COUNTIFS(GiftData[Constituent_ID], GiftData[[#This Row],[Constituent_ID]], GiftData[Fiscal_Year], "FY26")&gt;0, 1, 0)</f>
        <v>1</v>
      </c>
      <c r="N307" t="str" cm="1">
        <f t="array" ref="N3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08" spans="1:14" x14ac:dyDescent="0.2">
      <c r="A308" t="s">
        <v>540</v>
      </c>
      <c r="B308" t="s">
        <v>541</v>
      </c>
      <c r="C308" t="s">
        <v>11</v>
      </c>
      <c r="D308" s="1">
        <v>45618</v>
      </c>
      <c r="E308">
        <v>33.28</v>
      </c>
      <c r="F308" t="s">
        <v>12</v>
      </c>
      <c r="G308" t="s">
        <v>13</v>
      </c>
      <c r="H308" t="s">
        <v>14</v>
      </c>
      <c r="I308" t="s">
        <v>38</v>
      </c>
      <c r="J308" t="str">
        <f>"FY" &amp; IF(MONTH(GiftData[[#This Row],[Gift_Date]])&gt;=7, RIGHT(YEAR(GiftData[[#This Row],[Gift_Date]])+1, 2), RIGHT(YEAR(GiftData[[#This Row],[Gift_Date]]), 2))</f>
        <v>FY25</v>
      </c>
      <c r="K308">
        <f>IF(COUNTIFS(GiftData[Constituent_ID], GiftData[[#This Row],[Constituent_ID]], GiftData[Fiscal_Year], "FY24")&gt;0, 1, 0)</f>
        <v>0</v>
      </c>
      <c r="L308">
        <f>IF(COUNTIFS(GiftData[Constituent_ID], GiftData[[#This Row],[Constituent_ID]], GiftData[Fiscal_Year], "FY25")&gt;0, 1, 0)</f>
        <v>1</v>
      </c>
      <c r="M308">
        <f>IF(COUNTIFS(GiftData[Constituent_ID], GiftData[[#This Row],[Constituent_ID]], GiftData[Fiscal_Year], "FY26")&gt;0, 1, 0)</f>
        <v>0</v>
      </c>
      <c r="N308" t="str" cm="1">
        <f t="array" ref="N3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09" spans="1:14" x14ac:dyDescent="0.2">
      <c r="A309" t="s">
        <v>542</v>
      </c>
      <c r="B309" t="s">
        <v>236</v>
      </c>
      <c r="C309" t="s">
        <v>18</v>
      </c>
      <c r="D309" s="1">
        <v>46151</v>
      </c>
      <c r="E309">
        <v>112.17</v>
      </c>
      <c r="F309" t="s">
        <v>12</v>
      </c>
      <c r="G309" t="s">
        <v>13</v>
      </c>
      <c r="H309" t="s">
        <v>20</v>
      </c>
      <c r="I309" t="s">
        <v>56</v>
      </c>
      <c r="J309" t="str">
        <f>"FY" &amp; IF(MONTH(GiftData[[#This Row],[Gift_Date]])&gt;=7, RIGHT(YEAR(GiftData[[#This Row],[Gift_Date]])+1, 2), RIGHT(YEAR(GiftData[[#This Row],[Gift_Date]]), 2))</f>
        <v>FY26</v>
      </c>
      <c r="K309">
        <f>IF(COUNTIFS(GiftData[Constituent_ID], GiftData[[#This Row],[Constituent_ID]], GiftData[Fiscal_Year], "FY24")&gt;0, 1, 0)</f>
        <v>1</v>
      </c>
      <c r="L309">
        <f>IF(COUNTIFS(GiftData[Constituent_ID], GiftData[[#This Row],[Constituent_ID]], GiftData[Fiscal_Year], "FY25")&gt;0, 1, 0)</f>
        <v>1</v>
      </c>
      <c r="M309">
        <f>IF(COUNTIFS(GiftData[Constituent_ID], GiftData[[#This Row],[Constituent_ID]], GiftData[Fiscal_Year], "FY26")&gt;0, 1, 0)</f>
        <v>1</v>
      </c>
      <c r="N309" t="str" cm="1">
        <f t="array" ref="N3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0" spans="1:14" x14ac:dyDescent="0.2">
      <c r="A310" t="s">
        <v>543</v>
      </c>
      <c r="B310" t="s">
        <v>544</v>
      </c>
      <c r="C310" t="s">
        <v>18</v>
      </c>
      <c r="D310" s="1">
        <v>45389</v>
      </c>
      <c r="E310">
        <v>633.91</v>
      </c>
      <c r="F310" t="s">
        <v>59</v>
      </c>
      <c r="G310" t="s">
        <v>13</v>
      </c>
      <c r="H310" t="s">
        <v>20</v>
      </c>
      <c r="I310" t="s">
        <v>15</v>
      </c>
      <c r="J310" t="str">
        <f>"FY" &amp; IF(MONTH(GiftData[[#This Row],[Gift_Date]])&gt;=7, RIGHT(YEAR(GiftData[[#This Row],[Gift_Date]])+1, 2), RIGHT(YEAR(GiftData[[#This Row],[Gift_Date]]), 2))</f>
        <v>FY24</v>
      </c>
      <c r="K310">
        <f>IF(COUNTIFS(GiftData[Constituent_ID], GiftData[[#This Row],[Constituent_ID]], GiftData[Fiscal_Year], "FY24")&gt;0, 1, 0)</f>
        <v>1</v>
      </c>
      <c r="L310">
        <f>IF(COUNTIFS(GiftData[Constituent_ID], GiftData[[#This Row],[Constituent_ID]], GiftData[Fiscal_Year], "FY25")&gt;0, 1, 0)</f>
        <v>1</v>
      </c>
      <c r="M310">
        <f>IF(COUNTIFS(GiftData[Constituent_ID], GiftData[[#This Row],[Constituent_ID]], GiftData[Fiscal_Year], "FY26")&gt;0, 1, 0)</f>
        <v>1</v>
      </c>
      <c r="N310" t="str" cm="1">
        <f t="array" ref="N3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1" spans="1:14" x14ac:dyDescent="0.2">
      <c r="A311" t="s">
        <v>545</v>
      </c>
      <c r="B311" t="s">
        <v>546</v>
      </c>
      <c r="C311" t="s">
        <v>11</v>
      </c>
      <c r="D311" s="1">
        <v>45904</v>
      </c>
      <c r="E311">
        <v>275.91000000000003</v>
      </c>
      <c r="F311" t="s">
        <v>12</v>
      </c>
      <c r="G311" t="s">
        <v>13</v>
      </c>
      <c r="H311" t="s">
        <v>164</v>
      </c>
      <c r="I311" t="s">
        <v>56</v>
      </c>
      <c r="J311" t="str">
        <f>"FY" &amp; IF(MONTH(GiftData[[#This Row],[Gift_Date]])&gt;=7, RIGHT(YEAR(GiftData[[#This Row],[Gift_Date]])+1, 2), RIGHT(YEAR(GiftData[[#This Row],[Gift_Date]]), 2))</f>
        <v>FY26</v>
      </c>
      <c r="K311">
        <f>IF(COUNTIFS(GiftData[Constituent_ID], GiftData[[#This Row],[Constituent_ID]], GiftData[Fiscal_Year], "FY24")&gt;0, 1, 0)</f>
        <v>1</v>
      </c>
      <c r="L311">
        <f>IF(COUNTIFS(GiftData[Constituent_ID], GiftData[[#This Row],[Constituent_ID]], GiftData[Fiscal_Year], "FY25")&gt;0, 1, 0)</f>
        <v>1</v>
      </c>
      <c r="M311">
        <f>IF(COUNTIFS(GiftData[Constituent_ID], GiftData[[#This Row],[Constituent_ID]], GiftData[Fiscal_Year], "FY26")&gt;0, 1, 0)</f>
        <v>1</v>
      </c>
      <c r="N311" t="str" cm="1">
        <f t="array" ref="N3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2" spans="1:14" x14ac:dyDescent="0.2">
      <c r="A312" t="s">
        <v>547</v>
      </c>
      <c r="B312" t="s">
        <v>548</v>
      </c>
      <c r="C312" t="s">
        <v>48</v>
      </c>
      <c r="D312" s="1">
        <v>46132</v>
      </c>
      <c r="E312">
        <v>161.72</v>
      </c>
      <c r="F312" t="s">
        <v>12</v>
      </c>
      <c r="G312" t="s">
        <v>13</v>
      </c>
      <c r="H312" t="s">
        <v>20</v>
      </c>
      <c r="I312" t="s">
        <v>56</v>
      </c>
      <c r="J312" t="str">
        <f>"FY" &amp; IF(MONTH(GiftData[[#This Row],[Gift_Date]])&gt;=7, RIGHT(YEAR(GiftData[[#This Row],[Gift_Date]])+1, 2), RIGHT(YEAR(GiftData[[#This Row],[Gift_Date]]), 2))</f>
        <v>FY26</v>
      </c>
      <c r="K312">
        <f>IF(COUNTIFS(GiftData[Constituent_ID], GiftData[[#This Row],[Constituent_ID]], GiftData[Fiscal_Year], "FY24")&gt;0, 1, 0)</f>
        <v>1</v>
      </c>
      <c r="L312">
        <f>IF(COUNTIFS(GiftData[Constituent_ID], GiftData[[#This Row],[Constituent_ID]], GiftData[Fiscal_Year], "FY25")&gt;0, 1, 0)</f>
        <v>0</v>
      </c>
      <c r="M312">
        <f>IF(COUNTIFS(GiftData[Constituent_ID], GiftData[[#This Row],[Constituent_ID]], GiftData[Fiscal_Year], "FY26")&gt;0, 1, 0)</f>
        <v>1</v>
      </c>
      <c r="N312" t="str" cm="1">
        <f t="array" ref="N3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3" spans="1:14" x14ac:dyDescent="0.2">
      <c r="A313" t="s">
        <v>549</v>
      </c>
      <c r="B313" t="s">
        <v>550</v>
      </c>
      <c r="C313" t="s">
        <v>11</v>
      </c>
      <c r="D313" s="1">
        <v>45226</v>
      </c>
      <c r="E313">
        <v>21.67</v>
      </c>
      <c r="F313" t="s">
        <v>12</v>
      </c>
      <c r="G313" t="s">
        <v>13</v>
      </c>
      <c r="H313" t="s">
        <v>14</v>
      </c>
      <c r="I313" t="s">
        <v>56</v>
      </c>
      <c r="J313" t="str">
        <f>"FY" &amp; IF(MONTH(GiftData[[#This Row],[Gift_Date]])&gt;=7, RIGHT(YEAR(GiftData[[#This Row],[Gift_Date]])+1, 2), RIGHT(YEAR(GiftData[[#This Row],[Gift_Date]]), 2))</f>
        <v>FY24</v>
      </c>
      <c r="K313">
        <f>IF(COUNTIFS(GiftData[Constituent_ID], GiftData[[#This Row],[Constituent_ID]], GiftData[Fiscal_Year], "FY24")&gt;0, 1, 0)</f>
        <v>1</v>
      </c>
      <c r="L313">
        <f>IF(COUNTIFS(GiftData[Constituent_ID], GiftData[[#This Row],[Constituent_ID]], GiftData[Fiscal_Year], "FY25")&gt;0, 1, 0)</f>
        <v>1</v>
      </c>
      <c r="M313">
        <f>IF(COUNTIFS(GiftData[Constituent_ID], GiftData[[#This Row],[Constituent_ID]], GiftData[Fiscal_Year], "FY26")&gt;0, 1, 0)</f>
        <v>1</v>
      </c>
      <c r="N313" t="str" cm="1">
        <f t="array" ref="N3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4" spans="1:14" x14ac:dyDescent="0.2">
      <c r="A314" t="s">
        <v>551</v>
      </c>
      <c r="B314" t="s">
        <v>407</v>
      </c>
      <c r="C314" t="s">
        <v>28</v>
      </c>
      <c r="D314" s="1">
        <v>45305</v>
      </c>
      <c r="E314">
        <v>1000.32</v>
      </c>
      <c r="F314" t="s">
        <v>12</v>
      </c>
      <c r="G314" t="s">
        <v>13</v>
      </c>
      <c r="H314" t="s">
        <v>14</v>
      </c>
      <c r="I314" t="s">
        <v>56</v>
      </c>
      <c r="J314" t="str">
        <f>"FY" &amp; IF(MONTH(GiftData[[#This Row],[Gift_Date]])&gt;=7, RIGHT(YEAR(GiftData[[#This Row],[Gift_Date]])+1, 2), RIGHT(YEAR(GiftData[[#This Row],[Gift_Date]]), 2))</f>
        <v>FY24</v>
      </c>
      <c r="K314">
        <f>IF(COUNTIFS(GiftData[Constituent_ID], GiftData[[#This Row],[Constituent_ID]], GiftData[Fiscal_Year], "FY24")&gt;0, 1, 0)</f>
        <v>1</v>
      </c>
      <c r="L314">
        <f>IF(COUNTIFS(GiftData[Constituent_ID], GiftData[[#This Row],[Constituent_ID]], GiftData[Fiscal_Year], "FY25")&gt;0, 1, 0)</f>
        <v>0</v>
      </c>
      <c r="M314">
        <f>IF(COUNTIFS(GiftData[Constituent_ID], GiftData[[#This Row],[Constituent_ID]], GiftData[Fiscal_Year], "FY26")&gt;0, 1, 0)</f>
        <v>1</v>
      </c>
      <c r="N314" t="str" cm="1">
        <f t="array" ref="N3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5" spans="1:14" x14ac:dyDescent="0.2">
      <c r="A315" t="s">
        <v>552</v>
      </c>
      <c r="B315" t="s">
        <v>228</v>
      </c>
      <c r="C315" t="s">
        <v>28</v>
      </c>
      <c r="D315" s="1">
        <v>45592</v>
      </c>
      <c r="E315">
        <v>54.16</v>
      </c>
      <c r="F315" t="s">
        <v>12</v>
      </c>
      <c r="G315" t="s">
        <v>29</v>
      </c>
      <c r="H315" t="s">
        <v>41</v>
      </c>
      <c r="I315" t="s">
        <v>15</v>
      </c>
      <c r="J315" t="str">
        <f>"FY" &amp; IF(MONTH(GiftData[[#This Row],[Gift_Date]])&gt;=7, RIGHT(YEAR(GiftData[[#This Row],[Gift_Date]])+1, 2), RIGHT(YEAR(GiftData[[#This Row],[Gift_Date]]), 2))</f>
        <v>FY25</v>
      </c>
      <c r="K315">
        <f>IF(COUNTIFS(GiftData[Constituent_ID], GiftData[[#This Row],[Constituent_ID]], GiftData[Fiscal_Year], "FY24")&gt;0, 1, 0)</f>
        <v>1</v>
      </c>
      <c r="L315">
        <f>IF(COUNTIFS(GiftData[Constituent_ID], GiftData[[#This Row],[Constituent_ID]], GiftData[Fiscal_Year], "FY25")&gt;0, 1, 0)</f>
        <v>1</v>
      </c>
      <c r="M315">
        <f>IF(COUNTIFS(GiftData[Constituent_ID], GiftData[[#This Row],[Constituent_ID]], GiftData[Fiscal_Year], "FY26")&gt;0, 1, 0)</f>
        <v>1</v>
      </c>
      <c r="N315" t="str" cm="1">
        <f t="array" ref="N3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6" spans="1:14" x14ac:dyDescent="0.2">
      <c r="A316" t="s">
        <v>553</v>
      </c>
      <c r="B316" t="s">
        <v>554</v>
      </c>
      <c r="C316" t="s">
        <v>11</v>
      </c>
      <c r="D316" s="1">
        <v>45944</v>
      </c>
      <c r="E316">
        <v>409.08</v>
      </c>
      <c r="F316" t="s">
        <v>12</v>
      </c>
      <c r="G316" t="s">
        <v>13</v>
      </c>
      <c r="H316" t="s">
        <v>14</v>
      </c>
      <c r="I316" t="s">
        <v>15</v>
      </c>
      <c r="J316" t="str">
        <f>"FY" &amp; IF(MONTH(GiftData[[#This Row],[Gift_Date]])&gt;=7, RIGHT(YEAR(GiftData[[#This Row],[Gift_Date]])+1, 2), RIGHT(YEAR(GiftData[[#This Row],[Gift_Date]]), 2))</f>
        <v>FY26</v>
      </c>
      <c r="K316">
        <f>IF(COUNTIFS(GiftData[Constituent_ID], GiftData[[#This Row],[Constituent_ID]], GiftData[Fiscal_Year], "FY24")&gt;0, 1, 0)</f>
        <v>0</v>
      </c>
      <c r="L316">
        <f>IF(COUNTIFS(GiftData[Constituent_ID], GiftData[[#This Row],[Constituent_ID]], GiftData[Fiscal_Year], "FY25")&gt;0, 1, 0)</f>
        <v>1</v>
      </c>
      <c r="M316">
        <f>IF(COUNTIFS(GiftData[Constituent_ID], GiftData[[#This Row],[Constituent_ID]], GiftData[Fiscal_Year], "FY26")&gt;0, 1, 0)</f>
        <v>1</v>
      </c>
      <c r="N316" t="str" cm="1">
        <f t="array" ref="N3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7" spans="1:14" x14ac:dyDescent="0.2">
      <c r="A317" t="s">
        <v>555</v>
      </c>
      <c r="B317" t="s">
        <v>71</v>
      </c>
      <c r="C317" t="s">
        <v>28</v>
      </c>
      <c r="D317" s="1">
        <v>46116</v>
      </c>
      <c r="E317">
        <v>79.599999999999994</v>
      </c>
      <c r="F317" t="s">
        <v>12</v>
      </c>
      <c r="G317" t="s">
        <v>13</v>
      </c>
      <c r="H317" t="s">
        <v>20</v>
      </c>
      <c r="I317" t="s">
        <v>15</v>
      </c>
      <c r="J317" t="str">
        <f>"FY" &amp; IF(MONTH(GiftData[[#This Row],[Gift_Date]])&gt;=7, RIGHT(YEAR(GiftData[[#This Row],[Gift_Date]])+1, 2), RIGHT(YEAR(GiftData[[#This Row],[Gift_Date]]), 2))</f>
        <v>FY26</v>
      </c>
      <c r="K317">
        <f>IF(COUNTIFS(GiftData[Constituent_ID], GiftData[[#This Row],[Constituent_ID]], GiftData[Fiscal_Year], "FY24")&gt;0, 1, 0)</f>
        <v>1</v>
      </c>
      <c r="L317">
        <f>IF(COUNTIFS(GiftData[Constituent_ID], GiftData[[#This Row],[Constituent_ID]], GiftData[Fiscal_Year], "FY25")&gt;0, 1, 0)</f>
        <v>1</v>
      </c>
      <c r="M317">
        <f>IF(COUNTIFS(GiftData[Constituent_ID], GiftData[[#This Row],[Constituent_ID]], GiftData[Fiscal_Year], "FY26")&gt;0, 1, 0)</f>
        <v>1</v>
      </c>
      <c r="N317" t="str" cm="1">
        <f t="array" ref="N3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18" spans="1:14" x14ac:dyDescent="0.2">
      <c r="A318" t="s">
        <v>556</v>
      </c>
      <c r="B318" t="s">
        <v>404</v>
      </c>
      <c r="C318" t="s">
        <v>18</v>
      </c>
      <c r="D318" s="1">
        <v>45798</v>
      </c>
      <c r="E318">
        <v>360.96</v>
      </c>
      <c r="F318" t="s">
        <v>25</v>
      </c>
      <c r="G318" t="s">
        <v>13</v>
      </c>
      <c r="H318" t="s">
        <v>20</v>
      </c>
      <c r="I318" t="s">
        <v>15</v>
      </c>
      <c r="J318" t="str">
        <f>"FY" &amp; IF(MONTH(GiftData[[#This Row],[Gift_Date]])&gt;=7, RIGHT(YEAR(GiftData[[#This Row],[Gift_Date]])+1, 2), RIGHT(YEAR(GiftData[[#This Row],[Gift_Date]]), 2))</f>
        <v>FY25</v>
      </c>
      <c r="K318">
        <f>IF(COUNTIFS(GiftData[Constituent_ID], GiftData[[#This Row],[Constituent_ID]], GiftData[Fiscal_Year], "FY24")&gt;0, 1, 0)</f>
        <v>1</v>
      </c>
      <c r="L318">
        <f>IF(COUNTIFS(GiftData[Constituent_ID], GiftData[[#This Row],[Constituent_ID]], GiftData[Fiscal_Year], "FY25")&gt;0, 1, 0)</f>
        <v>1</v>
      </c>
      <c r="M318">
        <f>IF(COUNTIFS(GiftData[Constituent_ID], GiftData[[#This Row],[Constituent_ID]], GiftData[Fiscal_Year], "FY26")&gt;0, 1, 0)</f>
        <v>0</v>
      </c>
      <c r="N318" t="str" cm="1">
        <f t="array" ref="N3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19" spans="1:14" x14ac:dyDescent="0.2">
      <c r="A319" t="s">
        <v>557</v>
      </c>
      <c r="B319" t="s">
        <v>558</v>
      </c>
      <c r="C319" t="s">
        <v>18</v>
      </c>
      <c r="D319" s="1">
        <v>46143</v>
      </c>
      <c r="E319">
        <v>664.43</v>
      </c>
      <c r="F319" t="s">
        <v>12</v>
      </c>
      <c r="G319" t="s">
        <v>29</v>
      </c>
      <c r="H319" t="s">
        <v>41</v>
      </c>
      <c r="I319" t="s">
        <v>15</v>
      </c>
      <c r="J319" t="str">
        <f>"FY" &amp; IF(MONTH(GiftData[[#This Row],[Gift_Date]])&gt;=7, RIGHT(YEAR(GiftData[[#This Row],[Gift_Date]])+1, 2), RIGHT(YEAR(GiftData[[#This Row],[Gift_Date]]), 2))</f>
        <v>FY26</v>
      </c>
      <c r="K319">
        <f>IF(COUNTIFS(GiftData[Constituent_ID], GiftData[[#This Row],[Constituent_ID]], GiftData[Fiscal_Year], "FY24")&gt;0, 1, 0)</f>
        <v>0</v>
      </c>
      <c r="L319">
        <f>IF(COUNTIFS(GiftData[Constituent_ID], GiftData[[#This Row],[Constituent_ID]], GiftData[Fiscal_Year], "FY25")&gt;0, 1, 0)</f>
        <v>1</v>
      </c>
      <c r="M319">
        <f>IF(COUNTIFS(GiftData[Constituent_ID], GiftData[[#This Row],[Constituent_ID]], GiftData[Fiscal_Year], "FY26")&gt;0, 1, 0)</f>
        <v>1</v>
      </c>
      <c r="N319" t="str" cm="1">
        <f t="array" ref="N3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0" spans="1:14" x14ac:dyDescent="0.2">
      <c r="A320" t="s">
        <v>559</v>
      </c>
      <c r="B320" t="s">
        <v>560</v>
      </c>
      <c r="C320" t="s">
        <v>28</v>
      </c>
      <c r="D320" s="1">
        <v>45597</v>
      </c>
      <c r="E320">
        <v>282.19</v>
      </c>
      <c r="F320" t="s">
        <v>12</v>
      </c>
      <c r="G320" t="s">
        <v>13</v>
      </c>
      <c r="H320" t="s">
        <v>41</v>
      </c>
      <c r="I320" t="s">
        <v>15</v>
      </c>
      <c r="J320" t="str">
        <f>"FY" &amp; IF(MONTH(GiftData[[#This Row],[Gift_Date]])&gt;=7, RIGHT(YEAR(GiftData[[#This Row],[Gift_Date]])+1, 2), RIGHT(YEAR(GiftData[[#This Row],[Gift_Date]]), 2))</f>
        <v>FY25</v>
      </c>
      <c r="K320">
        <f>IF(COUNTIFS(GiftData[Constituent_ID], GiftData[[#This Row],[Constituent_ID]], GiftData[Fiscal_Year], "FY24")&gt;0, 1, 0)</f>
        <v>0</v>
      </c>
      <c r="L320">
        <f>IF(COUNTIFS(GiftData[Constituent_ID], GiftData[[#This Row],[Constituent_ID]], GiftData[Fiscal_Year], "FY25")&gt;0, 1, 0)</f>
        <v>1</v>
      </c>
      <c r="M320">
        <f>IF(COUNTIFS(GiftData[Constituent_ID], GiftData[[#This Row],[Constituent_ID]], GiftData[Fiscal_Year], "FY26")&gt;0, 1, 0)</f>
        <v>0</v>
      </c>
      <c r="N320" t="str" cm="1">
        <f t="array" ref="N3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21" spans="1:14" x14ac:dyDescent="0.2">
      <c r="A321" t="s">
        <v>561</v>
      </c>
      <c r="B321" t="s">
        <v>562</v>
      </c>
      <c r="C321" t="s">
        <v>18</v>
      </c>
      <c r="D321" s="1">
        <v>45383</v>
      </c>
      <c r="E321">
        <v>324.61</v>
      </c>
      <c r="F321" t="s">
        <v>19</v>
      </c>
      <c r="G321" t="s">
        <v>13</v>
      </c>
      <c r="H321" t="s">
        <v>14</v>
      </c>
      <c r="I321" t="s">
        <v>15</v>
      </c>
      <c r="J321" t="str">
        <f>"FY" &amp; IF(MONTH(GiftData[[#This Row],[Gift_Date]])&gt;=7, RIGHT(YEAR(GiftData[[#This Row],[Gift_Date]])+1, 2), RIGHT(YEAR(GiftData[[#This Row],[Gift_Date]]), 2))</f>
        <v>FY24</v>
      </c>
      <c r="K321">
        <f>IF(COUNTIFS(GiftData[Constituent_ID], GiftData[[#This Row],[Constituent_ID]], GiftData[Fiscal_Year], "FY24")&gt;0, 1, 0)</f>
        <v>1</v>
      </c>
      <c r="L321">
        <f>IF(COUNTIFS(GiftData[Constituent_ID], GiftData[[#This Row],[Constituent_ID]], GiftData[Fiscal_Year], "FY25")&gt;0, 1, 0)</f>
        <v>0</v>
      </c>
      <c r="M321">
        <f>IF(COUNTIFS(GiftData[Constituent_ID], GiftData[[#This Row],[Constituent_ID]], GiftData[Fiscal_Year], "FY26")&gt;0, 1, 0)</f>
        <v>1</v>
      </c>
      <c r="N321" t="str" cm="1">
        <f t="array" ref="N3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2" spans="1:14" x14ac:dyDescent="0.2">
      <c r="A322" t="s">
        <v>563</v>
      </c>
      <c r="B322" t="s">
        <v>468</v>
      </c>
      <c r="C322" t="s">
        <v>48</v>
      </c>
      <c r="D322" s="1">
        <v>45800</v>
      </c>
      <c r="E322">
        <v>106.91</v>
      </c>
      <c r="F322" t="s">
        <v>25</v>
      </c>
      <c r="G322" t="s">
        <v>13</v>
      </c>
      <c r="H322" t="s">
        <v>41</v>
      </c>
      <c r="I322" t="s">
        <v>15</v>
      </c>
      <c r="J322" t="str">
        <f>"FY" &amp; IF(MONTH(GiftData[[#This Row],[Gift_Date]])&gt;=7, RIGHT(YEAR(GiftData[[#This Row],[Gift_Date]])+1, 2), RIGHT(YEAR(GiftData[[#This Row],[Gift_Date]]), 2))</f>
        <v>FY25</v>
      </c>
      <c r="K322">
        <f>IF(COUNTIFS(GiftData[Constituent_ID], GiftData[[#This Row],[Constituent_ID]], GiftData[Fiscal_Year], "FY24")&gt;0, 1, 0)</f>
        <v>0</v>
      </c>
      <c r="L322">
        <f>IF(COUNTIFS(GiftData[Constituent_ID], GiftData[[#This Row],[Constituent_ID]], GiftData[Fiscal_Year], "FY25")&gt;0, 1, 0)</f>
        <v>1</v>
      </c>
      <c r="M322">
        <f>IF(COUNTIFS(GiftData[Constituent_ID], GiftData[[#This Row],[Constituent_ID]], GiftData[Fiscal_Year], "FY26")&gt;0, 1, 0)</f>
        <v>1</v>
      </c>
      <c r="N322" t="str" cm="1">
        <f t="array" ref="N3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3" spans="1:14" x14ac:dyDescent="0.2">
      <c r="A323" t="s">
        <v>564</v>
      </c>
      <c r="B323" t="s">
        <v>565</v>
      </c>
      <c r="C323" t="s">
        <v>18</v>
      </c>
      <c r="D323" s="1">
        <v>45349</v>
      </c>
      <c r="E323">
        <v>69.12</v>
      </c>
      <c r="F323" t="s">
        <v>25</v>
      </c>
      <c r="G323" t="s">
        <v>13</v>
      </c>
      <c r="H323" t="s">
        <v>20</v>
      </c>
      <c r="I323" t="s">
        <v>15</v>
      </c>
      <c r="J323" t="str">
        <f>"FY" &amp; IF(MONTH(GiftData[[#This Row],[Gift_Date]])&gt;=7, RIGHT(YEAR(GiftData[[#This Row],[Gift_Date]])+1, 2), RIGHT(YEAR(GiftData[[#This Row],[Gift_Date]]), 2))</f>
        <v>FY24</v>
      </c>
      <c r="K323">
        <f>IF(COUNTIFS(GiftData[Constituent_ID], GiftData[[#This Row],[Constituent_ID]], GiftData[Fiscal_Year], "FY24")&gt;0, 1, 0)</f>
        <v>1</v>
      </c>
      <c r="L323">
        <f>IF(COUNTIFS(GiftData[Constituent_ID], GiftData[[#This Row],[Constituent_ID]], GiftData[Fiscal_Year], "FY25")&gt;0, 1, 0)</f>
        <v>0</v>
      </c>
      <c r="M323">
        <f>IF(COUNTIFS(GiftData[Constituent_ID], GiftData[[#This Row],[Constituent_ID]], GiftData[Fiscal_Year], "FY26")&gt;0, 1, 0)</f>
        <v>1</v>
      </c>
      <c r="N323" t="str" cm="1">
        <f t="array" ref="N3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4" spans="1:14" x14ac:dyDescent="0.2">
      <c r="A324" t="s">
        <v>566</v>
      </c>
      <c r="B324" t="s">
        <v>567</v>
      </c>
      <c r="C324" t="s">
        <v>28</v>
      </c>
      <c r="D324" s="1">
        <v>45233</v>
      </c>
      <c r="E324">
        <v>145.44</v>
      </c>
      <c r="F324" t="s">
        <v>12</v>
      </c>
      <c r="G324" t="s">
        <v>13</v>
      </c>
      <c r="H324" t="s">
        <v>51</v>
      </c>
      <c r="I324" t="s">
        <v>56</v>
      </c>
      <c r="J324" t="str">
        <f>"FY" &amp; IF(MONTH(GiftData[[#This Row],[Gift_Date]])&gt;=7, RIGHT(YEAR(GiftData[[#This Row],[Gift_Date]])+1, 2), RIGHT(YEAR(GiftData[[#This Row],[Gift_Date]]), 2))</f>
        <v>FY24</v>
      </c>
      <c r="K324">
        <f>IF(COUNTIFS(GiftData[Constituent_ID], GiftData[[#This Row],[Constituent_ID]], GiftData[Fiscal_Year], "FY24")&gt;0, 1, 0)</f>
        <v>1</v>
      </c>
      <c r="L324">
        <f>IF(COUNTIFS(GiftData[Constituent_ID], GiftData[[#This Row],[Constituent_ID]], GiftData[Fiscal_Year], "FY25")&gt;0, 1, 0)</f>
        <v>0</v>
      </c>
      <c r="M324">
        <f>IF(COUNTIFS(GiftData[Constituent_ID], GiftData[[#This Row],[Constituent_ID]], GiftData[Fiscal_Year], "FY26")&gt;0, 1, 0)</f>
        <v>1</v>
      </c>
      <c r="N324" t="str" cm="1">
        <f t="array" ref="N3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5" spans="1:14" x14ac:dyDescent="0.2">
      <c r="A325" t="s">
        <v>568</v>
      </c>
      <c r="B325" t="s">
        <v>569</v>
      </c>
      <c r="C325" t="s">
        <v>11</v>
      </c>
      <c r="D325" s="1">
        <v>45324</v>
      </c>
      <c r="E325">
        <v>78.11</v>
      </c>
      <c r="F325" t="s">
        <v>12</v>
      </c>
      <c r="G325" t="s">
        <v>13</v>
      </c>
      <c r="H325" t="s">
        <v>14</v>
      </c>
      <c r="I325" t="s">
        <v>15</v>
      </c>
      <c r="J325" t="str">
        <f>"FY" &amp; IF(MONTH(GiftData[[#This Row],[Gift_Date]])&gt;=7, RIGHT(YEAR(GiftData[[#This Row],[Gift_Date]])+1, 2), RIGHT(YEAR(GiftData[[#This Row],[Gift_Date]]), 2))</f>
        <v>FY24</v>
      </c>
      <c r="K325">
        <f>IF(COUNTIFS(GiftData[Constituent_ID], GiftData[[#This Row],[Constituent_ID]], GiftData[Fiscal_Year], "FY24")&gt;0, 1, 0)</f>
        <v>1</v>
      </c>
      <c r="L325">
        <f>IF(COUNTIFS(GiftData[Constituent_ID], GiftData[[#This Row],[Constituent_ID]], GiftData[Fiscal_Year], "FY25")&gt;0, 1, 0)</f>
        <v>1</v>
      </c>
      <c r="M325">
        <f>IF(COUNTIFS(GiftData[Constituent_ID], GiftData[[#This Row],[Constituent_ID]], GiftData[Fiscal_Year], "FY26")&gt;0, 1, 0)</f>
        <v>0</v>
      </c>
      <c r="N325" t="str" cm="1">
        <f t="array" ref="N3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26" spans="1:14" x14ac:dyDescent="0.2">
      <c r="A326" t="s">
        <v>570</v>
      </c>
      <c r="B326" t="s">
        <v>373</v>
      </c>
      <c r="C326" t="s">
        <v>18</v>
      </c>
      <c r="D326" s="1">
        <v>45602</v>
      </c>
      <c r="E326">
        <v>3002.99</v>
      </c>
      <c r="F326" t="s">
        <v>12</v>
      </c>
      <c r="G326" t="s">
        <v>13</v>
      </c>
      <c r="H326" t="s">
        <v>20</v>
      </c>
      <c r="I326" t="s">
        <v>38</v>
      </c>
      <c r="J326" t="str">
        <f>"FY" &amp; IF(MONTH(GiftData[[#This Row],[Gift_Date]])&gt;=7, RIGHT(YEAR(GiftData[[#This Row],[Gift_Date]])+1, 2), RIGHT(YEAR(GiftData[[#This Row],[Gift_Date]]), 2))</f>
        <v>FY25</v>
      </c>
      <c r="K326">
        <f>IF(COUNTIFS(GiftData[Constituent_ID], GiftData[[#This Row],[Constituent_ID]], GiftData[Fiscal_Year], "FY24")&gt;0, 1, 0)</f>
        <v>1</v>
      </c>
      <c r="L326">
        <f>IF(COUNTIFS(GiftData[Constituent_ID], GiftData[[#This Row],[Constituent_ID]], GiftData[Fiscal_Year], "FY25")&gt;0, 1, 0)</f>
        <v>1</v>
      </c>
      <c r="M326">
        <f>IF(COUNTIFS(GiftData[Constituent_ID], GiftData[[#This Row],[Constituent_ID]], GiftData[Fiscal_Year], "FY26")&gt;0, 1, 0)</f>
        <v>1</v>
      </c>
      <c r="N326" t="str" cm="1">
        <f t="array" ref="N3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7" spans="1:14" x14ac:dyDescent="0.2">
      <c r="A327" t="s">
        <v>571</v>
      </c>
      <c r="B327" t="s">
        <v>572</v>
      </c>
      <c r="C327" t="s">
        <v>18</v>
      </c>
      <c r="D327" s="1">
        <v>45534</v>
      </c>
      <c r="E327">
        <v>33.450000000000003</v>
      </c>
      <c r="F327" t="s">
        <v>12</v>
      </c>
      <c r="G327" t="s">
        <v>29</v>
      </c>
      <c r="H327" t="s">
        <v>14</v>
      </c>
      <c r="I327" t="s">
        <v>15</v>
      </c>
      <c r="J327" t="str">
        <f>"FY" &amp; IF(MONTH(GiftData[[#This Row],[Gift_Date]])&gt;=7, RIGHT(YEAR(GiftData[[#This Row],[Gift_Date]])+1, 2), RIGHT(YEAR(GiftData[[#This Row],[Gift_Date]]), 2))</f>
        <v>FY25</v>
      </c>
      <c r="K327">
        <f>IF(COUNTIFS(GiftData[Constituent_ID], GiftData[[#This Row],[Constituent_ID]], GiftData[Fiscal_Year], "FY24")&gt;0, 1, 0)</f>
        <v>0</v>
      </c>
      <c r="L327">
        <f>IF(COUNTIFS(GiftData[Constituent_ID], GiftData[[#This Row],[Constituent_ID]], GiftData[Fiscal_Year], "FY25")&gt;0, 1, 0)</f>
        <v>1</v>
      </c>
      <c r="M327">
        <f>IF(COUNTIFS(GiftData[Constituent_ID], GiftData[[#This Row],[Constituent_ID]], GiftData[Fiscal_Year], "FY26")&gt;0, 1, 0)</f>
        <v>1</v>
      </c>
      <c r="N327" t="str" cm="1">
        <f t="array" ref="N3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8" spans="1:14" x14ac:dyDescent="0.2">
      <c r="A328" t="s">
        <v>573</v>
      </c>
      <c r="B328" t="s">
        <v>386</v>
      </c>
      <c r="C328" t="s">
        <v>28</v>
      </c>
      <c r="D328" s="1">
        <v>46026</v>
      </c>
      <c r="E328">
        <v>447.07</v>
      </c>
      <c r="F328" t="s">
        <v>12</v>
      </c>
      <c r="G328" t="s">
        <v>13</v>
      </c>
      <c r="H328" t="s">
        <v>51</v>
      </c>
      <c r="I328" t="s">
        <v>15</v>
      </c>
      <c r="J328" t="str">
        <f>"FY" &amp; IF(MONTH(GiftData[[#This Row],[Gift_Date]])&gt;=7, RIGHT(YEAR(GiftData[[#This Row],[Gift_Date]])+1, 2), RIGHT(YEAR(GiftData[[#This Row],[Gift_Date]]), 2))</f>
        <v>FY26</v>
      </c>
      <c r="K328">
        <f>IF(COUNTIFS(GiftData[Constituent_ID], GiftData[[#This Row],[Constituent_ID]], GiftData[Fiscal_Year], "FY24")&gt;0, 1, 0)</f>
        <v>0</v>
      </c>
      <c r="L328">
        <f>IF(COUNTIFS(GiftData[Constituent_ID], GiftData[[#This Row],[Constituent_ID]], GiftData[Fiscal_Year], "FY25")&gt;0, 1, 0)</f>
        <v>1</v>
      </c>
      <c r="M328">
        <f>IF(COUNTIFS(GiftData[Constituent_ID], GiftData[[#This Row],[Constituent_ID]], GiftData[Fiscal_Year], "FY26")&gt;0, 1, 0)</f>
        <v>1</v>
      </c>
      <c r="N328" t="str" cm="1">
        <f t="array" ref="N3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29" spans="1:14" x14ac:dyDescent="0.2">
      <c r="A329" t="s">
        <v>574</v>
      </c>
      <c r="B329" t="s">
        <v>484</v>
      </c>
      <c r="C329" t="s">
        <v>35</v>
      </c>
      <c r="D329" s="1">
        <v>45258</v>
      </c>
      <c r="E329">
        <v>238.02</v>
      </c>
      <c r="F329" t="s">
        <v>59</v>
      </c>
      <c r="G329" t="s">
        <v>13</v>
      </c>
      <c r="H329" t="s">
        <v>51</v>
      </c>
      <c r="I329" t="s">
        <v>56</v>
      </c>
      <c r="J329" t="str">
        <f>"FY" &amp; IF(MONTH(GiftData[[#This Row],[Gift_Date]])&gt;=7, RIGHT(YEAR(GiftData[[#This Row],[Gift_Date]])+1, 2), RIGHT(YEAR(GiftData[[#This Row],[Gift_Date]]), 2))</f>
        <v>FY24</v>
      </c>
      <c r="K329">
        <f>IF(COUNTIFS(GiftData[Constituent_ID], GiftData[[#This Row],[Constituent_ID]], GiftData[Fiscal_Year], "FY24")&gt;0, 1, 0)</f>
        <v>1</v>
      </c>
      <c r="L329">
        <f>IF(COUNTIFS(GiftData[Constituent_ID], GiftData[[#This Row],[Constituent_ID]], GiftData[Fiscal_Year], "FY25")&gt;0, 1, 0)</f>
        <v>0</v>
      </c>
      <c r="M329">
        <f>IF(COUNTIFS(GiftData[Constituent_ID], GiftData[[#This Row],[Constituent_ID]], GiftData[Fiscal_Year], "FY26")&gt;0, 1, 0)</f>
        <v>1</v>
      </c>
      <c r="N329" t="str" cm="1">
        <f t="array" ref="N3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0" spans="1:14" x14ac:dyDescent="0.2">
      <c r="A330" t="s">
        <v>575</v>
      </c>
      <c r="B330" t="s">
        <v>246</v>
      </c>
      <c r="C330" t="s">
        <v>35</v>
      </c>
      <c r="D330" s="1">
        <v>45491</v>
      </c>
      <c r="E330">
        <v>163.83000000000001</v>
      </c>
      <c r="F330" t="s">
        <v>12</v>
      </c>
      <c r="G330" t="s">
        <v>13</v>
      </c>
      <c r="H330" t="s">
        <v>20</v>
      </c>
      <c r="I330" t="s">
        <v>15</v>
      </c>
      <c r="J330" t="str">
        <f>"FY" &amp; IF(MONTH(GiftData[[#This Row],[Gift_Date]])&gt;=7, RIGHT(YEAR(GiftData[[#This Row],[Gift_Date]])+1, 2), RIGHT(YEAR(GiftData[[#This Row],[Gift_Date]]), 2))</f>
        <v>FY25</v>
      </c>
      <c r="K330">
        <f>IF(COUNTIFS(GiftData[Constituent_ID], GiftData[[#This Row],[Constituent_ID]], GiftData[Fiscal_Year], "FY24")&gt;0, 1, 0)</f>
        <v>1</v>
      </c>
      <c r="L330">
        <f>IF(COUNTIFS(GiftData[Constituent_ID], GiftData[[#This Row],[Constituent_ID]], GiftData[Fiscal_Year], "FY25")&gt;0, 1, 0)</f>
        <v>1</v>
      </c>
      <c r="M330">
        <f>IF(COUNTIFS(GiftData[Constituent_ID], GiftData[[#This Row],[Constituent_ID]], GiftData[Fiscal_Year], "FY26")&gt;0, 1, 0)</f>
        <v>1</v>
      </c>
      <c r="N330" t="str" cm="1">
        <f t="array" ref="N3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1" spans="1:14" x14ac:dyDescent="0.2">
      <c r="A331" t="s">
        <v>576</v>
      </c>
      <c r="B331" t="s">
        <v>577</v>
      </c>
      <c r="C331" t="s">
        <v>11</v>
      </c>
      <c r="D331" s="1">
        <v>45415</v>
      </c>
      <c r="E331">
        <v>832.02</v>
      </c>
      <c r="F331" t="s">
        <v>12</v>
      </c>
      <c r="G331" t="s">
        <v>29</v>
      </c>
      <c r="H331" t="s">
        <v>41</v>
      </c>
      <c r="I331" t="s">
        <v>15</v>
      </c>
      <c r="J331" t="str">
        <f>"FY" &amp; IF(MONTH(GiftData[[#This Row],[Gift_Date]])&gt;=7, RIGHT(YEAR(GiftData[[#This Row],[Gift_Date]])+1, 2), RIGHT(YEAR(GiftData[[#This Row],[Gift_Date]]), 2))</f>
        <v>FY24</v>
      </c>
      <c r="K331">
        <f>IF(COUNTIFS(GiftData[Constituent_ID], GiftData[[#This Row],[Constituent_ID]], GiftData[Fiscal_Year], "FY24")&gt;0, 1, 0)</f>
        <v>1</v>
      </c>
      <c r="L331">
        <f>IF(COUNTIFS(GiftData[Constituent_ID], GiftData[[#This Row],[Constituent_ID]], GiftData[Fiscal_Year], "FY25")&gt;0, 1, 0)</f>
        <v>0</v>
      </c>
      <c r="M331">
        <f>IF(COUNTIFS(GiftData[Constituent_ID], GiftData[[#This Row],[Constituent_ID]], GiftData[Fiscal_Year], "FY26")&gt;0, 1, 0)</f>
        <v>0</v>
      </c>
      <c r="N331" t="str" cm="1">
        <f t="array" ref="N3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332" spans="1:14" x14ac:dyDescent="0.2">
      <c r="A332" t="s">
        <v>578</v>
      </c>
      <c r="B332" t="s">
        <v>126</v>
      </c>
      <c r="C332" t="s">
        <v>35</v>
      </c>
      <c r="D332" s="1">
        <v>45853</v>
      </c>
      <c r="E332">
        <v>179.09</v>
      </c>
      <c r="F332" t="s">
        <v>12</v>
      </c>
      <c r="G332" t="s">
        <v>13</v>
      </c>
      <c r="H332" t="s">
        <v>20</v>
      </c>
      <c r="I332" t="s">
        <v>15</v>
      </c>
      <c r="J332" t="str">
        <f>"FY" &amp; IF(MONTH(GiftData[[#This Row],[Gift_Date]])&gt;=7, RIGHT(YEAR(GiftData[[#This Row],[Gift_Date]])+1, 2), RIGHT(YEAR(GiftData[[#This Row],[Gift_Date]]), 2))</f>
        <v>FY26</v>
      </c>
      <c r="K332">
        <f>IF(COUNTIFS(GiftData[Constituent_ID], GiftData[[#This Row],[Constituent_ID]], GiftData[Fiscal_Year], "FY24")&gt;0, 1, 0)</f>
        <v>1</v>
      </c>
      <c r="L332">
        <f>IF(COUNTIFS(GiftData[Constituent_ID], GiftData[[#This Row],[Constituent_ID]], GiftData[Fiscal_Year], "FY25")&gt;0, 1, 0)</f>
        <v>1</v>
      </c>
      <c r="M332">
        <f>IF(COUNTIFS(GiftData[Constituent_ID], GiftData[[#This Row],[Constituent_ID]], GiftData[Fiscal_Year], "FY26")&gt;0, 1, 0)</f>
        <v>1</v>
      </c>
      <c r="N332" t="str" cm="1">
        <f t="array" ref="N3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3" spans="1:14" x14ac:dyDescent="0.2">
      <c r="A333" t="s">
        <v>579</v>
      </c>
      <c r="B333" t="s">
        <v>580</v>
      </c>
      <c r="C333" t="s">
        <v>28</v>
      </c>
      <c r="D333" s="1">
        <v>45999</v>
      </c>
      <c r="E333">
        <v>53.23</v>
      </c>
      <c r="F333" t="s">
        <v>12</v>
      </c>
      <c r="G333" t="s">
        <v>29</v>
      </c>
      <c r="H333" t="s">
        <v>20</v>
      </c>
      <c r="I333" t="s">
        <v>15</v>
      </c>
      <c r="J333" t="str">
        <f>"FY" &amp; IF(MONTH(GiftData[[#This Row],[Gift_Date]])&gt;=7, RIGHT(YEAR(GiftData[[#This Row],[Gift_Date]])+1, 2), RIGHT(YEAR(GiftData[[#This Row],[Gift_Date]]), 2))</f>
        <v>FY26</v>
      </c>
      <c r="K333">
        <f>IF(COUNTIFS(GiftData[Constituent_ID], GiftData[[#This Row],[Constituent_ID]], GiftData[Fiscal_Year], "FY24")&gt;0, 1, 0)</f>
        <v>1</v>
      </c>
      <c r="L333">
        <f>IF(COUNTIFS(GiftData[Constituent_ID], GiftData[[#This Row],[Constituent_ID]], GiftData[Fiscal_Year], "FY25")&gt;0, 1, 0)</f>
        <v>0</v>
      </c>
      <c r="M333">
        <f>IF(COUNTIFS(GiftData[Constituent_ID], GiftData[[#This Row],[Constituent_ID]], GiftData[Fiscal_Year], "FY26")&gt;0, 1, 0)</f>
        <v>1</v>
      </c>
      <c r="N333" t="str" cm="1">
        <f t="array" ref="N3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4" spans="1:14" x14ac:dyDescent="0.2">
      <c r="A334" t="s">
        <v>581</v>
      </c>
      <c r="B334" t="s">
        <v>142</v>
      </c>
      <c r="C334" t="s">
        <v>28</v>
      </c>
      <c r="D334" s="1">
        <v>45482</v>
      </c>
      <c r="E334">
        <v>177.55</v>
      </c>
      <c r="F334" t="s">
        <v>25</v>
      </c>
      <c r="G334" t="s">
        <v>29</v>
      </c>
      <c r="H334" t="s">
        <v>14</v>
      </c>
      <c r="I334" t="s">
        <v>15</v>
      </c>
      <c r="J334" t="str">
        <f>"FY" &amp; IF(MONTH(GiftData[[#This Row],[Gift_Date]])&gt;=7, RIGHT(YEAR(GiftData[[#This Row],[Gift_Date]])+1, 2), RIGHT(YEAR(GiftData[[#This Row],[Gift_Date]]), 2))</f>
        <v>FY25</v>
      </c>
      <c r="K334">
        <f>IF(COUNTIFS(GiftData[Constituent_ID], GiftData[[#This Row],[Constituent_ID]], GiftData[Fiscal_Year], "FY24")&gt;0, 1, 0)</f>
        <v>0</v>
      </c>
      <c r="L334">
        <f>IF(COUNTIFS(GiftData[Constituent_ID], GiftData[[#This Row],[Constituent_ID]], GiftData[Fiscal_Year], "FY25")&gt;0, 1, 0)</f>
        <v>1</v>
      </c>
      <c r="M334">
        <f>IF(COUNTIFS(GiftData[Constituent_ID], GiftData[[#This Row],[Constituent_ID]], GiftData[Fiscal_Year], "FY26")&gt;0, 1, 0)</f>
        <v>1</v>
      </c>
      <c r="N334" t="str" cm="1">
        <f t="array" ref="N3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5" spans="1:14" x14ac:dyDescent="0.2">
      <c r="A335" t="s">
        <v>582</v>
      </c>
      <c r="B335" t="s">
        <v>316</v>
      </c>
      <c r="C335" t="s">
        <v>11</v>
      </c>
      <c r="D335" s="1">
        <v>46139</v>
      </c>
      <c r="E335">
        <v>95.76</v>
      </c>
      <c r="F335" t="s">
        <v>12</v>
      </c>
      <c r="G335" t="s">
        <v>13</v>
      </c>
      <c r="H335" t="s">
        <v>41</v>
      </c>
      <c r="I335" t="s">
        <v>15</v>
      </c>
      <c r="J335" t="str">
        <f>"FY" &amp; IF(MONTH(GiftData[[#This Row],[Gift_Date]])&gt;=7, RIGHT(YEAR(GiftData[[#This Row],[Gift_Date]])+1, 2), RIGHT(YEAR(GiftData[[#This Row],[Gift_Date]]), 2))</f>
        <v>FY26</v>
      </c>
      <c r="K335">
        <f>IF(COUNTIFS(GiftData[Constituent_ID], GiftData[[#This Row],[Constituent_ID]], GiftData[Fiscal_Year], "FY24")&gt;0, 1, 0)</f>
        <v>1</v>
      </c>
      <c r="L335">
        <f>IF(COUNTIFS(GiftData[Constituent_ID], GiftData[[#This Row],[Constituent_ID]], GiftData[Fiscal_Year], "FY25")&gt;0, 1, 0)</f>
        <v>0</v>
      </c>
      <c r="M335">
        <f>IF(COUNTIFS(GiftData[Constituent_ID], GiftData[[#This Row],[Constituent_ID]], GiftData[Fiscal_Year], "FY26")&gt;0, 1, 0)</f>
        <v>1</v>
      </c>
      <c r="N335" t="str" cm="1">
        <f t="array" ref="N3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6" spans="1:14" x14ac:dyDescent="0.2">
      <c r="A336" t="s">
        <v>583</v>
      </c>
      <c r="B336" t="s">
        <v>584</v>
      </c>
      <c r="C336" t="s">
        <v>28</v>
      </c>
      <c r="D336" s="1">
        <v>45236</v>
      </c>
      <c r="E336">
        <v>233.75</v>
      </c>
      <c r="F336" t="s">
        <v>25</v>
      </c>
      <c r="G336" t="s">
        <v>13</v>
      </c>
      <c r="H336" t="s">
        <v>41</v>
      </c>
      <c r="I336" t="s">
        <v>15</v>
      </c>
      <c r="J336" t="str">
        <f>"FY" &amp; IF(MONTH(GiftData[[#This Row],[Gift_Date]])&gt;=7, RIGHT(YEAR(GiftData[[#This Row],[Gift_Date]])+1, 2), RIGHT(YEAR(GiftData[[#This Row],[Gift_Date]]), 2))</f>
        <v>FY24</v>
      </c>
      <c r="K336">
        <f>IF(COUNTIFS(GiftData[Constituent_ID], GiftData[[#This Row],[Constituent_ID]], GiftData[Fiscal_Year], "FY24")&gt;0, 1, 0)</f>
        <v>1</v>
      </c>
      <c r="L336">
        <f>IF(COUNTIFS(GiftData[Constituent_ID], GiftData[[#This Row],[Constituent_ID]], GiftData[Fiscal_Year], "FY25")&gt;0, 1, 0)</f>
        <v>1</v>
      </c>
      <c r="M336">
        <f>IF(COUNTIFS(GiftData[Constituent_ID], GiftData[[#This Row],[Constituent_ID]], GiftData[Fiscal_Year], "FY26")&gt;0, 1, 0)</f>
        <v>1</v>
      </c>
      <c r="N336" t="str" cm="1">
        <f t="array" ref="N3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7" spans="1:14" x14ac:dyDescent="0.2">
      <c r="A337" t="s">
        <v>585</v>
      </c>
      <c r="B337" t="s">
        <v>586</v>
      </c>
      <c r="C337" t="s">
        <v>35</v>
      </c>
      <c r="D337" s="1">
        <v>46122</v>
      </c>
      <c r="E337">
        <v>349.67</v>
      </c>
      <c r="F337" t="s">
        <v>19</v>
      </c>
      <c r="G337" t="s">
        <v>13</v>
      </c>
      <c r="H337" t="s">
        <v>20</v>
      </c>
      <c r="I337" t="s">
        <v>56</v>
      </c>
      <c r="J337" t="str">
        <f>"FY" &amp; IF(MONTH(GiftData[[#This Row],[Gift_Date]])&gt;=7, RIGHT(YEAR(GiftData[[#This Row],[Gift_Date]])+1, 2), RIGHT(YEAR(GiftData[[#This Row],[Gift_Date]]), 2))</f>
        <v>FY26</v>
      </c>
      <c r="K337">
        <f>IF(COUNTIFS(GiftData[Constituent_ID], GiftData[[#This Row],[Constituent_ID]], GiftData[Fiscal_Year], "FY24")&gt;0, 1, 0)</f>
        <v>1</v>
      </c>
      <c r="L337">
        <f>IF(COUNTIFS(GiftData[Constituent_ID], GiftData[[#This Row],[Constituent_ID]], GiftData[Fiscal_Year], "FY25")&gt;0, 1, 0)</f>
        <v>1</v>
      </c>
      <c r="M337">
        <f>IF(COUNTIFS(GiftData[Constituent_ID], GiftData[[#This Row],[Constituent_ID]], GiftData[Fiscal_Year], "FY26")&gt;0, 1, 0)</f>
        <v>1</v>
      </c>
      <c r="N337" t="str" cm="1">
        <f t="array" ref="N3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8" spans="1:14" x14ac:dyDescent="0.2">
      <c r="A338" t="s">
        <v>587</v>
      </c>
      <c r="B338" t="s">
        <v>554</v>
      </c>
      <c r="C338" t="s">
        <v>11</v>
      </c>
      <c r="D338" s="1">
        <v>45776</v>
      </c>
      <c r="E338">
        <v>39.770000000000003</v>
      </c>
      <c r="F338" t="s">
        <v>12</v>
      </c>
      <c r="G338" t="s">
        <v>13</v>
      </c>
      <c r="H338" t="s">
        <v>20</v>
      </c>
      <c r="I338" t="s">
        <v>38</v>
      </c>
      <c r="J338" t="str">
        <f>"FY" &amp; IF(MONTH(GiftData[[#This Row],[Gift_Date]])&gt;=7, RIGHT(YEAR(GiftData[[#This Row],[Gift_Date]])+1, 2), RIGHT(YEAR(GiftData[[#This Row],[Gift_Date]]), 2))</f>
        <v>FY25</v>
      </c>
      <c r="K338">
        <f>IF(COUNTIFS(GiftData[Constituent_ID], GiftData[[#This Row],[Constituent_ID]], GiftData[Fiscal_Year], "FY24")&gt;0, 1, 0)</f>
        <v>0</v>
      </c>
      <c r="L338">
        <f>IF(COUNTIFS(GiftData[Constituent_ID], GiftData[[#This Row],[Constituent_ID]], GiftData[Fiscal_Year], "FY25")&gt;0, 1, 0)</f>
        <v>1</v>
      </c>
      <c r="M338">
        <f>IF(COUNTIFS(GiftData[Constituent_ID], GiftData[[#This Row],[Constituent_ID]], GiftData[Fiscal_Year], "FY26")&gt;0, 1, 0)</f>
        <v>1</v>
      </c>
      <c r="N338" t="str" cm="1">
        <f t="array" ref="N3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39" spans="1:14" x14ac:dyDescent="0.2">
      <c r="A339" t="s">
        <v>588</v>
      </c>
      <c r="B339" t="s">
        <v>496</v>
      </c>
      <c r="C339" t="s">
        <v>35</v>
      </c>
      <c r="D339" s="1">
        <v>45624</v>
      </c>
      <c r="E339">
        <v>574.75</v>
      </c>
      <c r="F339" t="s">
        <v>12</v>
      </c>
      <c r="G339" t="s">
        <v>13</v>
      </c>
      <c r="H339" t="s">
        <v>14</v>
      </c>
      <c r="I339" t="s">
        <v>15</v>
      </c>
      <c r="J339" t="str">
        <f>"FY" &amp; IF(MONTH(GiftData[[#This Row],[Gift_Date]])&gt;=7, RIGHT(YEAR(GiftData[[#This Row],[Gift_Date]])+1, 2), RIGHT(YEAR(GiftData[[#This Row],[Gift_Date]]), 2))</f>
        <v>FY25</v>
      </c>
      <c r="K339">
        <f>IF(COUNTIFS(GiftData[Constituent_ID], GiftData[[#This Row],[Constituent_ID]], GiftData[Fiscal_Year], "FY24")&gt;0, 1, 0)</f>
        <v>1</v>
      </c>
      <c r="L339">
        <f>IF(COUNTIFS(GiftData[Constituent_ID], GiftData[[#This Row],[Constituent_ID]], GiftData[Fiscal_Year], "FY25")&gt;0, 1, 0)</f>
        <v>1</v>
      </c>
      <c r="M339">
        <f>IF(COUNTIFS(GiftData[Constituent_ID], GiftData[[#This Row],[Constituent_ID]], GiftData[Fiscal_Year], "FY26")&gt;0, 1, 0)</f>
        <v>1</v>
      </c>
      <c r="N339" t="str" cm="1">
        <f t="array" ref="N3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0" spans="1:14" x14ac:dyDescent="0.2">
      <c r="A340" t="s">
        <v>589</v>
      </c>
      <c r="B340" t="s">
        <v>590</v>
      </c>
      <c r="C340" t="s">
        <v>28</v>
      </c>
      <c r="D340" s="1">
        <v>45193</v>
      </c>
      <c r="E340">
        <v>87.24</v>
      </c>
      <c r="F340" t="s">
        <v>59</v>
      </c>
      <c r="G340" t="s">
        <v>13</v>
      </c>
      <c r="H340" t="s">
        <v>20</v>
      </c>
      <c r="I340" t="s">
        <v>15</v>
      </c>
      <c r="J340" t="str">
        <f>"FY" &amp; IF(MONTH(GiftData[[#This Row],[Gift_Date]])&gt;=7, RIGHT(YEAR(GiftData[[#This Row],[Gift_Date]])+1, 2), RIGHT(YEAR(GiftData[[#This Row],[Gift_Date]]), 2))</f>
        <v>FY24</v>
      </c>
      <c r="K340">
        <f>IF(COUNTIFS(GiftData[Constituent_ID], GiftData[[#This Row],[Constituent_ID]], GiftData[Fiscal_Year], "FY24")&gt;0, 1, 0)</f>
        <v>1</v>
      </c>
      <c r="L340">
        <f>IF(COUNTIFS(GiftData[Constituent_ID], GiftData[[#This Row],[Constituent_ID]], GiftData[Fiscal_Year], "FY25")&gt;0, 1, 0)</f>
        <v>0</v>
      </c>
      <c r="M340">
        <f>IF(COUNTIFS(GiftData[Constituent_ID], GiftData[[#This Row],[Constituent_ID]], GiftData[Fiscal_Year], "FY26")&gt;0, 1, 0)</f>
        <v>1</v>
      </c>
      <c r="N340" t="str" cm="1">
        <f t="array" ref="N3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1" spans="1:14" x14ac:dyDescent="0.2">
      <c r="A341" t="s">
        <v>591</v>
      </c>
      <c r="B341" t="s">
        <v>177</v>
      </c>
      <c r="C341" t="s">
        <v>18</v>
      </c>
      <c r="D341" s="1">
        <v>45418</v>
      </c>
      <c r="E341">
        <v>216.31</v>
      </c>
      <c r="F341" t="s">
        <v>25</v>
      </c>
      <c r="G341" t="s">
        <v>29</v>
      </c>
      <c r="H341" t="s">
        <v>20</v>
      </c>
      <c r="I341" t="s">
        <v>15</v>
      </c>
      <c r="J341" t="str">
        <f>"FY" &amp; IF(MONTH(GiftData[[#This Row],[Gift_Date]])&gt;=7, RIGHT(YEAR(GiftData[[#This Row],[Gift_Date]])+1, 2), RIGHT(YEAR(GiftData[[#This Row],[Gift_Date]]), 2))</f>
        <v>FY24</v>
      </c>
      <c r="K341">
        <f>IF(COUNTIFS(GiftData[Constituent_ID], GiftData[[#This Row],[Constituent_ID]], GiftData[Fiscal_Year], "FY24")&gt;0, 1, 0)</f>
        <v>1</v>
      </c>
      <c r="L341">
        <f>IF(COUNTIFS(GiftData[Constituent_ID], GiftData[[#This Row],[Constituent_ID]], GiftData[Fiscal_Year], "FY25")&gt;0, 1, 0)</f>
        <v>1</v>
      </c>
      <c r="M341">
        <f>IF(COUNTIFS(GiftData[Constituent_ID], GiftData[[#This Row],[Constituent_ID]], GiftData[Fiscal_Year], "FY26")&gt;0, 1, 0)</f>
        <v>1</v>
      </c>
      <c r="N341" t="str" cm="1">
        <f t="array" ref="N3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2" spans="1:14" x14ac:dyDescent="0.2">
      <c r="A342" t="s">
        <v>592</v>
      </c>
      <c r="B342" t="s">
        <v>593</v>
      </c>
      <c r="C342" t="s">
        <v>18</v>
      </c>
      <c r="D342" s="1">
        <v>45534</v>
      </c>
      <c r="E342">
        <v>271.01</v>
      </c>
      <c r="F342" t="s">
        <v>12</v>
      </c>
      <c r="G342" t="s">
        <v>13</v>
      </c>
      <c r="H342" t="s">
        <v>20</v>
      </c>
      <c r="I342" t="s">
        <v>15</v>
      </c>
      <c r="J342" t="str">
        <f>"FY" &amp; IF(MONTH(GiftData[[#This Row],[Gift_Date]])&gt;=7, RIGHT(YEAR(GiftData[[#This Row],[Gift_Date]])+1, 2), RIGHT(YEAR(GiftData[[#This Row],[Gift_Date]]), 2))</f>
        <v>FY25</v>
      </c>
      <c r="K342">
        <f>IF(COUNTIFS(GiftData[Constituent_ID], GiftData[[#This Row],[Constituent_ID]], GiftData[Fiscal_Year], "FY24")&gt;0, 1, 0)</f>
        <v>1</v>
      </c>
      <c r="L342">
        <f>IF(COUNTIFS(GiftData[Constituent_ID], GiftData[[#This Row],[Constituent_ID]], GiftData[Fiscal_Year], "FY25")&gt;0, 1, 0)</f>
        <v>1</v>
      </c>
      <c r="M342">
        <f>IF(COUNTIFS(GiftData[Constituent_ID], GiftData[[#This Row],[Constituent_ID]], GiftData[Fiscal_Year], "FY26")&gt;0, 1, 0)</f>
        <v>1</v>
      </c>
      <c r="N342" t="str" cm="1">
        <f t="array" ref="N3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3" spans="1:14" x14ac:dyDescent="0.2">
      <c r="A343" t="s">
        <v>594</v>
      </c>
      <c r="B343" t="s">
        <v>595</v>
      </c>
      <c r="C343" t="s">
        <v>11</v>
      </c>
      <c r="D343" s="1">
        <v>45221</v>
      </c>
      <c r="E343">
        <v>195.9</v>
      </c>
      <c r="F343" t="s">
        <v>59</v>
      </c>
      <c r="G343" t="s">
        <v>29</v>
      </c>
      <c r="H343" t="s">
        <v>14</v>
      </c>
      <c r="I343" t="s">
        <v>15</v>
      </c>
      <c r="J343" t="str">
        <f>"FY" &amp; IF(MONTH(GiftData[[#This Row],[Gift_Date]])&gt;=7, RIGHT(YEAR(GiftData[[#This Row],[Gift_Date]])+1, 2), RIGHT(YEAR(GiftData[[#This Row],[Gift_Date]]), 2))</f>
        <v>FY24</v>
      </c>
      <c r="K343">
        <f>IF(COUNTIFS(GiftData[Constituent_ID], GiftData[[#This Row],[Constituent_ID]], GiftData[Fiscal_Year], "FY24")&gt;0, 1, 0)</f>
        <v>1</v>
      </c>
      <c r="L343">
        <f>IF(COUNTIFS(GiftData[Constituent_ID], GiftData[[#This Row],[Constituent_ID]], GiftData[Fiscal_Year], "FY25")&gt;0, 1, 0)</f>
        <v>0</v>
      </c>
      <c r="M343">
        <f>IF(COUNTIFS(GiftData[Constituent_ID], GiftData[[#This Row],[Constituent_ID]], GiftData[Fiscal_Year], "FY26")&gt;0, 1, 0)</f>
        <v>1</v>
      </c>
      <c r="N343" t="str" cm="1">
        <f t="array" ref="N3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4" spans="1:14" x14ac:dyDescent="0.2">
      <c r="A344" t="s">
        <v>596</v>
      </c>
      <c r="B344" t="s">
        <v>597</v>
      </c>
      <c r="C344" t="s">
        <v>11</v>
      </c>
      <c r="D344" s="1">
        <v>45410</v>
      </c>
      <c r="E344">
        <v>105.44</v>
      </c>
      <c r="F344" t="s">
        <v>12</v>
      </c>
      <c r="G344" t="s">
        <v>13</v>
      </c>
      <c r="H344" t="s">
        <v>20</v>
      </c>
      <c r="I344" t="s">
        <v>56</v>
      </c>
      <c r="J344" t="str">
        <f>"FY" &amp; IF(MONTH(GiftData[[#This Row],[Gift_Date]])&gt;=7, RIGHT(YEAR(GiftData[[#This Row],[Gift_Date]])+1, 2), RIGHT(YEAR(GiftData[[#This Row],[Gift_Date]]), 2))</f>
        <v>FY24</v>
      </c>
      <c r="K344">
        <f>IF(COUNTIFS(GiftData[Constituent_ID], GiftData[[#This Row],[Constituent_ID]], GiftData[Fiscal_Year], "FY24")&gt;0, 1, 0)</f>
        <v>1</v>
      </c>
      <c r="L344">
        <f>IF(COUNTIFS(GiftData[Constituent_ID], GiftData[[#This Row],[Constituent_ID]], GiftData[Fiscal_Year], "FY25")&gt;0, 1, 0)</f>
        <v>0</v>
      </c>
      <c r="M344">
        <f>IF(COUNTIFS(GiftData[Constituent_ID], GiftData[[#This Row],[Constituent_ID]], GiftData[Fiscal_Year], "FY26")&gt;0, 1, 0)</f>
        <v>0</v>
      </c>
      <c r="N344" t="str" cm="1">
        <f t="array" ref="N3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345" spans="1:14" x14ac:dyDescent="0.2">
      <c r="A345" t="s">
        <v>598</v>
      </c>
      <c r="B345" t="s">
        <v>134</v>
      </c>
      <c r="C345" t="s">
        <v>35</v>
      </c>
      <c r="D345" s="1">
        <v>45851</v>
      </c>
      <c r="E345">
        <v>64.38</v>
      </c>
      <c r="F345" t="s">
        <v>59</v>
      </c>
      <c r="G345" t="s">
        <v>13</v>
      </c>
      <c r="H345" t="s">
        <v>14</v>
      </c>
      <c r="I345" t="s">
        <v>15</v>
      </c>
      <c r="J345" t="str">
        <f>"FY" &amp; IF(MONTH(GiftData[[#This Row],[Gift_Date]])&gt;=7, RIGHT(YEAR(GiftData[[#This Row],[Gift_Date]])+1, 2), RIGHT(YEAR(GiftData[[#This Row],[Gift_Date]]), 2))</f>
        <v>FY26</v>
      </c>
      <c r="K345">
        <f>IF(COUNTIFS(GiftData[Constituent_ID], GiftData[[#This Row],[Constituent_ID]], GiftData[Fiscal_Year], "FY24")&gt;0, 1, 0)</f>
        <v>1</v>
      </c>
      <c r="L345">
        <f>IF(COUNTIFS(GiftData[Constituent_ID], GiftData[[#This Row],[Constituent_ID]], GiftData[Fiscal_Year], "FY25")&gt;0, 1, 0)</f>
        <v>0</v>
      </c>
      <c r="M345">
        <f>IF(COUNTIFS(GiftData[Constituent_ID], GiftData[[#This Row],[Constituent_ID]], GiftData[Fiscal_Year], "FY26")&gt;0, 1, 0)</f>
        <v>1</v>
      </c>
      <c r="N345" t="str" cm="1">
        <f t="array" ref="N3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6" spans="1:14" x14ac:dyDescent="0.2">
      <c r="A346" t="s">
        <v>599</v>
      </c>
      <c r="B346" t="s">
        <v>600</v>
      </c>
      <c r="C346" t="s">
        <v>18</v>
      </c>
      <c r="D346" s="1">
        <v>45695</v>
      </c>
      <c r="E346">
        <v>85.65</v>
      </c>
      <c r="F346" t="s">
        <v>12</v>
      </c>
      <c r="G346" t="s">
        <v>29</v>
      </c>
      <c r="H346" t="s">
        <v>20</v>
      </c>
      <c r="I346" t="s">
        <v>56</v>
      </c>
      <c r="J346" t="str">
        <f>"FY" &amp; IF(MONTH(GiftData[[#This Row],[Gift_Date]])&gt;=7, RIGHT(YEAR(GiftData[[#This Row],[Gift_Date]])+1, 2), RIGHT(YEAR(GiftData[[#This Row],[Gift_Date]]), 2))</f>
        <v>FY25</v>
      </c>
      <c r="K346">
        <f>IF(COUNTIFS(GiftData[Constituent_ID], GiftData[[#This Row],[Constituent_ID]], GiftData[Fiscal_Year], "FY24")&gt;0, 1, 0)</f>
        <v>0</v>
      </c>
      <c r="L346">
        <f>IF(COUNTIFS(GiftData[Constituent_ID], GiftData[[#This Row],[Constituent_ID]], GiftData[Fiscal_Year], "FY25")&gt;0, 1, 0)</f>
        <v>1</v>
      </c>
      <c r="M346">
        <f>IF(COUNTIFS(GiftData[Constituent_ID], GiftData[[#This Row],[Constituent_ID]], GiftData[Fiscal_Year], "FY26")&gt;0, 1, 0)</f>
        <v>1</v>
      </c>
      <c r="N346" t="str" cm="1">
        <f t="array" ref="N3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7" spans="1:14" x14ac:dyDescent="0.2">
      <c r="A347" t="s">
        <v>601</v>
      </c>
      <c r="B347" t="s">
        <v>593</v>
      </c>
      <c r="C347" t="s">
        <v>35</v>
      </c>
      <c r="D347" s="1">
        <v>46094</v>
      </c>
      <c r="E347">
        <v>929.57</v>
      </c>
      <c r="F347" t="s">
        <v>12</v>
      </c>
      <c r="G347" t="s">
        <v>13</v>
      </c>
      <c r="H347" t="s">
        <v>20</v>
      </c>
      <c r="I347" t="s">
        <v>15</v>
      </c>
      <c r="J347" t="str">
        <f>"FY" &amp; IF(MONTH(GiftData[[#This Row],[Gift_Date]])&gt;=7, RIGHT(YEAR(GiftData[[#This Row],[Gift_Date]])+1, 2), RIGHT(YEAR(GiftData[[#This Row],[Gift_Date]]), 2))</f>
        <v>FY26</v>
      </c>
      <c r="K347">
        <f>IF(COUNTIFS(GiftData[Constituent_ID], GiftData[[#This Row],[Constituent_ID]], GiftData[Fiscal_Year], "FY24")&gt;0, 1, 0)</f>
        <v>1</v>
      </c>
      <c r="L347">
        <f>IF(COUNTIFS(GiftData[Constituent_ID], GiftData[[#This Row],[Constituent_ID]], GiftData[Fiscal_Year], "FY25")&gt;0, 1, 0)</f>
        <v>1</v>
      </c>
      <c r="M347">
        <f>IF(COUNTIFS(GiftData[Constituent_ID], GiftData[[#This Row],[Constituent_ID]], GiftData[Fiscal_Year], "FY26")&gt;0, 1, 0)</f>
        <v>1</v>
      </c>
      <c r="N347" t="str" cm="1">
        <f t="array" ref="N3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48" spans="1:14" x14ac:dyDescent="0.2">
      <c r="A348" t="s">
        <v>602</v>
      </c>
      <c r="B348" t="s">
        <v>603</v>
      </c>
      <c r="C348" t="s">
        <v>35</v>
      </c>
      <c r="D348" s="1">
        <v>45452</v>
      </c>
      <c r="E348">
        <v>39.42</v>
      </c>
      <c r="F348" t="s">
        <v>59</v>
      </c>
      <c r="G348" t="s">
        <v>13</v>
      </c>
      <c r="H348" t="s">
        <v>41</v>
      </c>
      <c r="I348" t="s">
        <v>30</v>
      </c>
      <c r="J348" t="str">
        <f>"FY" &amp; IF(MONTH(GiftData[[#This Row],[Gift_Date]])&gt;=7, RIGHT(YEAR(GiftData[[#This Row],[Gift_Date]])+1, 2), RIGHT(YEAR(GiftData[[#This Row],[Gift_Date]]), 2))</f>
        <v>FY24</v>
      </c>
      <c r="K348">
        <f>IF(COUNTIFS(GiftData[Constituent_ID], GiftData[[#This Row],[Constituent_ID]], GiftData[Fiscal_Year], "FY24")&gt;0, 1, 0)</f>
        <v>1</v>
      </c>
      <c r="L348">
        <f>IF(COUNTIFS(GiftData[Constituent_ID], GiftData[[#This Row],[Constituent_ID]], GiftData[Fiscal_Year], "FY25")&gt;0, 1, 0)</f>
        <v>0</v>
      </c>
      <c r="M348">
        <f>IF(COUNTIFS(GiftData[Constituent_ID], GiftData[[#This Row],[Constituent_ID]], GiftData[Fiscal_Year], "FY26")&gt;0, 1, 0)</f>
        <v>0</v>
      </c>
      <c r="N348" t="str" cm="1">
        <f t="array" ref="N3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349" spans="1:14" x14ac:dyDescent="0.2">
      <c r="A349" t="s">
        <v>604</v>
      </c>
      <c r="B349" t="s">
        <v>40</v>
      </c>
      <c r="C349" t="s">
        <v>18</v>
      </c>
      <c r="D349" s="1">
        <v>45921</v>
      </c>
      <c r="E349">
        <v>47.7</v>
      </c>
      <c r="F349" t="s">
        <v>12</v>
      </c>
      <c r="G349" t="s">
        <v>13</v>
      </c>
      <c r="H349" t="s">
        <v>20</v>
      </c>
      <c r="I349" t="s">
        <v>38</v>
      </c>
      <c r="J349" t="str">
        <f>"FY" &amp; IF(MONTH(GiftData[[#This Row],[Gift_Date]])&gt;=7, RIGHT(YEAR(GiftData[[#This Row],[Gift_Date]])+1, 2), RIGHT(YEAR(GiftData[[#This Row],[Gift_Date]]), 2))</f>
        <v>FY26</v>
      </c>
      <c r="K349">
        <f>IF(COUNTIFS(GiftData[Constituent_ID], GiftData[[#This Row],[Constituent_ID]], GiftData[Fiscal_Year], "FY24")&gt;0, 1, 0)</f>
        <v>0</v>
      </c>
      <c r="L349">
        <f>IF(COUNTIFS(GiftData[Constituent_ID], GiftData[[#This Row],[Constituent_ID]], GiftData[Fiscal_Year], "FY25")&gt;0, 1, 0)</f>
        <v>1</v>
      </c>
      <c r="M349">
        <f>IF(COUNTIFS(GiftData[Constituent_ID], GiftData[[#This Row],[Constituent_ID]], GiftData[Fiscal_Year], "FY26")&gt;0, 1, 0)</f>
        <v>1</v>
      </c>
      <c r="N349" t="str" cm="1">
        <f t="array" ref="N3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0" spans="1:14" x14ac:dyDescent="0.2">
      <c r="A350" t="s">
        <v>605</v>
      </c>
      <c r="B350" t="s">
        <v>606</v>
      </c>
      <c r="C350" t="s">
        <v>35</v>
      </c>
      <c r="D350" s="1">
        <v>45908</v>
      </c>
      <c r="E350">
        <v>45.06</v>
      </c>
      <c r="F350" t="s">
        <v>12</v>
      </c>
      <c r="G350" t="s">
        <v>13</v>
      </c>
      <c r="H350" t="s">
        <v>41</v>
      </c>
      <c r="I350" t="s">
        <v>38</v>
      </c>
      <c r="J350" t="str">
        <f>"FY" &amp; IF(MONTH(GiftData[[#This Row],[Gift_Date]])&gt;=7, RIGHT(YEAR(GiftData[[#This Row],[Gift_Date]])+1, 2), RIGHT(YEAR(GiftData[[#This Row],[Gift_Date]]), 2))</f>
        <v>FY26</v>
      </c>
      <c r="K350">
        <f>IF(COUNTIFS(GiftData[Constituent_ID], GiftData[[#This Row],[Constituent_ID]], GiftData[Fiscal_Year], "FY24")&gt;0, 1, 0)</f>
        <v>0</v>
      </c>
      <c r="L350">
        <f>IF(COUNTIFS(GiftData[Constituent_ID], GiftData[[#This Row],[Constituent_ID]], GiftData[Fiscal_Year], "FY25")&gt;0, 1, 0)</f>
        <v>1</v>
      </c>
      <c r="M350">
        <f>IF(COUNTIFS(GiftData[Constituent_ID], GiftData[[#This Row],[Constituent_ID]], GiftData[Fiscal_Year], "FY26")&gt;0, 1, 0)</f>
        <v>1</v>
      </c>
      <c r="N350" t="str" cm="1">
        <f t="array" ref="N3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1" spans="1:14" x14ac:dyDescent="0.2">
      <c r="A351" t="s">
        <v>607</v>
      </c>
      <c r="B351" t="s">
        <v>527</v>
      </c>
      <c r="C351" t="s">
        <v>48</v>
      </c>
      <c r="D351" s="1">
        <v>46132</v>
      </c>
      <c r="E351">
        <v>144.96</v>
      </c>
      <c r="F351" t="s">
        <v>12</v>
      </c>
      <c r="G351" t="s">
        <v>13</v>
      </c>
      <c r="H351" t="s">
        <v>20</v>
      </c>
      <c r="I351" t="s">
        <v>15</v>
      </c>
      <c r="J351" t="str">
        <f>"FY" &amp; IF(MONTH(GiftData[[#This Row],[Gift_Date]])&gt;=7, RIGHT(YEAR(GiftData[[#This Row],[Gift_Date]])+1, 2), RIGHT(YEAR(GiftData[[#This Row],[Gift_Date]]), 2))</f>
        <v>FY26</v>
      </c>
      <c r="K351">
        <f>IF(COUNTIFS(GiftData[Constituent_ID], GiftData[[#This Row],[Constituent_ID]], GiftData[Fiscal_Year], "FY24")&gt;0, 1, 0)</f>
        <v>1</v>
      </c>
      <c r="L351">
        <f>IF(COUNTIFS(GiftData[Constituent_ID], GiftData[[#This Row],[Constituent_ID]], GiftData[Fiscal_Year], "FY25")&gt;0, 1, 0)</f>
        <v>0</v>
      </c>
      <c r="M351">
        <f>IF(COUNTIFS(GiftData[Constituent_ID], GiftData[[#This Row],[Constituent_ID]], GiftData[Fiscal_Year], "FY26")&gt;0, 1, 0)</f>
        <v>1</v>
      </c>
      <c r="N351" t="str" cm="1">
        <f t="array" ref="N3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2" spans="1:14" x14ac:dyDescent="0.2">
      <c r="A352" t="s">
        <v>608</v>
      </c>
      <c r="B352" t="s">
        <v>609</v>
      </c>
      <c r="C352" t="s">
        <v>28</v>
      </c>
      <c r="D352" s="1">
        <v>45468</v>
      </c>
      <c r="E352">
        <v>16.739999999999998</v>
      </c>
      <c r="F352" t="s">
        <v>19</v>
      </c>
      <c r="G352" t="s">
        <v>13</v>
      </c>
      <c r="H352" t="s">
        <v>14</v>
      </c>
      <c r="I352" t="s">
        <v>56</v>
      </c>
      <c r="J352" t="str">
        <f>"FY" &amp; IF(MONTH(GiftData[[#This Row],[Gift_Date]])&gt;=7, RIGHT(YEAR(GiftData[[#This Row],[Gift_Date]])+1, 2), RIGHT(YEAR(GiftData[[#This Row],[Gift_Date]]), 2))</f>
        <v>FY24</v>
      </c>
      <c r="K352">
        <f>IF(COUNTIFS(GiftData[Constituent_ID], GiftData[[#This Row],[Constituent_ID]], GiftData[Fiscal_Year], "FY24")&gt;0, 1, 0)</f>
        <v>1</v>
      </c>
      <c r="L352">
        <f>IF(COUNTIFS(GiftData[Constituent_ID], GiftData[[#This Row],[Constituent_ID]], GiftData[Fiscal_Year], "FY25")&gt;0, 1, 0)</f>
        <v>1</v>
      </c>
      <c r="M352">
        <f>IF(COUNTIFS(GiftData[Constituent_ID], GiftData[[#This Row],[Constituent_ID]], GiftData[Fiscal_Year], "FY26")&gt;0, 1, 0)</f>
        <v>1</v>
      </c>
      <c r="N352" t="str" cm="1">
        <f t="array" ref="N3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3" spans="1:14" x14ac:dyDescent="0.2">
      <c r="A353" t="s">
        <v>610</v>
      </c>
      <c r="B353" t="s">
        <v>251</v>
      </c>
      <c r="C353" t="s">
        <v>35</v>
      </c>
      <c r="D353" s="1">
        <v>46117</v>
      </c>
      <c r="E353">
        <v>20.91</v>
      </c>
      <c r="F353" t="s">
        <v>59</v>
      </c>
      <c r="G353" t="s">
        <v>13</v>
      </c>
      <c r="H353" t="s">
        <v>20</v>
      </c>
      <c r="I353" t="s">
        <v>56</v>
      </c>
      <c r="J353" t="str">
        <f>"FY" &amp; IF(MONTH(GiftData[[#This Row],[Gift_Date]])&gt;=7, RIGHT(YEAR(GiftData[[#This Row],[Gift_Date]])+1, 2), RIGHT(YEAR(GiftData[[#This Row],[Gift_Date]]), 2))</f>
        <v>FY26</v>
      </c>
      <c r="K353">
        <f>IF(COUNTIFS(GiftData[Constituent_ID], GiftData[[#This Row],[Constituent_ID]], GiftData[Fiscal_Year], "FY24")&gt;0, 1, 0)</f>
        <v>1</v>
      </c>
      <c r="L353">
        <f>IF(COUNTIFS(GiftData[Constituent_ID], GiftData[[#This Row],[Constituent_ID]], GiftData[Fiscal_Year], "FY25")&gt;0, 1, 0)</f>
        <v>1</v>
      </c>
      <c r="M353">
        <f>IF(COUNTIFS(GiftData[Constituent_ID], GiftData[[#This Row],[Constituent_ID]], GiftData[Fiscal_Year], "FY26")&gt;0, 1, 0)</f>
        <v>1</v>
      </c>
      <c r="N353" t="str" cm="1">
        <f t="array" ref="N3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4" spans="1:14" x14ac:dyDescent="0.2">
      <c r="A354" t="s">
        <v>611</v>
      </c>
      <c r="B354" t="s">
        <v>85</v>
      </c>
      <c r="C354" t="s">
        <v>48</v>
      </c>
      <c r="D354" s="1">
        <v>45811</v>
      </c>
      <c r="E354">
        <v>86.55</v>
      </c>
      <c r="F354" t="s">
        <v>25</v>
      </c>
      <c r="G354" t="s">
        <v>29</v>
      </c>
      <c r="H354" t="s">
        <v>20</v>
      </c>
      <c r="I354" t="s">
        <v>38</v>
      </c>
      <c r="J354" t="str">
        <f>"FY" &amp; IF(MONTH(GiftData[[#This Row],[Gift_Date]])&gt;=7, RIGHT(YEAR(GiftData[[#This Row],[Gift_Date]])+1, 2), RIGHT(YEAR(GiftData[[#This Row],[Gift_Date]]), 2))</f>
        <v>FY25</v>
      </c>
      <c r="K354">
        <f>IF(COUNTIFS(GiftData[Constituent_ID], GiftData[[#This Row],[Constituent_ID]], GiftData[Fiscal_Year], "FY24")&gt;0, 1, 0)</f>
        <v>1</v>
      </c>
      <c r="L354">
        <f>IF(COUNTIFS(GiftData[Constituent_ID], GiftData[[#This Row],[Constituent_ID]], GiftData[Fiscal_Year], "FY25")&gt;0, 1, 0)</f>
        <v>1</v>
      </c>
      <c r="M354">
        <f>IF(COUNTIFS(GiftData[Constituent_ID], GiftData[[#This Row],[Constituent_ID]], GiftData[Fiscal_Year], "FY26")&gt;0, 1, 0)</f>
        <v>1</v>
      </c>
      <c r="N354" t="str" cm="1">
        <f t="array" ref="N3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5" spans="1:14" x14ac:dyDescent="0.2">
      <c r="A355" t="s">
        <v>612</v>
      </c>
      <c r="B355" t="s">
        <v>613</v>
      </c>
      <c r="C355" t="s">
        <v>28</v>
      </c>
      <c r="D355" s="1">
        <v>45682</v>
      </c>
      <c r="E355">
        <v>22.78</v>
      </c>
      <c r="F355" t="s">
        <v>12</v>
      </c>
      <c r="G355" t="s">
        <v>13</v>
      </c>
      <c r="H355" t="s">
        <v>14</v>
      </c>
      <c r="I355" t="s">
        <v>15</v>
      </c>
      <c r="J355" t="str">
        <f>"FY" &amp; IF(MONTH(GiftData[[#This Row],[Gift_Date]])&gt;=7, RIGHT(YEAR(GiftData[[#This Row],[Gift_Date]])+1, 2), RIGHT(YEAR(GiftData[[#This Row],[Gift_Date]]), 2))</f>
        <v>FY25</v>
      </c>
      <c r="K355">
        <f>IF(COUNTIFS(GiftData[Constituent_ID], GiftData[[#This Row],[Constituent_ID]], GiftData[Fiscal_Year], "FY24")&gt;0, 1, 0)</f>
        <v>0</v>
      </c>
      <c r="L355">
        <f>IF(COUNTIFS(GiftData[Constituent_ID], GiftData[[#This Row],[Constituent_ID]], GiftData[Fiscal_Year], "FY25")&gt;0, 1, 0)</f>
        <v>1</v>
      </c>
      <c r="M355">
        <f>IF(COUNTIFS(GiftData[Constituent_ID], GiftData[[#This Row],[Constituent_ID]], GiftData[Fiscal_Year], "FY26")&gt;0, 1, 0)</f>
        <v>1</v>
      </c>
      <c r="N355" t="str" cm="1">
        <f t="array" ref="N3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6" spans="1:14" x14ac:dyDescent="0.2">
      <c r="A356" t="s">
        <v>614</v>
      </c>
      <c r="B356" t="s">
        <v>257</v>
      </c>
      <c r="C356" t="s">
        <v>11</v>
      </c>
      <c r="D356" s="1">
        <v>45795</v>
      </c>
      <c r="E356">
        <v>25.33</v>
      </c>
      <c r="F356" t="s">
        <v>59</v>
      </c>
      <c r="G356" t="s">
        <v>29</v>
      </c>
      <c r="H356" t="s">
        <v>164</v>
      </c>
      <c r="I356" t="s">
        <v>38</v>
      </c>
      <c r="J356" t="str">
        <f>"FY" &amp; IF(MONTH(GiftData[[#This Row],[Gift_Date]])&gt;=7, RIGHT(YEAR(GiftData[[#This Row],[Gift_Date]])+1, 2), RIGHT(YEAR(GiftData[[#This Row],[Gift_Date]]), 2))</f>
        <v>FY25</v>
      </c>
      <c r="K356">
        <f>IF(COUNTIFS(GiftData[Constituent_ID], GiftData[[#This Row],[Constituent_ID]], GiftData[Fiscal_Year], "FY24")&gt;0, 1, 0)</f>
        <v>1</v>
      </c>
      <c r="L356">
        <f>IF(COUNTIFS(GiftData[Constituent_ID], GiftData[[#This Row],[Constituent_ID]], GiftData[Fiscal_Year], "FY25")&gt;0, 1, 0)</f>
        <v>1</v>
      </c>
      <c r="M356">
        <f>IF(COUNTIFS(GiftData[Constituent_ID], GiftData[[#This Row],[Constituent_ID]], GiftData[Fiscal_Year], "FY26")&gt;0, 1, 0)</f>
        <v>1</v>
      </c>
      <c r="N356" t="str" cm="1">
        <f t="array" ref="N3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7" spans="1:14" x14ac:dyDescent="0.2">
      <c r="A357" t="s">
        <v>615</v>
      </c>
      <c r="B357" t="s">
        <v>616</v>
      </c>
      <c r="C357" t="s">
        <v>35</v>
      </c>
      <c r="D357" s="1">
        <v>45888</v>
      </c>
      <c r="E357">
        <v>23</v>
      </c>
      <c r="F357" t="s">
        <v>12</v>
      </c>
      <c r="G357" t="s">
        <v>13</v>
      </c>
      <c r="H357" t="s">
        <v>20</v>
      </c>
      <c r="I357" t="s">
        <v>15</v>
      </c>
      <c r="J357" t="str">
        <f>"FY" &amp; IF(MONTH(GiftData[[#This Row],[Gift_Date]])&gt;=7, RIGHT(YEAR(GiftData[[#This Row],[Gift_Date]])+1, 2), RIGHT(YEAR(GiftData[[#This Row],[Gift_Date]]), 2))</f>
        <v>FY26</v>
      </c>
      <c r="K357">
        <f>IF(COUNTIFS(GiftData[Constituent_ID], GiftData[[#This Row],[Constituent_ID]], GiftData[Fiscal_Year], "FY24")&gt;0, 1, 0)</f>
        <v>0</v>
      </c>
      <c r="L357">
        <f>IF(COUNTIFS(GiftData[Constituent_ID], GiftData[[#This Row],[Constituent_ID]], GiftData[Fiscal_Year], "FY25")&gt;0, 1, 0)</f>
        <v>1</v>
      </c>
      <c r="M357">
        <f>IF(COUNTIFS(GiftData[Constituent_ID], GiftData[[#This Row],[Constituent_ID]], GiftData[Fiscal_Year], "FY26")&gt;0, 1, 0)</f>
        <v>1</v>
      </c>
      <c r="N357" t="str" cm="1">
        <f t="array" ref="N3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8" spans="1:14" x14ac:dyDescent="0.2">
      <c r="A358" t="s">
        <v>617</v>
      </c>
      <c r="B358" t="s">
        <v>79</v>
      </c>
      <c r="C358" t="s">
        <v>28</v>
      </c>
      <c r="D358" s="1">
        <v>45692</v>
      </c>
      <c r="E358">
        <v>40.42</v>
      </c>
      <c r="F358" t="s">
        <v>12</v>
      </c>
      <c r="G358" t="s">
        <v>13</v>
      </c>
      <c r="H358" t="s">
        <v>14</v>
      </c>
      <c r="I358" t="s">
        <v>38</v>
      </c>
      <c r="J358" t="str">
        <f>"FY" &amp; IF(MONTH(GiftData[[#This Row],[Gift_Date]])&gt;=7, RIGHT(YEAR(GiftData[[#This Row],[Gift_Date]])+1, 2), RIGHT(YEAR(GiftData[[#This Row],[Gift_Date]]), 2))</f>
        <v>FY25</v>
      </c>
      <c r="K358">
        <f>IF(COUNTIFS(GiftData[Constituent_ID], GiftData[[#This Row],[Constituent_ID]], GiftData[Fiscal_Year], "FY24")&gt;0, 1, 0)</f>
        <v>1</v>
      </c>
      <c r="L358">
        <f>IF(COUNTIFS(GiftData[Constituent_ID], GiftData[[#This Row],[Constituent_ID]], GiftData[Fiscal_Year], "FY25")&gt;0, 1, 0)</f>
        <v>1</v>
      </c>
      <c r="M358">
        <f>IF(COUNTIFS(GiftData[Constituent_ID], GiftData[[#This Row],[Constituent_ID]], GiftData[Fiscal_Year], "FY26")&gt;0, 1, 0)</f>
        <v>1</v>
      </c>
      <c r="N358" t="str" cm="1">
        <f t="array" ref="N3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59" spans="1:14" x14ac:dyDescent="0.2">
      <c r="A359" t="s">
        <v>618</v>
      </c>
      <c r="B359" t="s">
        <v>179</v>
      </c>
      <c r="C359" t="s">
        <v>28</v>
      </c>
      <c r="D359" s="1">
        <v>45696</v>
      </c>
      <c r="E359">
        <v>314.39</v>
      </c>
      <c r="F359" t="s">
        <v>25</v>
      </c>
      <c r="G359" t="s">
        <v>13</v>
      </c>
      <c r="H359" t="s">
        <v>41</v>
      </c>
      <c r="I359" t="s">
        <v>56</v>
      </c>
      <c r="J359" t="str">
        <f>"FY" &amp; IF(MONTH(GiftData[[#This Row],[Gift_Date]])&gt;=7, RIGHT(YEAR(GiftData[[#This Row],[Gift_Date]])+1, 2), RIGHT(YEAR(GiftData[[#This Row],[Gift_Date]]), 2))</f>
        <v>FY25</v>
      </c>
      <c r="K359">
        <f>IF(COUNTIFS(GiftData[Constituent_ID], GiftData[[#This Row],[Constituent_ID]], GiftData[Fiscal_Year], "FY24")&gt;0, 1, 0)</f>
        <v>0</v>
      </c>
      <c r="L359">
        <f>IF(COUNTIFS(GiftData[Constituent_ID], GiftData[[#This Row],[Constituent_ID]], GiftData[Fiscal_Year], "FY25")&gt;0, 1, 0)</f>
        <v>1</v>
      </c>
      <c r="M359">
        <f>IF(COUNTIFS(GiftData[Constituent_ID], GiftData[[#This Row],[Constituent_ID]], GiftData[Fiscal_Year], "FY26")&gt;0, 1, 0)</f>
        <v>1</v>
      </c>
      <c r="N359" t="str" cm="1">
        <f t="array" ref="N3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0" spans="1:14" x14ac:dyDescent="0.2">
      <c r="A360" t="s">
        <v>619</v>
      </c>
      <c r="B360" t="s">
        <v>50</v>
      </c>
      <c r="C360" t="s">
        <v>11</v>
      </c>
      <c r="D360" s="1">
        <v>45596</v>
      </c>
      <c r="E360">
        <v>420.91</v>
      </c>
      <c r="F360" t="s">
        <v>12</v>
      </c>
      <c r="G360" t="s">
        <v>13</v>
      </c>
      <c r="H360" t="s">
        <v>14</v>
      </c>
      <c r="I360" t="s">
        <v>15</v>
      </c>
      <c r="J360" t="str">
        <f>"FY" &amp; IF(MONTH(GiftData[[#This Row],[Gift_Date]])&gt;=7, RIGHT(YEAR(GiftData[[#This Row],[Gift_Date]])+1, 2), RIGHT(YEAR(GiftData[[#This Row],[Gift_Date]]), 2))</f>
        <v>FY25</v>
      </c>
      <c r="K360">
        <f>IF(COUNTIFS(GiftData[Constituent_ID], GiftData[[#This Row],[Constituent_ID]], GiftData[Fiscal_Year], "FY24")&gt;0, 1, 0)</f>
        <v>1</v>
      </c>
      <c r="L360">
        <f>IF(COUNTIFS(GiftData[Constituent_ID], GiftData[[#This Row],[Constituent_ID]], GiftData[Fiscal_Year], "FY25")&gt;0, 1, 0)</f>
        <v>1</v>
      </c>
      <c r="M360">
        <f>IF(COUNTIFS(GiftData[Constituent_ID], GiftData[[#This Row],[Constituent_ID]], GiftData[Fiscal_Year], "FY26")&gt;0, 1, 0)</f>
        <v>0</v>
      </c>
      <c r="N360" t="str" cm="1">
        <f t="array" ref="N3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61" spans="1:14" x14ac:dyDescent="0.2">
      <c r="A361" t="s">
        <v>620</v>
      </c>
      <c r="B361" t="s">
        <v>222</v>
      </c>
      <c r="C361" t="s">
        <v>35</v>
      </c>
      <c r="D361" s="1">
        <v>46078</v>
      </c>
      <c r="E361">
        <v>1472.48</v>
      </c>
      <c r="F361" t="s">
        <v>12</v>
      </c>
      <c r="G361" t="s">
        <v>29</v>
      </c>
      <c r="H361" t="s">
        <v>51</v>
      </c>
      <c r="I361" t="s">
        <v>15</v>
      </c>
      <c r="J361" t="str">
        <f>"FY" &amp; IF(MONTH(GiftData[[#This Row],[Gift_Date]])&gt;=7, RIGHT(YEAR(GiftData[[#This Row],[Gift_Date]])+1, 2), RIGHT(YEAR(GiftData[[#This Row],[Gift_Date]]), 2))</f>
        <v>FY26</v>
      </c>
      <c r="K361">
        <f>IF(COUNTIFS(GiftData[Constituent_ID], GiftData[[#This Row],[Constituent_ID]], GiftData[Fiscal_Year], "FY24")&gt;0, 1, 0)</f>
        <v>0</v>
      </c>
      <c r="L361">
        <f>IF(COUNTIFS(GiftData[Constituent_ID], GiftData[[#This Row],[Constituent_ID]], GiftData[Fiscal_Year], "FY25")&gt;0, 1, 0)</f>
        <v>1</v>
      </c>
      <c r="M361">
        <f>IF(COUNTIFS(GiftData[Constituent_ID], GiftData[[#This Row],[Constituent_ID]], GiftData[Fiscal_Year], "FY26")&gt;0, 1, 0)</f>
        <v>1</v>
      </c>
      <c r="N361" t="str" cm="1">
        <f t="array" ref="N3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2" spans="1:14" x14ac:dyDescent="0.2">
      <c r="A362" t="s">
        <v>621</v>
      </c>
      <c r="B362" t="s">
        <v>537</v>
      </c>
      <c r="C362" t="s">
        <v>18</v>
      </c>
      <c r="D362" s="1">
        <v>45601</v>
      </c>
      <c r="E362">
        <v>1403.99</v>
      </c>
      <c r="F362" t="s">
        <v>12</v>
      </c>
      <c r="G362" t="s">
        <v>13</v>
      </c>
      <c r="H362" t="s">
        <v>20</v>
      </c>
      <c r="I362" t="s">
        <v>15</v>
      </c>
      <c r="J362" t="str">
        <f>"FY" &amp; IF(MONTH(GiftData[[#This Row],[Gift_Date]])&gt;=7, RIGHT(YEAR(GiftData[[#This Row],[Gift_Date]])+1, 2), RIGHT(YEAR(GiftData[[#This Row],[Gift_Date]]), 2))</f>
        <v>FY25</v>
      </c>
      <c r="K362">
        <f>IF(COUNTIFS(GiftData[Constituent_ID], GiftData[[#This Row],[Constituent_ID]], GiftData[Fiscal_Year], "FY24")&gt;0, 1, 0)</f>
        <v>1</v>
      </c>
      <c r="L362">
        <f>IF(COUNTIFS(GiftData[Constituent_ID], GiftData[[#This Row],[Constituent_ID]], GiftData[Fiscal_Year], "FY25")&gt;0, 1, 0)</f>
        <v>1</v>
      </c>
      <c r="M362">
        <f>IF(COUNTIFS(GiftData[Constituent_ID], GiftData[[#This Row],[Constituent_ID]], GiftData[Fiscal_Year], "FY26")&gt;0, 1, 0)</f>
        <v>1</v>
      </c>
      <c r="N362" t="str" cm="1">
        <f t="array" ref="N3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3" spans="1:14" x14ac:dyDescent="0.2">
      <c r="A363" t="s">
        <v>622</v>
      </c>
      <c r="B363" t="s">
        <v>623</v>
      </c>
      <c r="C363" t="s">
        <v>48</v>
      </c>
      <c r="D363" s="1">
        <v>45126</v>
      </c>
      <c r="E363">
        <v>337.72</v>
      </c>
      <c r="F363" t="s">
        <v>12</v>
      </c>
      <c r="G363" t="s">
        <v>13</v>
      </c>
      <c r="H363" t="s">
        <v>164</v>
      </c>
      <c r="I363" t="s">
        <v>38</v>
      </c>
      <c r="J363" t="str">
        <f>"FY" &amp; IF(MONTH(GiftData[[#This Row],[Gift_Date]])&gt;=7, RIGHT(YEAR(GiftData[[#This Row],[Gift_Date]])+1, 2), RIGHT(YEAR(GiftData[[#This Row],[Gift_Date]]), 2))</f>
        <v>FY24</v>
      </c>
      <c r="K363">
        <f>IF(COUNTIFS(GiftData[Constituent_ID], GiftData[[#This Row],[Constituent_ID]], GiftData[Fiscal_Year], "FY24")&gt;0, 1, 0)</f>
        <v>1</v>
      </c>
      <c r="L363">
        <f>IF(COUNTIFS(GiftData[Constituent_ID], GiftData[[#This Row],[Constituent_ID]], GiftData[Fiscal_Year], "FY25")&gt;0, 1, 0)</f>
        <v>1</v>
      </c>
      <c r="M363">
        <f>IF(COUNTIFS(GiftData[Constituent_ID], GiftData[[#This Row],[Constituent_ID]], GiftData[Fiscal_Year], "FY26")&gt;0, 1, 0)</f>
        <v>0</v>
      </c>
      <c r="N363" t="str" cm="1">
        <f t="array" ref="N3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64" spans="1:14" x14ac:dyDescent="0.2">
      <c r="A364" t="s">
        <v>624</v>
      </c>
      <c r="B364" t="s">
        <v>230</v>
      </c>
      <c r="C364" t="s">
        <v>11</v>
      </c>
      <c r="D364" s="1">
        <v>45504</v>
      </c>
      <c r="E364">
        <v>462.19</v>
      </c>
      <c r="F364" t="s">
        <v>59</v>
      </c>
      <c r="G364" t="s">
        <v>13</v>
      </c>
      <c r="H364" t="s">
        <v>14</v>
      </c>
      <c r="I364" t="s">
        <v>15</v>
      </c>
      <c r="J364" t="str">
        <f>"FY" &amp; IF(MONTH(GiftData[[#This Row],[Gift_Date]])&gt;=7, RIGHT(YEAR(GiftData[[#This Row],[Gift_Date]])+1, 2), RIGHT(YEAR(GiftData[[#This Row],[Gift_Date]]), 2))</f>
        <v>FY25</v>
      </c>
      <c r="K364">
        <f>IF(COUNTIFS(GiftData[Constituent_ID], GiftData[[#This Row],[Constituent_ID]], GiftData[Fiscal_Year], "FY24")&gt;0, 1, 0)</f>
        <v>1</v>
      </c>
      <c r="L364">
        <f>IF(COUNTIFS(GiftData[Constituent_ID], GiftData[[#This Row],[Constituent_ID]], GiftData[Fiscal_Year], "FY25")&gt;0, 1, 0)</f>
        <v>1</v>
      </c>
      <c r="M364">
        <f>IF(COUNTIFS(GiftData[Constituent_ID], GiftData[[#This Row],[Constituent_ID]], GiftData[Fiscal_Year], "FY26")&gt;0, 1, 0)</f>
        <v>1</v>
      </c>
      <c r="N364" t="str" cm="1">
        <f t="array" ref="N3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5" spans="1:14" x14ac:dyDescent="0.2">
      <c r="A365" t="s">
        <v>625</v>
      </c>
      <c r="B365" t="s">
        <v>530</v>
      </c>
      <c r="C365" t="s">
        <v>18</v>
      </c>
      <c r="D365" s="1">
        <v>46108</v>
      </c>
      <c r="E365">
        <v>144.09</v>
      </c>
      <c r="F365" t="s">
        <v>12</v>
      </c>
      <c r="G365" t="s">
        <v>13</v>
      </c>
      <c r="H365" t="s">
        <v>20</v>
      </c>
      <c r="I365" t="s">
        <v>15</v>
      </c>
      <c r="J365" t="str">
        <f>"FY" &amp; IF(MONTH(GiftData[[#This Row],[Gift_Date]])&gt;=7, RIGHT(YEAR(GiftData[[#This Row],[Gift_Date]])+1, 2), RIGHT(YEAR(GiftData[[#This Row],[Gift_Date]]), 2))</f>
        <v>FY26</v>
      </c>
      <c r="K365">
        <f>IF(COUNTIFS(GiftData[Constituent_ID], GiftData[[#This Row],[Constituent_ID]], GiftData[Fiscal_Year], "FY24")&gt;0, 1, 0)</f>
        <v>1</v>
      </c>
      <c r="L365">
        <f>IF(COUNTIFS(GiftData[Constituent_ID], GiftData[[#This Row],[Constituent_ID]], GiftData[Fiscal_Year], "FY25")&gt;0, 1, 0)</f>
        <v>0</v>
      </c>
      <c r="M365">
        <f>IF(COUNTIFS(GiftData[Constituent_ID], GiftData[[#This Row],[Constituent_ID]], GiftData[Fiscal_Year], "FY26")&gt;0, 1, 0)</f>
        <v>1</v>
      </c>
      <c r="N365" t="str" cm="1">
        <f t="array" ref="N3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6" spans="1:14" x14ac:dyDescent="0.2">
      <c r="A366" t="s">
        <v>626</v>
      </c>
      <c r="B366" t="s">
        <v>333</v>
      </c>
      <c r="C366" t="s">
        <v>11</v>
      </c>
      <c r="D366" s="1">
        <v>45958</v>
      </c>
      <c r="E366">
        <v>238.85</v>
      </c>
      <c r="F366" t="s">
        <v>25</v>
      </c>
      <c r="G366" t="s">
        <v>29</v>
      </c>
      <c r="H366" t="s">
        <v>51</v>
      </c>
      <c r="I366" t="s">
        <v>15</v>
      </c>
      <c r="J366" t="str">
        <f>"FY" &amp; IF(MONTH(GiftData[[#This Row],[Gift_Date]])&gt;=7, RIGHT(YEAR(GiftData[[#This Row],[Gift_Date]])+1, 2), RIGHT(YEAR(GiftData[[#This Row],[Gift_Date]]), 2))</f>
        <v>FY26</v>
      </c>
      <c r="K366">
        <f>IF(COUNTIFS(GiftData[Constituent_ID], GiftData[[#This Row],[Constituent_ID]], GiftData[Fiscal_Year], "FY24")&gt;0, 1, 0)</f>
        <v>1</v>
      </c>
      <c r="L366">
        <f>IF(COUNTIFS(GiftData[Constituent_ID], GiftData[[#This Row],[Constituent_ID]], GiftData[Fiscal_Year], "FY25")&gt;0, 1, 0)</f>
        <v>1</v>
      </c>
      <c r="M366">
        <f>IF(COUNTIFS(GiftData[Constituent_ID], GiftData[[#This Row],[Constituent_ID]], GiftData[Fiscal_Year], "FY26")&gt;0, 1, 0)</f>
        <v>1</v>
      </c>
      <c r="N366" t="str" cm="1">
        <f t="array" ref="N3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7" spans="1:14" x14ac:dyDescent="0.2">
      <c r="A367" t="s">
        <v>627</v>
      </c>
      <c r="B367" t="s">
        <v>257</v>
      </c>
      <c r="C367" t="s">
        <v>18</v>
      </c>
      <c r="D367" s="1">
        <v>45929</v>
      </c>
      <c r="E367">
        <v>1520.33</v>
      </c>
      <c r="F367" t="s">
        <v>12</v>
      </c>
      <c r="G367" t="s">
        <v>29</v>
      </c>
      <c r="H367" t="s">
        <v>14</v>
      </c>
      <c r="I367" t="s">
        <v>38</v>
      </c>
      <c r="J367" t="str">
        <f>"FY" &amp; IF(MONTH(GiftData[[#This Row],[Gift_Date]])&gt;=7, RIGHT(YEAR(GiftData[[#This Row],[Gift_Date]])+1, 2), RIGHT(YEAR(GiftData[[#This Row],[Gift_Date]]), 2))</f>
        <v>FY26</v>
      </c>
      <c r="K367">
        <f>IF(COUNTIFS(GiftData[Constituent_ID], GiftData[[#This Row],[Constituent_ID]], GiftData[Fiscal_Year], "FY24")&gt;0, 1, 0)</f>
        <v>1</v>
      </c>
      <c r="L367">
        <f>IF(COUNTIFS(GiftData[Constituent_ID], GiftData[[#This Row],[Constituent_ID]], GiftData[Fiscal_Year], "FY25")&gt;0, 1, 0)</f>
        <v>1</v>
      </c>
      <c r="M367">
        <f>IF(COUNTIFS(GiftData[Constituent_ID], GiftData[[#This Row],[Constituent_ID]], GiftData[Fiscal_Year], "FY26")&gt;0, 1, 0)</f>
        <v>1</v>
      </c>
      <c r="N367" t="str" cm="1">
        <f t="array" ref="N3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68" spans="1:14" x14ac:dyDescent="0.2">
      <c r="A368" t="s">
        <v>628</v>
      </c>
      <c r="B368" t="s">
        <v>81</v>
      </c>
      <c r="C368" t="s">
        <v>28</v>
      </c>
      <c r="D368" s="1">
        <v>45562</v>
      </c>
      <c r="E368">
        <v>196.88</v>
      </c>
      <c r="F368" t="s">
        <v>12</v>
      </c>
      <c r="G368" t="s">
        <v>13</v>
      </c>
      <c r="H368" t="s">
        <v>14</v>
      </c>
      <c r="I368" t="s">
        <v>15</v>
      </c>
      <c r="J368" t="str">
        <f>"FY" &amp; IF(MONTH(GiftData[[#This Row],[Gift_Date]])&gt;=7, RIGHT(YEAR(GiftData[[#This Row],[Gift_Date]])+1, 2), RIGHT(YEAR(GiftData[[#This Row],[Gift_Date]]), 2))</f>
        <v>FY25</v>
      </c>
      <c r="K368">
        <f>IF(COUNTIFS(GiftData[Constituent_ID], GiftData[[#This Row],[Constituent_ID]], GiftData[Fiscal_Year], "FY24")&gt;0, 1, 0)</f>
        <v>1</v>
      </c>
      <c r="L368">
        <f>IF(COUNTIFS(GiftData[Constituent_ID], GiftData[[#This Row],[Constituent_ID]], GiftData[Fiscal_Year], "FY25")&gt;0, 1, 0)</f>
        <v>1</v>
      </c>
      <c r="M368">
        <f>IF(COUNTIFS(GiftData[Constituent_ID], GiftData[[#This Row],[Constituent_ID]], GiftData[Fiscal_Year], "FY26")&gt;0, 1, 0)</f>
        <v>0</v>
      </c>
      <c r="N368" t="str" cm="1">
        <f t="array" ref="N3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69" spans="1:14" x14ac:dyDescent="0.2">
      <c r="A369" t="s">
        <v>629</v>
      </c>
      <c r="B369" t="s">
        <v>445</v>
      </c>
      <c r="C369" t="s">
        <v>48</v>
      </c>
      <c r="D369" s="1">
        <v>45832</v>
      </c>
      <c r="E369">
        <v>544.14</v>
      </c>
      <c r="F369" t="s">
        <v>12</v>
      </c>
      <c r="G369" t="s">
        <v>13</v>
      </c>
      <c r="H369" t="s">
        <v>41</v>
      </c>
      <c r="I369" t="s">
        <v>38</v>
      </c>
      <c r="J369" t="str">
        <f>"FY" &amp; IF(MONTH(GiftData[[#This Row],[Gift_Date]])&gt;=7, RIGHT(YEAR(GiftData[[#This Row],[Gift_Date]])+1, 2), RIGHT(YEAR(GiftData[[#This Row],[Gift_Date]]), 2))</f>
        <v>FY25</v>
      </c>
      <c r="K369">
        <f>IF(COUNTIFS(GiftData[Constituent_ID], GiftData[[#This Row],[Constituent_ID]], GiftData[Fiscal_Year], "FY24")&gt;0, 1, 0)</f>
        <v>0</v>
      </c>
      <c r="L369">
        <f>IF(COUNTIFS(GiftData[Constituent_ID], GiftData[[#This Row],[Constituent_ID]], GiftData[Fiscal_Year], "FY25")&gt;0, 1, 0)</f>
        <v>1</v>
      </c>
      <c r="M369">
        <f>IF(COUNTIFS(GiftData[Constituent_ID], GiftData[[#This Row],[Constituent_ID]], GiftData[Fiscal_Year], "FY26")&gt;0, 1, 0)</f>
        <v>1</v>
      </c>
      <c r="N369" t="str" cm="1">
        <f t="array" ref="N3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0" spans="1:14" x14ac:dyDescent="0.2">
      <c r="A370" t="s">
        <v>630</v>
      </c>
      <c r="B370" t="s">
        <v>456</v>
      </c>
      <c r="C370" t="s">
        <v>35</v>
      </c>
      <c r="D370" s="1">
        <v>45818</v>
      </c>
      <c r="E370">
        <v>36.07</v>
      </c>
      <c r="F370" t="s">
        <v>25</v>
      </c>
      <c r="G370" t="s">
        <v>13</v>
      </c>
      <c r="H370" t="s">
        <v>14</v>
      </c>
      <c r="I370" t="s">
        <v>15</v>
      </c>
      <c r="J370" t="str">
        <f>"FY" &amp; IF(MONTH(GiftData[[#This Row],[Gift_Date]])&gt;=7, RIGHT(YEAR(GiftData[[#This Row],[Gift_Date]])+1, 2), RIGHT(YEAR(GiftData[[#This Row],[Gift_Date]]), 2))</f>
        <v>FY25</v>
      </c>
      <c r="K370">
        <f>IF(COUNTIFS(GiftData[Constituent_ID], GiftData[[#This Row],[Constituent_ID]], GiftData[Fiscal_Year], "FY24")&gt;0, 1, 0)</f>
        <v>1</v>
      </c>
      <c r="L370">
        <f>IF(COUNTIFS(GiftData[Constituent_ID], GiftData[[#This Row],[Constituent_ID]], GiftData[Fiscal_Year], "FY25")&gt;0, 1, 0)</f>
        <v>1</v>
      </c>
      <c r="M370">
        <f>IF(COUNTIFS(GiftData[Constituent_ID], GiftData[[#This Row],[Constituent_ID]], GiftData[Fiscal_Year], "FY26")&gt;0, 1, 0)</f>
        <v>1</v>
      </c>
      <c r="N370" t="str" cm="1">
        <f t="array" ref="N3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1" spans="1:14" x14ac:dyDescent="0.2">
      <c r="A371" t="s">
        <v>631</v>
      </c>
      <c r="B371" t="s">
        <v>632</v>
      </c>
      <c r="C371" t="s">
        <v>18</v>
      </c>
      <c r="D371" s="1">
        <v>45250</v>
      </c>
      <c r="E371">
        <v>51.11</v>
      </c>
      <c r="F371" t="s">
        <v>25</v>
      </c>
      <c r="G371" t="s">
        <v>13</v>
      </c>
      <c r="H371" t="s">
        <v>20</v>
      </c>
      <c r="I371" t="s">
        <v>38</v>
      </c>
      <c r="J371" t="str">
        <f>"FY" &amp; IF(MONTH(GiftData[[#This Row],[Gift_Date]])&gt;=7, RIGHT(YEAR(GiftData[[#This Row],[Gift_Date]])+1, 2), RIGHT(YEAR(GiftData[[#This Row],[Gift_Date]]), 2))</f>
        <v>FY24</v>
      </c>
      <c r="K371">
        <f>IF(COUNTIFS(GiftData[Constituent_ID], GiftData[[#This Row],[Constituent_ID]], GiftData[Fiscal_Year], "FY24")&gt;0, 1, 0)</f>
        <v>1</v>
      </c>
      <c r="L371">
        <f>IF(COUNTIFS(GiftData[Constituent_ID], GiftData[[#This Row],[Constituent_ID]], GiftData[Fiscal_Year], "FY25")&gt;0, 1, 0)</f>
        <v>1</v>
      </c>
      <c r="M371">
        <f>IF(COUNTIFS(GiftData[Constituent_ID], GiftData[[#This Row],[Constituent_ID]], GiftData[Fiscal_Year], "FY26")&gt;0, 1, 0)</f>
        <v>1</v>
      </c>
      <c r="N371" t="str" cm="1">
        <f t="array" ref="N3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2" spans="1:14" x14ac:dyDescent="0.2">
      <c r="A372" t="s">
        <v>633</v>
      </c>
      <c r="B372" t="s">
        <v>134</v>
      </c>
      <c r="C372" t="s">
        <v>18</v>
      </c>
      <c r="D372" s="1">
        <v>46024</v>
      </c>
      <c r="E372">
        <v>182.31</v>
      </c>
      <c r="F372" t="s">
        <v>59</v>
      </c>
      <c r="G372" t="s">
        <v>29</v>
      </c>
      <c r="H372" t="s">
        <v>41</v>
      </c>
      <c r="I372" t="s">
        <v>30</v>
      </c>
      <c r="J372" t="str">
        <f>"FY" &amp; IF(MONTH(GiftData[[#This Row],[Gift_Date]])&gt;=7, RIGHT(YEAR(GiftData[[#This Row],[Gift_Date]])+1, 2), RIGHT(YEAR(GiftData[[#This Row],[Gift_Date]]), 2))</f>
        <v>FY26</v>
      </c>
      <c r="K372">
        <f>IF(COUNTIFS(GiftData[Constituent_ID], GiftData[[#This Row],[Constituent_ID]], GiftData[Fiscal_Year], "FY24")&gt;0, 1, 0)</f>
        <v>1</v>
      </c>
      <c r="L372">
        <f>IF(COUNTIFS(GiftData[Constituent_ID], GiftData[[#This Row],[Constituent_ID]], GiftData[Fiscal_Year], "FY25")&gt;0, 1, 0)</f>
        <v>0</v>
      </c>
      <c r="M372">
        <f>IF(COUNTIFS(GiftData[Constituent_ID], GiftData[[#This Row],[Constituent_ID]], GiftData[Fiscal_Year], "FY26")&gt;0, 1, 0)</f>
        <v>1</v>
      </c>
      <c r="N372" t="str" cm="1">
        <f t="array" ref="N3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3" spans="1:14" x14ac:dyDescent="0.2">
      <c r="A373" t="s">
        <v>634</v>
      </c>
      <c r="B373" t="s">
        <v>154</v>
      </c>
      <c r="C373" t="s">
        <v>35</v>
      </c>
      <c r="D373" s="1">
        <v>45935</v>
      </c>
      <c r="E373">
        <v>147.66</v>
      </c>
      <c r="F373" t="s">
        <v>25</v>
      </c>
      <c r="G373" t="s">
        <v>13</v>
      </c>
      <c r="H373" t="s">
        <v>20</v>
      </c>
      <c r="I373" t="s">
        <v>15</v>
      </c>
      <c r="J373" t="str">
        <f>"FY" &amp; IF(MONTH(GiftData[[#This Row],[Gift_Date]])&gt;=7, RIGHT(YEAR(GiftData[[#This Row],[Gift_Date]])+1, 2), RIGHT(YEAR(GiftData[[#This Row],[Gift_Date]]), 2))</f>
        <v>FY26</v>
      </c>
      <c r="K373">
        <f>IF(COUNTIFS(GiftData[Constituent_ID], GiftData[[#This Row],[Constituent_ID]], GiftData[Fiscal_Year], "FY24")&gt;0, 1, 0)</f>
        <v>0</v>
      </c>
      <c r="L373">
        <f>IF(COUNTIFS(GiftData[Constituent_ID], GiftData[[#This Row],[Constituent_ID]], GiftData[Fiscal_Year], "FY25")&gt;0, 1, 0)</f>
        <v>0</v>
      </c>
      <c r="M373">
        <f>IF(COUNTIFS(GiftData[Constituent_ID], GiftData[[#This Row],[Constituent_ID]], GiftData[Fiscal_Year], "FY26")&gt;0, 1, 0)</f>
        <v>1</v>
      </c>
      <c r="N373" t="str" cm="1">
        <f t="array" ref="N3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4" spans="1:14" x14ac:dyDescent="0.2">
      <c r="A374" t="s">
        <v>635</v>
      </c>
      <c r="B374" t="s">
        <v>166</v>
      </c>
      <c r="C374" t="s">
        <v>48</v>
      </c>
      <c r="D374" s="1">
        <v>45712</v>
      </c>
      <c r="E374">
        <v>54.28</v>
      </c>
      <c r="F374" t="s">
        <v>12</v>
      </c>
      <c r="G374" t="s">
        <v>13</v>
      </c>
      <c r="H374" t="s">
        <v>51</v>
      </c>
      <c r="I374" t="s">
        <v>15</v>
      </c>
      <c r="J374" t="str">
        <f>"FY" &amp; IF(MONTH(GiftData[[#This Row],[Gift_Date]])&gt;=7, RIGHT(YEAR(GiftData[[#This Row],[Gift_Date]])+1, 2), RIGHT(YEAR(GiftData[[#This Row],[Gift_Date]]), 2))</f>
        <v>FY25</v>
      </c>
      <c r="K374">
        <f>IF(COUNTIFS(GiftData[Constituent_ID], GiftData[[#This Row],[Constituent_ID]], GiftData[Fiscal_Year], "FY24")&gt;0, 1, 0)</f>
        <v>1</v>
      </c>
      <c r="L374">
        <f>IF(COUNTIFS(GiftData[Constituent_ID], GiftData[[#This Row],[Constituent_ID]], GiftData[Fiscal_Year], "FY25")&gt;0, 1, 0)</f>
        <v>1</v>
      </c>
      <c r="M374">
        <f>IF(COUNTIFS(GiftData[Constituent_ID], GiftData[[#This Row],[Constituent_ID]], GiftData[Fiscal_Year], "FY26")&gt;0, 1, 0)</f>
        <v>1</v>
      </c>
      <c r="N374" t="str" cm="1">
        <f t="array" ref="N3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5" spans="1:14" x14ac:dyDescent="0.2">
      <c r="A375" t="s">
        <v>636</v>
      </c>
      <c r="B375" t="s">
        <v>37</v>
      </c>
      <c r="C375" t="s">
        <v>11</v>
      </c>
      <c r="D375" s="1">
        <v>45412</v>
      </c>
      <c r="E375">
        <v>2778.29</v>
      </c>
      <c r="F375" t="s">
        <v>25</v>
      </c>
      <c r="G375" t="s">
        <v>13</v>
      </c>
      <c r="H375" t="s">
        <v>164</v>
      </c>
      <c r="I375" t="s">
        <v>56</v>
      </c>
      <c r="J375" t="str">
        <f>"FY" &amp; IF(MONTH(GiftData[[#This Row],[Gift_Date]])&gt;=7, RIGHT(YEAR(GiftData[[#This Row],[Gift_Date]])+1, 2), RIGHT(YEAR(GiftData[[#This Row],[Gift_Date]]), 2))</f>
        <v>FY24</v>
      </c>
      <c r="K375">
        <f>IF(COUNTIFS(GiftData[Constituent_ID], GiftData[[#This Row],[Constituent_ID]], GiftData[Fiscal_Year], "FY24")&gt;0, 1, 0)</f>
        <v>1</v>
      </c>
      <c r="L375">
        <f>IF(COUNTIFS(GiftData[Constituent_ID], GiftData[[#This Row],[Constituent_ID]], GiftData[Fiscal_Year], "FY25")&gt;0, 1, 0)</f>
        <v>0</v>
      </c>
      <c r="M375">
        <f>IF(COUNTIFS(GiftData[Constituent_ID], GiftData[[#This Row],[Constituent_ID]], GiftData[Fiscal_Year], "FY26")&gt;0, 1, 0)</f>
        <v>0</v>
      </c>
      <c r="N375" t="str" cm="1">
        <f t="array" ref="N3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376" spans="1:14" x14ac:dyDescent="0.2">
      <c r="A376" t="s">
        <v>637</v>
      </c>
      <c r="B376" t="s">
        <v>91</v>
      </c>
      <c r="C376" t="s">
        <v>11</v>
      </c>
      <c r="D376" s="1">
        <v>45843</v>
      </c>
      <c r="E376">
        <v>152.07</v>
      </c>
      <c r="F376" t="s">
        <v>59</v>
      </c>
      <c r="G376" t="s">
        <v>29</v>
      </c>
      <c r="H376" t="s">
        <v>14</v>
      </c>
      <c r="I376" t="s">
        <v>15</v>
      </c>
      <c r="J376" t="str">
        <f>"FY" &amp; IF(MONTH(GiftData[[#This Row],[Gift_Date]])&gt;=7, RIGHT(YEAR(GiftData[[#This Row],[Gift_Date]])+1, 2), RIGHT(YEAR(GiftData[[#This Row],[Gift_Date]]), 2))</f>
        <v>FY26</v>
      </c>
      <c r="K376">
        <f>IF(COUNTIFS(GiftData[Constituent_ID], GiftData[[#This Row],[Constituent_ID]], GiftData[Fiscal_Year], "FY24")&gt;0, 1, 0)</f>
        <v>0</v>
      </c>
      <c r="L376">
        <f>IF(COUNTIFS(GiftData[Constituent_ID], GiftData[[#This Row],[Constituent_ID]], GiftData[Fiscal_Year], "FY25")&gt;0, 1, 0)</f>
        <v>1</v>
      </c>
      <c r="M376">
        <f>IF(COUNTIFS(GiftData[Constituent_ID], GiftData[[#This Row],[Constituent_ID]], GiftData[Fiscal_Year], "FY26")&gt;0, 1, 0)</f>
        <v>1</v>
      </c>
      <c r="N376" t="str" cm="1">
        <f t="array" ref="N3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7" spans="1:14" x14ac:dyDescent="0.2">
      <c r="A377" t="s">
        <v>638</v>
      </c>
      <c r="B377" t="s">
        <v>379</v>
      </c>
      <c r="C377" t="s">
        <v>11</v>
      </c>
      <c r="D377" s="1">
        <v>45398</v>
      </c>
      <c r="E377">
        <v>68.34</v>
      </c>
      <c r="F377" t="s">
        <v>25</v>
      </c>
      <c r="G377" t="s">
        <v>13</v>
      </c>
      <c r="H377" t="s">
        <v>14</v>
      </c>
      <c r="I377" t="s">
        <v>15</v>
      </c>
      <c r="J377" t="str">
        <f>"FY" &amp; IF(MONTH(GiftData[[#This Row],[Gift_Date]])&gt;=7, RIGHT(YEAR(GiftData[[#This Row],[Gift_Date]])+1, 2), RIGHT(YEAR(GiftData[[#This Row],[Gift_Date]]), 2))</f>
        <v>FY24</v>
      </c>
      <c r="K377">
        <f>IF(COUNTIFS(GiftData[Constituent_ID], GiftData[[#This Row],[Constituent_ID]], GiftData[Fiscal_Year], "FY24")&gt;0, 1, 0)</f>
        <v>1</v>
      </c>
      <c r="L377">
        <f>IF(COUNTIFS(GiftData[Constituent_ID], GiftData[[#This Row],[Constituent_ID]], GiftData[Fiscal_Year], "FY25")&gt;0, 1, 0)</f>
        <v>1</v>
      </c>
      <c r="M377">
        <f>IF(COUNTIFS(GiftData[Constituent_ID], GiftData[[#This Row],[Constituent_ID]], GiftData[Fiscal_Year], "FY26")&gt;0, 1, 0)</f>
        <v>1</v>
      </c>
      <c r="N377" t="str" cm="1">
        <f t="array" ref="N3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78" spans="1:14" x14ac:dyDescent="0.2">
      <c r="A378" t="s">
        <v>639</v>
      </c>
      <c r="B378" t="s">
        <v>640</v>
      </c>
      <c r="C378" t="s">
        <v>35</v>
      </c>
      <c r="D378" s="1">
        <v>45209</v>
      </c>
      <c r="E378">
        <v>147.97999999999999</v>
      </c>
      <c r="F378" t="s">
        <v>12</v>
      </c>
      <c r="G378" t="s">
        <v>13</v>
      </c>
      <c r="H378" t="s">
        <v>20</v>
      </c>
      <c r="I378" t="s">
        <v>56</v>
      </c>
      <c r="J378" t="str">
        <f>"FY" &amp; IF(MONTH(GiftData[[#This Row],[Gift_Date]])&gt;=7, RIGHT(YEAR(GiftData[[#This Row],[Gift_Date]])+1, 2), RIGHT(YEAR(GiftData[[#This Row],[Gift_Date]]), 2))</f>
        <v>FY24</v>
      </c>
      <c r="K378">
        <f>IF(COUNTIFS(GiftData[Constituent_ID], GiftData[[#This Row],[Constituent_ID]], GiftData[Fiscal_Year], "FY24")&gt;0, 1, 0)</f>
        <v>1</v>
      </c>
      <c r="L378">
        <f>IF(COUNTIFS(GiftData[Constituent_ID], GiftData[[#This Row],[Constituent_ID]], GiftData[Fiscal_Year], "FY25")&gt;0, 1, 0)</f>
        <v>1</v>
      </c>
      <c r="M378">
        <f>IF(COUNTIFS(GiftData[Constituent_ID], GiftData[[#This Row],[Constituent_ID]], GiftData[Fiscal_Year], "FY26")&gt;0, 1, 0)</f>
        <v>0</v>
      </c>
      <c r="N378" t="str" cm="1">
        <f t="array" ref="N3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79" spans="1:14" x14ac:dyDescent="0.2">
      <c r="A379" t="s">
        <v>641</v>
      </c>
      <c r="B379" t="s">
        <v>419</v>
      </c>
      <c r="C379" t="s">
        <v>28</v>
      </c>
      <c r="D379" s="1">
        <v>45974</v>
      </c>
      <c r="E379">
        <v>125.59</v>
      </c>
      <c r="F379" t="s">
        <v>12</v>
      </c>
      <c r="G379" t="s">
        <v>13</v>
      </c>
      <c r="H379" t="s">
        <v>20</v>
      </c>
      <c r="I379" t="s">
        <v>30</v>
      </c>
      <c r="J379" t="str">
        <f>"FY" &amp; IF(MONTH(GiftData[[#This Row],[Gift_Date]])&gt;=7, RIGHT(YEAR(GiftData[[#This Row],[Gift_Date]])+1, 2), RIGHT(YEAR(GiftData[[#This Row],[Gift_Date]]), 2))</f>
        <v>FY26</v>
      </c>
      <c r="K379">
        <f>IF(COUNTIFS(GiftData[Constituent_ID], GiftData[[#This Row],[Constituent_ID]], GiftData[Fiscal_Year], "FY24")&gt;0, 1, 0)</f>
        <v>0</v>
      </c>
      <c r="L379">
        <f>IF(COUNTIFS(GiftData[Constituent_ID], GiftData[[#This Row],[Constituent_ID]], GiftData[Fiscal_Year], "FY25")&gt;0, 1, 0)</f>
        <v>1</v>
      </c>
      <c r="M379">
        <f>IF(COUNTIFS(GiftData[Constituent_ID], GiftData[[#This Row],[Constituent_ID]], GiftData[Fiscal_Year], "FY26")&gt;0, 1, 0)</f>
        <v>1</v>
      </c>
      <c r="N379" t="str" cm="1">
        <f t="array" ref="N3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0" spans="1:14" x14ac:dyDescent="0.2">
      <c r="A380" t="s">
        <v>642</v>
      </c>
      <c r="B380" t="s">
        <v>613</v>
      </c>
      <c r="C380" t="s">
        <v>11</v>
      </c>
      <c r="D380" s="1">
        <v>46075</v>
      </c>
      <c r="E380">
        <v>155.11000000000001</v>
      </c>
      <c r="F380" t="s">
        <v>25</v>
      </c>
      <c r="G380" t="s">
        <v>13</v>
      </c>
      <c r="H380" t="s">
        <v>164</v>
      </c>
      <c r="I380" t="s">
        <v>38</v>
      </c>
      <c r="J380" t="str">
        <f>"FY" &amp; IF(MONTH(GiftData[[#This Row],[Gift_Date]])&gt;=7, RIGHT(YEAR(GiftData[[#This Row],[Gift_Date]])+1, 2), RIGHT(YEAR(GiftData[[#This Row],[Gift_Date]]), 2))</f>
        <v>FY26</v>
      </c>
      <c r="K380">
        <f>IF(COUNTIFS(GiftData[Constituent_ID], GiftData[[#This Row],[Constituent_ID]], GiftData[Fiscal_Year], "FY24")&gt;0, 1, 0)</f>
        <v>0</v>
      </c>
      <c r="L380">
        <f>IF(COUNTIFS(GiftData[Constituent_ID], GiftData[[#This Row],[Constituent_ID]], GiftData[Fiscal_Year], "FY25")&gt;0, 1, 0)</f>
        <v>1</v>
      </c>
      <c r="M380">
        <f>IF(COUNTIFS(GiftData[Constituent_ID], GiftData[[#This Row],[Constituent_ID]], GiftData[Fiscal_Year], "FY26")&gt;0, 1, 0)</f>
        <v>1</v>
      </c>
      <c r="N380" t="str" cm="1">
        <f t="array" ref="N3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1" spans="1:14" x14ac:dyDescent="0.2">
      <c r="A381" t="s">
        <v>643</v>
      </c>
      <c r="B381" t="s">
        <v>644</v>
      </c>
      <c r="C381" t="s">
        <v>11</v>
      </c>
      <c r="D381" s="1">
        <v>46081</v>
      </c>
      <c r="E381">
        <v>15.3</v>
      </c>
      <c r="F381" t="s">
        <v>25</v>
      </c>
      <c r="G381" t="s">
        <v>13</v>
      </c>
      <c r="H381" t="s">
        <v>20</v>
      </c>
      <c r="I381" t="s">
        <v>15</v>
      </c>
      <c r="J381" t="str">
        <f>"FY" &amp; IF(MONTH(GiftData[[#This Row],[Gift_Date]])&gt;=7, RIGHT(YEAR(GiftData[[#This Row],[Gift_Date]])+1, 2), RIGHT(YEAR(GiftData[[#This Row],[Gift_Date]]), 2))</f>
        <v>FY26</v>
      </c>
      <c r="K381">
        <f>IF(COUNTIFS(GiftData[Constituent_ID], GiftData[[#This Row],[Constituent_ID]], GiftData[Fiscal_Year], "FY24")&gt;0, 1, 0)</f>
        <v>1</v>
      </c>
      <c r="L381">
        <f>IF(COUNTIFS(GiftData[Constituent_ID], GiftData[[#This Row],[Constituent_ID]], GiftData[Fiscal_Year], "FY25")&gt;0, 1, 0)</f>
        <v>1</v>
      </c>
      <c r="M381">
        <f>IF(COUNTIFS(GiftData[Constituent_ID], GiftData[[#This Row],[Constituent_ID]], GiftData[Fiscal_Year], "FY26")&gt;0, 1, 0)</f>
        <v>1</v>
      </c>
      <c r="N381" t="str" cm="1">
        <f t="array" ref="N3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2" spans="1:14" x14ac:dyDescent="0.2">
      <c r="A382" t="s">
        <v>645</v>
      </c>
      <c r="B382" t="s">
        <v>613</v>
      </c>
      <c r="C382" t="s">
        <v>35</v>
      </c>
      <c r="D382" s="1">
        <v>45949</v>
      </c>
      <c r="E382">
        <v>651.66999999999996</v>
      </c>
      <c r="F382" t="s">
        <v>12</v>
      </c>
      <c r="G382" t="s">
        <v>13</v>
      </c>
      <c r="H382" t="s">
        <v>14</v>
      </c>
      <c r="I382" t="s">
        <v>15</v>
      </c>
      <c r="J382" t="str">
        <f>"FY" &amp; IF(MONTH(GiftData[[#This Row],[Gift_Date]])&gt;=7, RIGHT(YEAR(GiftData[[#This Row],[Gift_Date]])+1, 2), RIGHT(YEAR(GiftData[[#This Row],[Gift_Date]]), 2))</f>
        <v>FY26</v>
      </c>
      <c r="K382">
        <f>IF(COUNTIFS(GiftData[Constituent_ID], GiftData[[#This Row],[Constituent_ID]], GiftData[Fiscal_Year], "FY24")&gt;0, 1, 0)</f>
        <v>0</v>
      </c>
      <c r="L382">
        <f>IF(COUNTIFS(GiftData[Constituent_ID], GiftData[[#This Row],[Constituent_ID]], GiftData[Fiscal_Year], "FY25")&gt;0, 1, 0)</f>
        <v>1</v>
      </c>
      <c r="M382">
        <f>IF(COUNTIFS(GiftData[Constituent_ID], GiftData[[#This Row],[Constituent_ID]], GiftData[Fiscal_Year], "FY26")&gt;0, 1, 0)</f>
        <v>1</v>
      </c>
      <c r="N382" t="str" cm="1">
        <f t="array" ref="N3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3" spans="1:14" x14ac:dyDescent="0.2">
      <c r="A383" t="s">
        <v>646</v>
      </c>
      <c r="B383" t="s">
        <v>616</v>
      </c>
      <c r="C383" t="s">
        <v>18</v>
      </c>
      <c r="D383" s="1">
        <v>46069</v>
      </c>
      <c r="E383">
        <v>701.68</v>
      </c>
      <c r="F383" t="s">
        <v>59</v>
      </c>
      <c r="G383" t="s">
        <v>13</v>
      </c>
      <c r="H383" t="s">
        <v>51</v>
      </c>
      <c r="I383" t="s">
        <v>15</v>
      </c>
      <c r="J383" t="str">
        <f>"FY" &amp; IF(MONTH(GiftData[[#This Row],[Gift_Date]])&gt;=7, RIGHT(YEAR(GiftData[[#This Row],[Gift_Date]])+1, 2), RIGHT(YEAR(GiftData[[#This Row],[Gift_Date]]), 2))</f>
        <v>FY26</v>
      </c>
      <c r="K383">
        <f>IF(COUNTIFS(GiftData[Constituent_ID], GiftData[[#This Row],[Constituent_ID]], GiftData[Fiscal_Year], "FY24")&gt;0, 1, 0)</f>
        <v>0</v>
      </c>
      <c r="L383">
        <f>IF(COUNTIFS(GiftData[Constituent_ID], GiftData[[#This Row],[Constituent_ID]], GiftData[Fiscal_Year], "FY25")&gt;0, 1, 0)</f>
        <v>1</v>
      </c>
      <c r="M383">
        <f>IF(COUNTIFS(GiftData[Constituent_ID], GiftData[[#This Row],[Constituent_ID]], GiftData[Fiscal_Year], "FY26")&gt;0, 1, 0)</f>
        <v>1</v>
      </c>
      <c r="N383" t="str" cm="1">
        <f t="array" ref="N3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4" spans="1:14" x14ac:dyDescent="0.2">
      <c r="A384" t="s">
        <v>647</v>
      </c>
      <c r="B384" t="s">
        <v>158</v>
      </c>
      <c r="C384" t="s">
        <v>11</v>
      </c>
      <c r="D384" s="1">
        <v>46049</v>
      </c>
      <c r="E384">
        <v>821.73</v>
      </c>
      <c r="F384" t="s">
        <v>19</v>
      </c>
      <c r="G384" t="s">
        <v>13</v>
      </c>
      <c r="H384" t="s">
        <v>51</v>
      </c>
      <c r="I384" t="s">
        <v>38</v>
      </c>
      <c r="J384" t="str">
        <f>"FY" &amp; IF(MONTH(GiftData[[#This Row],[Gift_Date]])&gt;=7, RIGHT(YEAR(GiftData[[#This Row],[Gift_Date]])+1, 2), RIGHT(YEAR(GiftData[[#This Row],[Gift_Date]]), 2))</f>
        <v>FY26</v>
      </c>
      <c r="K384">
        <f>IF(COUNTIFS(GiftData[Constituent_ID], GiftData[[#This Row],[Constituent_ID]], GiftData[Fiscal_Year], "FY24")&gt;0, 1, 0)</f>
        <v>1</v>
      </c>
      <c r="L384">
        <f>IF(COUNTIFS(GiftData[Constituent_ID], GiftData[[#This Row],[Constituent_ID]], GiftData[Fiscal_Year], "FY25")&gt;0, 1, 0)</f>
        <v>1</v>
      </c>
      <c r="M384">
        <f>IF(COUNTIFS(GiftData[Constituent_ID], GiftData[[#This Row],[Constituent_ID]], GiftData[Fiscal_Year], "FY26")&gt;0, 1, 0)</f>
        <v>1</v>
      </c>
      <c r="N384" t="str" cm="1">
        <f t="array" ref="N3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5" spans="1:14" x14ac:dyDescent="0.2">
      <c r="A385" t="s">
        <v>648</v>
      </c>
      <c r="B385" t="s">
        <v>649</v>
      </c>
      <c r="C385" t="s">
        <v>28</v>
      </c>
      <c r="D385" s="1">
        <v>46134</v>
      </c>
      <c r="E385">
        <v>185.5</v>
      </c>
      <c r="F385" t="s">
        <v>12</v>
      </c>
      <c r="G385" t="s">
        <v>13</v>
      </c>
      <c r="H385" t="s">
        <v>14</v>
      </c>
      <c r="I385" t="s">
        <v>38</v>
      </c>
      <c r="J385" t="str">
        <f>"FY" &amp; IF(MONTH(GiftData[[#This Row],[Gift_Date]])&gt;=7, RIGHT(YEAR(GiftData[[#This Row],[Gift_Date]])+1, 2), RIGHT(YEAR(GiftData[[#This Row],[Gift_Date]]), 2))</f>
        <v>FY26</v>
      </c>
      <c r="K385">
        <f>IF(COUNTIFS(GiftData[Constituent_ID], GiftData[[#This Row],[Constituent_ID]], GiftData[Fiscal_Year], "FY24")&gt;0, 1, 0)</f>
        <v>1</v>
      </c>
      <c r="L385">
        <f>IF(COUNTIFS(GiftData[Constituent_ID], GiftData[[#This Row],[Constituent_ID]], GiftData[Fiscal_Year], "FY25")&gt;0, 1, 0)</f>
        <v>1</v>
      </c>
      <c r="M385">
        <f>IF(COUNTIFS(GiftData[Constituent_ID], GiftData[[#This Row],[Constituent_ID]], GiftData[Fiscal_Year], "FY26")&gt;0, 1, 0)</f>
        <v>1</v>
      </c>
      <c r="N385" t="str" cm="1">
        <f t="array" ref="N3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6" spans="1:14" x14ac:dyDescent="0.2">
      <c r="A386" t="s">
        <v>650</v>
      </c>
      <c r="B386" t="s">
        <v>651</v>
      </c>
      <c r="C386" t="s">
        <v>18</v>
      </c>
      <c r="D386" s="1">
        <v>45192</v>
      </c>
      <c r="E386">
        <v>287.5</v>
      </c>
      <c r="F386" t="s">
        <v>59</v>
      </c>
      <c r="G386" t="s">
        <v>13</v>
      </c>
      <c r="H386" t="s">
        <v>14</v>
      </c>
      <c r="I386" t="s">
        <v>56</v>
      </c>
      <c r="J386" t="str">
        <f>"FY" &amp; IF(MONTH(GiftData[[#This Row],[Gift_Date]])&gt;=7, RIGHT(YEAR(GiftData[[#This Row],[Gift_Date]])+1, 2), RIGHT(YEAR(GiftData[[#This Row],[Gift_Date]]), 2))</f>
        <v>FY24</v>
      </c>
      <c r="K386">
        <f>IF(COUNTIFS(GiftData[Constituent_ID], GiftData[[#This Row],[Constituent_ID]], GiftData[Fiscal_Year], "FY24")&gt;0, 1, 0)</f>
        <v>1</v>
      </c>
      <c r="L386">
        <f>IF(COUNTIFS(GiftData[Constituent_ID], GiftData[[#This Row],[Constituent_ID]], GiftData[Fiscal_Year], "FY25")&gt;0, 1, 0)</f>
        <v>0</v>
      </c>
      <c r="M386">
        <f>IF(COUNTIFS(GiftData[Constituent_ID], GiftData[[#This Row],[Constituent_ID]], GiftData[Fiscal_Year], "FY26")&gt;0, 1, 0)</f>
        <v>0</v>
      </c>
      <c r="N386" t="str" cm="1">
        <f t="array" ref="N3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387" spans="1:14" x14ac:dyDescent="0.2">
      <c r="A387" t="s">
        <v>652</v>
      </c>
      <c r="B387" t="s">
        <v>649</v>
      </c>
      <c r="C387" t="s">
        <v>18</v>
      </c>
      <c r="D387" s="1">
        <v>45435</v>
      </c>
      <c r="E387">
        <v>39.409999999999997</v>
      </c>
      <c r="F387" t="s">
        <v>12</v>
      </c>
      <c r="G387" t="s">
        <v>13</v>
      </c>
      <c r="H387" t="s">
        <v>41</v>
      </c>
      <c r="I387" t="s">
        <v>15</v>
      </c>
      <c r="J387" t="str">
        <f>"FY" &amp; IF(MONTH(GiftData[[#This Row],[Gift_Date]])&gt;=7, RIGHT(YEAR(GiftData[[#This Row],[Gift_Date]])+1, 2), RIGHT(YEAR(GiftData[[#This Row],[Gift_Date]]), 2))</f>
        <v>FY24</v>
      </c>
      <c r="K387">
        <f>IF(COUNTIFS(GiftData[Constituent_ID], GiftData[[#This Row],[Constituent_ID]], GiftData[Fiscal_Year], "FY24")&gt;0, 1, 0)</f>
        <v>1</v>
      </c>
      <c r="L387">
        <f>IF(COUNTIFS(GiftData[Constituent_ID], GiftData[[#This Row],[Constituent_ID]], GiftData[Fiscal_Year], "FY25")&gt;0, 1, 0)</f>
        <v>1</v>
      </c>
      <c r="M387">
        <f>IF(COUNTIFS(GiftData[Constituent_ID], GiftData[[#This Row],[Constituent_ID]], GiftData[Fiscal_Year], "FY26")&gt;0, 1, 0)</f>
        <v>1</v>
      </c>
      <c r="N387" t="str" cm="1">
        <f t="array" ref="N3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8" spans="1:14" x14ac:dyDescent="0.2">
      <c r="A388" t="s">
        <v>653</v>
      </c>
      <c r="B388" t="s">
        <v>654</v>
      </c>
      <c r="C388" t="s">
        <v>35</v>
      </c>
      <c r="D388" s="1">
        <v>45923</v>
      </c>
      <c r="E388">
        <v>358.8</v>
      </c>
      <c r="F388" t="s">
        <v>12</v>
      </c>
      <c r="G388" t="s">
        <v>13</v>
      </c>
      <c r="H388" t="s">
        <v>164</v>
      </c>
      <c r="I388" t="s">
        <v>38</v>
      </c>
      <c r="J388" t="str">
        <f>"FY" &amp; IF(MONTH(GiftData[[#This Row],[Gift_Date]])&gt;=7, RIGHT(YEAR(GiftData[[#This Row],[Gift_Date]])+1, 2), RIGHT(YEAR(GiftData[[#This Row],[Gift_Date]]), 2))</f>
        <v>FY26</v>
      </c>
      <c r="K388">
        <f>IF(COUNTIFS(GiftData[Constituent_ID], GiftData[[#This Row],[Constituent_ID]], GiftData[Fiscal_Year], "FY24")&gt;0, 1, 0)</f>
        <v>0</v>
      </c>
      <c r="L388">
        <f>IF(COUNTIFS(GiftData[Constituent_ID], GiftData[[#This Row],[Constituent_ID]], GiftData[Fiscal_Year], "FY25")&gt;0, 1, 0)</f>
        <v>0</v>
      </c>
      <c r="M388">
        <f>IF(COUNTIFS(GiftData[Constituent_ID], GiftData[[#This Row],[Constituent_ID]], GiftData[Fiscal_Year], "FY26")&gt;0, 1, 0)</f>
        <v>1</v>
      </c>
      <c r="N388" t="str" cm="1">
        <f t="array" ref="N3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89" spans="1:14" x14ac:dyDescent="0.2">
      <c r="A389" t="s">
        <v>655</v>
      </c>
      <c r="B389" t="s">
        <v>111</v>
      </c>
      <c r="C389" t="s">
        <v>35</v>
      </c>
      <c r="D389" s="1">
        <v>45561</v>
      </c>
      <c r="E389">
        <v>168.57</v>
      </c>
      <c r="F389" t="s">
        <v>12</v>
      </c>
      <c r="G389" t="s">
        <v>13</v>
      </c>
      <c r="H389" t="s">
        <v>41</v>
      </c>
      <c r="I389" t="s">
        <v>15</v>
      </c>
      <c r="J389" t="str">
        <f>"FY" &amp; IF(MONTH(GiftData[[#This Row],[Gift_Date]])&gt;=7, RIGHT(YEAR(GiftData[[#This Row],[Gift_Date]])+1, 2), RIGHT(YEAR(GiftData[[#This Row],[Gift_Date]]), 2))</f>
        <v>FY25</v>
      </c>
      <c r="K389">
        <f>IF(COUNTIFS(GiftData[Constituent_ID], GiftData[[#This Row],[Constituent_ID]], GiftData[Fiscal_Year], "FY24")&gt;0, 1, 0)</f>
        <v>0</v>
      </c>
      <c r="L389">
        <f>IF(COUNTIFS(GiftData[Constituent_ID], GiftData[[#This Row],[Constituent_ID]], GiftData[Fiscal_Year], "FY25")&gt;0, 1, 0)</f>
        <v>1</v>
      </c>
      <c r="M389">
        <f>IF(COUNTIFS(GiftData[Constituent_ID], GiftData[[#This Row],[Constituent_ID]], GiftData[Fiscal_Year], "FY26")&gt;0, 1, 0)</f>
        <v>0</v>
      </c>
      <c r="N389" t="str" cm="1">
        <f t="array" ref="N3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90" spans="1:14" x14ac:dyDescent="0.2">
      <c r="A390" t="s">
        <v>656</v>
      </c>
      <c r="B390" t="s">
        <v>47</v>
      </c>
      <c r="C390" t="s">
        <v>35</v>
      </c>
      <c r="D390" s="1">
        <v>45736</v>
      </c>
      <c r="E390">
        <v>66.78</v>
      </c>
      <c r="F390" t="s">
        <v>12</v>
      </c>
      <c r="G390" t="s">
        <v>13</v>
      </c>
      <c r="H390" t="s">
        <v>14</v>
      </c>
      <c r="I390" t="s">
        <v>15</v>
      </c>
      <c r="J390" t="str">
        <f>"FY" &amp; IF(MONTH(GiftData[[#This Row],[Gift_Date]])&gt;=7, RIGHT(YEAR(GiftData[[#This Row],[Gift_Date]])+1, 2), RIGHT(YEAR(GiftData[[#This Row],[Gift_Date]]), 2))</f>
        <v>FY25</v>
      </c>
      <c r="K390">
        <f>IF(COUNTIFS(GiftData[Constituent_ID], GiftData[[#This Row],[Constituent_ID]], GiftData[Fiscal_Year], "FY24")&gt;0, 1, 0)</f>
        <v>1</v>
      </c>
      <c r="L390">
        <f>IF(COUNTIFS(GiftData[Constituent_ID], GiftData[[#This Row],[Constituent_ID]], GiftData[Fiscal_Year], "FY25")&gt;0, 1, 0)</f>
        <v>1</v>
      </c>
      <c r="M390">
        <f>IF(COUNTIFS(GiftData[Constituent_ID], GiftData[[#This Row],[Constituent_ID]], GiftData[Fiscal_Year], "FY26")&gt;0, 1, 0)</f>
        <v>1</v>
      </c>
      <c r="N390" t="str" cm="1">
        <f t="array" ref="N3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1" spans="1:14" x14ac:dyDescent="0.2">
      <c r="A391" t="s">
        <v>657</v>
      </c>
      <c r="B391" t="s">
        <v>658</v>
      </c>
      <c r="C391" t="s">
        <v>35</v>
      </c>
      <c r="D391" s="1">
        <v>45772</v>
      </c>
      <c r="E391">
        <v>373.97</v>
      </c>
      <c r="F391" t="s">
        <v>59</v>
      </c>
      <c r="G391" t="s">
        <v>29</v>
      </c>
      <c r="H391" t="s">
        <v>20</v>
      </c>
      <c r="I391" t="s">
        <v>38</v>
      </c>
      <c r="J391" t="str">
        <f>"FY" &amp; IF(MONTH(GiftData[[#This Row],[Gift_Date]])&gt;=7, RIGHT(YEAR(GiftData[[#This Row],[Gift_Date]])+1, 2), RIGHT(YEAR(GiftData[[#This Row],[Gift_Date]]), 2))</f>
        <v>FY25</v>
      </c>
      <c r="K391">
        <f>IF(COUNTIFS(GiftData[Constituent_ID], GiftData[[#This Row],[Constituent_ID]], GiftData[Fiscal_Year], "FY24")&gt;0, 1, 0)</f>
        <v>1</v>
      </c>
      <c r="L391">
        <f>IF(COUNTIFS(GiftData[Constituent_ID], GiftData[[#This Row],[Constituent_ID]], GiftData[Fiscal_Year], "FY25")&gt;0, 1, 0)</f>
        <v>1</v>
      </c>
      <c r="M391">
        <f>IF(COUNTIFS(GiftData[Constituent_ID], GiftData[[#This Row],[Constituent_ID]], GiftData[Fiscal_Year], "FY26")&gt;0, 1, 0)</f>
        <v>1</v>
      </c>
      <c r="N391" t="str" cm="1">
        <f t="array" ref="N3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2" spans="1:14" x14ac:dyDescent="0.2">
      <c r="A392" t="s">
        <v>659</v>
      </c>
      <c r="B392" t="s">
        <v>249</v>
      </c>
      <c r="C392" t="s">
        <v>28</v>
      </c>
      <c r="D392" s="1">
        <v>45119</v>
      </c>
      <c r="E392">
        <v>393.27</v>
      </c>
      <c r="F392" t="s">
        <v>12</v>
      </c>
      <c r="G392" t="s">
        <v>13</v>
      </c>
      <c r="H392" t="s">
        <v>20</v>
      </c>
      <c r="I392" t="s">
        <v>15</v>
      </c>
      <c r="J392" t="str">
        <f>"FY" &amp; IF(MONTH(GiftData[[#This Row],[Gift_Date]])&gt;=7, RIGHT(YEAR(GiftData[[#This Row],[Gift_Date]])+1, 2), RIGHT(YEAR(GiftData[[#This Row],[Gift_Date]]), 2))</f>
        <v>FY24</v>
      </c>
      <c r="K392">
        <f>IF(COUNTIFS(GiftData[Constituent_ID], GiftData[[#This Row],[Constituent_ID]], GiftData[Fiscal_Year], "FY24")&gt;0, 1, 0)</f>
        <v>1</v>
      </c>
      <c r="L392">
        <f>IF(COUNTIFS(GiftData[Constituent_ID], GiftData[[#This Row],[Constituent_ID]], GiftData[Fiscal_Year], "FY25")&gt;0, 1, 0)</f>
        <v>1</v>
      </c>
      <c r="M392">
        <f>IF(COUNTIFS(GiftData[Constituent_ID], GiftData[[#This Row],[Constituent_ID]], GiftData[Fiscal_Year], "FY26")&gt;0, 1, 0)</f>
        <v>1</v>
      </c>
      <c r="N392" t="str" cm="1">
        <f t="array" ref="N3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3" spans="1:14" x14ac:dyDescent="0.2">
      <c r="A393" t="s">
        <v>660</v>
      </c>
      <c r="B393" t="s">
        <v>527</v>
      </c>
      <c r="C393" t="s">
        <v>35</v>
      </c>
      <c r="D393" s="1">
        <v>45411</v>
      </c>
      <c r="E393">
        <v>131.47</v>
      </c>
      <c r="F393" t="s">
        <v>12</v>
      </c>
      <c r="G393" t="s">
        <v>13</v>
      </c>
      <c r="H393" t="s">
        <v>14</v>
      </c>
      <c r="I393" t="s">
        <v>38</v>
      </c>
      <c r="J393" t="str">
        <f>"FY" &amp; IF(MONTH(GiftData[[#This Row],[Gift_Date]])&gt;=7, RIGHT(YEAR(GiftData[[#This Row],[Gift_Date]])+1, 2), RIGHT(YEAR(GiftData[[#This Row],[Gift_Date]]), 2))</f>
        <v>FY24</v>
      </c>
      <c r="K393">
        <f>IF(COUNTIFS(GiftData[Constituent_ID], GiftData[[#This Row],[Constituent_ID]], GiftData[Fiscal_Year], "FY24")&gt;0, 1, 0)</f>
        <v>1</v>
      </c>
      <c r="L393">
        <f>IF(COUNTIFS(GiftData[Constituent_ID], GiftData[[#This Row],[Constituent_ID]], GiftData[Fiscal_Year], "FY25")&gt;0, 1, 0)</f>
        <v>0</v>
      </c>
      <c r="M393">
        <f>IF(COUNTIFS(GiftData[Constituent_ID], GiftData[[#This Row],[Constituent_ID]], GiftData[Fiscal_Year], "FY26")&gt;0, 1, 0)</f>
        <v>1</v>
      </c>
      <c r="N393" t="str" cm="1">
        <f t="array" ref="N3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4" spans="1:14" x14ac:dyDescent="0.2">
      <c r="A394" t="s">
        <v>661</v>
      </c>
      <c r="B394" t="s">
        <v>132</v>
      </c>
      <c r="C394" t="s">
        <v>11</v>
      </c>
      <c r="D394" s="1">
        <v>46082</v>
      </c>
      <c r="E394">
        <v>214.84</v>
      </c>
      <c r="F394" t="s">
        <v>12</v>
      </c>
      <c r="G394" t="s">
        <v>13</v>
      </c>
      <c r="H394" t="s">
        <v>164</v>
      </c>
      <c r="I394" t="s">
        <v>38</v>
      </c>
      <c r="J394" t="str">
        <f>"FY" &amp; IF(MONTH(GiftData[[#This Row],[Gift_Date]])&gt;=7, RIGHT(YEAR(GiftData[[#This Row],[Gift_Date]])+1, 2), RIGHT(YEAR(GiftData[[#This Row],[Gift_Date]]), 2))</f>
        <v>FY26</v>
      </c>
      <c r="K394">
        <f>IF(COUNTIFS(GiftData[Constituent_ID], GiftData[[#This Row],[Constituent_ID]], GiftData[Fiscal_Year], "FY24")&gt;0, 1, 0)</f>
        <v>1</v>
      </c>
      <c r="L394">
        <f>IF(COUNTIFS(GiftData[Constituent_ID], GiftData[[#This Row],[Constituent_ID]], GiftData[Fiscal_Year], "FY25")&gt;0, 1, 0)</f>
        <v>0</v>
      </c>
      <c r="M394">
        <f>IF(COUNTIFS(GiftData[Constituent_ID], GiftData[[#This Row],[Constituent_ID]], GiftData[Fiscal_Year], "FY26")&gt;0, 1, 0)</f>
        <v>1</v>
      </c>
      <c r="N394" t="str" cm="1">
        <f t="array" ref="N3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5" spans="1:14" x14ac:dyDescent="0.2">
      <c r="A395" t="s">
        <v>662</v>
      </c>
      <c r="B395" t="s">
        <v>289</v>
      </c>
      <c r="C395" t="s">
        <v>28</v>
      </c>
      <c r="D395" s="1">
        <v>45890</v>
      </c>
      <c r="E395">
        <v>31.78</v>
      </c>
      <c r="F395" t="s">
        <v>12</v>
      </c>
      <c r="G395" t="s">
        <v>13</v>
      </c>
      <c r="H395" t="s">
        <v>51</v>
      </c>
      <c r="I395" t="s">
        <v>30</v>
      </c>
      <c r="J395" t="str">
        <f>"FY" &amp; IF(MONTH(GiftData[[#This Row],[Gift_Date]])&gt;=7, RIGHT(YEAR(GiftData[[#This Row],[Gift_Date]])+1, 2), RIGHT(YEAR(GiftData[[#This Row],[Gift_Date]]), 2))</f>
        <v>FY26</v>
      </c>
      <c r="K395">
        <f>IF(COUNTIFS(GiftData[Constituent_ID], GiftData[[#This Row],[Constituent_ID]], GiftData[Fiscal_Year], "FY24")&gt;0, 1, 0)</f>
        <v>1</v>
      </c>
      <c r="L395">
        <f>IF(COUNTIFS(GiftData[Constituent_ID], GiftData[[#This Row],[Constituent_ID]], GiftData[Fiscal_Year], "FY25")&gt;0, 1, 0)</f>
        <v>1</v>
      </c>
      <c r="M395">
        <f>IF(COUNTIFS(GiftData[Constituent_ID], GiftData[[#This Row],[Constituent_ID]], GiftData[Fiscal_Year], "FY26")&gt;0, 1, 0)</f>
        <v>1</v>
      </c>
      <c r="N395" t="str" cm="1">
        <f t="array" ref="N3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6" spans="1:14" x14ac:dyDescent="0.2">
      <c r="A396" t="s">
        <v>663</v>
      </c>
      <c r="B396" t="s">
        <v>664</v>
      </c>
      <c r="C396" t="s">
        <v>48</v>
      </c>
      <c r="D396" s="1">
        <v>45150</v>
      </c>
      <c r="E396">
        <v>611.64</v>
      </c>
      <c r="F396" t="s">
        <v>12</v>
      </c>
      <c r="G396" t="s">
        <v>13</v>
      </c>
      <c r="H396" t="s">
        <v>164</v>
      </c>
      <c r="I396" t="s">
        <v>38</v>
      </c>
      <c r="J396" t="str">
        <f>"FY" &amp; IF(MONTH(GiftData[[#This Row],[Gift_Date]])&gt;=7, RIGHT(YEAR(GiftData[[#This Row],[Gift_Date]])+1, 2), RIGHT(YEAR(GiftData[[#This Row],[Gift_Date]]), 2))</f>
        <v>FY24</v>
      </c>
      <c r="K396">
        <f>IF(COUNTIFS(GiftData[Constituent_ID], GiftData[[#This Row],[Constituent_ID]], GiftData[Fiscal_Year], "FY24")&gt;0, 1, 0)</f>
        <v>1</v>
      </c>
      <c r="L396">
        <f>IF(COUNTIFS(GiftData[Constituent_ID], GiftData[[#This Row],[Constituent_ID]], GiftData[Fiscal_Year], "FY25")&gt;0, 1, 0)</f>
        <v>1</v>
      </c>
      <c r="M396">
        <f>IF(COUNTIFS(GiftData[Constituent_ID], GiftData[[#This Row],[Constituent_ID]], GiftData[Fiscal_Year], "FY26")&gt;0, 1, 0)</f>
        <v>0</v>
      </c>
      <c r="N396" t="str" cm="1">
        <f t="array" ref="N3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97" spans="1:14" x14ac:dyDescent="0.2">
      <c r="A397" t="s">
        <v>665</v>
      </c>
      <c r="B397" t="s">
        <v>280</v>
      </c>
      <c r="C397" t="s">
        <v>18</v>
      </c>
      <c r="D397" s="1">
        <v>46051</v>
      </c>
      <c r="E397">
        <v>37.770000000000003</v>
      </c>
      <c r="F397" t="s">
        <v>25</v>
      </c>
      <c r="G397" t="s">
        <v>13</v>
      </c>
      <c r="H397" t="s">
        <v>14</v>
      </c>
      <c r="I397" t="s">
        <v>56</v>
      </c>
      <c r="J397" t="str">
        <f>"FY" &amp; IF(MONTH(GiftData[[#This Row],[Gift_Date]])&gt;=7, RIGHT(YEAR(GiftData[[#This Row],[Gift_Date]])+1, 2), RIGHT(YEAR(GiftData[[#This Row],[Gift_Date]]), 2))</f>
        <v>FY26</v>
      </c>
      <c r="K397">
        <f>IF(COUNTIFS(GiftData[Constituent_ID], GiftData[[#This Row],[Constituent_ID]], GiftData[Fiscal_Year], "FY24")&gt;0, 1, 0)</f>
        <v>0</v>
      </c>
      <c r="L397">
        <f>IF(COUNTIFS(GiftData[Constituent_ID], GiftData[[#This Row],[Constituent_ID]], GiftData[Fiscal_Year], "FY25")&gt;0, 1, 0)</f>
        <v>1</v>
      </c>
      <c r="M397">
        <f>IF(COUNTIFS(GiftData[Constituent_ID], GiftData[[#This Row],[Constituent_ID]], GiftData[Fiscal_Year], "FY26")&gt;0, 1, 0)</f>
        <v>1</v>
      </c>
      <c r="N397" t="str" cm="1">
        <f t="array" ref="N3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398" spans="1:14" x14ac:dyDescent="0.2">
      <c r="A398" t="s">
        <v>666</v>
      </c>
      <c r="B398" t="s">
        <v>346</v>
      </c>
      <c r="C398" t="s">
        <v>11</v>
      </c>
      <c r="D398" s="1">
        <v>45450</v>
      </c>
      <c r="E398">
        <v>48.57</v>
      </c>
      <c r="F398" t="s">
        <v>12</v>
      </c>
      <c r="G398" t="s">
        <v>13</v>
      </c>
      <c r="H398" t="s">
        <v>41</v>
      </c>
      <c r="I398" t="s">
        <v>15</v>
      </c>
      <c r="J398" t="str">
        <f>"FY" &amp; IF(MONTH(GiftData[[#This Row],[Gift_Date]])&gt;=7, RIGHT(YEAR(GiftData[[#This Row],[Gift_Date]])+1, 2), RIGHT(YEAR(GiftData[[#This Row],[Gift_Date]]), 2))</f>
        <v>FY24</v>
      </c>
      <c r="K398">
        <f>IF(COUNTIFS(GiftData[Constituent_ID], GiftData[[#This Row],[Constituent_ID]], GiftData[Fiscal_Year], "FY24")&gt;0, 1, 0)</f>
        <v>1</v>
      </c>
      <c r="L398">
        <f>IF(COUNTIFS(GiftData[Constituent_ID], GiftData[[#This Row],[Constituent_ID]], GiftData[Fiscal_Year], "FY25")&gt;0, 1, 0)</f>
        <v>1</v>
      </c>
      <c r="M398">
        <f>IF(COUNTIFS(GiftData[Constituent_ID], GiftData[[#This Row],[Constituent_ID]], GiftData[Fiscal_Year], "FY26")&gt;0, 1, 0)</f>
        <v>0</v>
      </c>
      <c r="N398" t="str" cm="1">
        <f t="array" ref="N3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399" spans="1:14" x14ac:dyDescent="0.2">
      <c r="A399" t="s">
        <v>667</v>
      </c>
      <c r="B399" t="s">
        <v>668</v>
      </c>
      <c r="C399" t="s">
        <v>11</v>
      </c>
      <c r="D399" s="1">
        <v>45605</v>
      </c>
      <c r="E399">
        <v>131.76</v>
      </c>
      <c r="F399" t="s">
        <v>59</v>
      </c>
      <c r="G399" t="s">
        <v>13</v>
      </c>
      <c r="H399" t="s">
        <v>51</v>
      </c>
      <c r="I399" t="s">
        <v>15</v>
      </c>
      <c r="J399" t="str">
        <f>"FY" &amp; IF(MONTH(GiftData[[#This Row],[Gift_Date]])&gt;=7, RIGHT(YEAR(GiftData[[#This Row],[Gift_Date]])+1, 2), RIGHT(YEAR(GiftData[[#This Row],[Gift_Date]]), 2))</f>
        <v>FY25</v>
      </c>
      <c r="K399">
        <f>IF(COUNTIFS(GiftData[Constituent_ID], GiftData[[#This Row],[Constituent_ID]], GiftData[Fiscal_Year], "FY24")&gt;0, 1, 0)</f>
        <v>0</v>
      </c>
      <c r="L399">
        <f>IF(COUNTIFS(GiftData[Constituent_ID], GiftData[[#This Row],[Constituent_ID]], GiftData[Fiscal_Year], "FY25")&gt;0, 1, 0)</f>
        <v>1</v>
      </c>
      <c r="M399">
        <f>IF(COUNTIFS(GiftData[Constituent_ID], GiftData[[#This Row],[Constituent_ID]], GiftData[Fiscal_Year], "FY26")&gt;0, 1, 0)</f>
        <v>0</v>
      </c>
      <c r="N399" t="str" cm="1">
        <f t="array" ref="N3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00" spans="1:14" x14ac:dyDescent="0.2">
      <c r="A400" t="s">
        <v>669</v>
      </c>
      <c r="B400" t="s">
        <v>670</v>
      </c>
      <c r="C400" t="s">
        <v>18</v>
      </c>
      <c r="D400" s="1">
        <v>45471</v>
      </c>
      <c r="E400">
        <v>517.42999999999995</v>
      </c>
      <c r="F400" t="s">
        <v>59</v>
      </c>
      <c r="G400" t="s">
        <v>13</v>
      </c>
      <c r="H400" t="s">
        <v>41</v>
      </c>
      <c r="I400" t="s">
        <v>15</v>
      </c>
      <c r="J400" t="str">
        <f>"FY" &amp; IF(MONTH(GiftData[[#This Row],[Gift_Date]])&gt;=7, RIGHT(YEAR(GiftData[[#This Row],[Gift_Date]])+1, 2), RIGHT(YEAR(GiftData[[#This Row],[Gift_Date]]), 2))</f>
        <v>FY24</v>
      </c>
      <c r="K400">
        <f>IF(COUNTIFS(GiftData[Constituent_ID], GiftData[[#This Row],[Constituent_ID]], GiftData[Fiscal_Year], "FY24")&gt;0, 1, 0)</f>
        <v>1</v>
      </c>
      <c r="L400">
        <f>IF(COUNTIFS(GiftData[Constituent_ID], GiftData[[#This Row],[Constituent_ID]], GiftData[Fiscal_Year], "FY25")&gt;0, 1, 0)</f>
        <v>0</v>
      </c>
      <c r="M400">
        <f>IF(COUNTIFS(GiftData[Constituent_ID], GiftData[[#This Row],[Constituent_ID]], GiftData[Fiscal_Year], "FY26")&gt;0, 1, 0)</f>
        <v>1</v>
      </c>
      <c r="N400" t="str" cm="1">
        <f t="array" ref="N4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1" spans="1:14" x14ac:dyDescent="0.2">
      <c r="A401" t="s">
        <v>671</v>
      </c>
      <c r="B401" t="s">
        <v>351</v>
      </c>
      <c r="C401" t="s">
        <v>18</v>
      </c>
      <c r="D401" s="1">
        <v>45998</v>
      </c>
      <c r="E401">
        <v>517.04999999999995</v>
      </c>
      <c r="F401" t="s">
        <v>12</v>
      </c>
      <c r="G401" t="s">
        <v>13</v>
      </c>
      <c r="H401" t="s">
        <v>20</v>
      </c>
      <c r="I401" t="s">
        <v>15</v>
      </c>
      <c r="J401" t="str">
        <f>"FY" &amp; IF(MONTH(GiftData[[#This Row],[Gift_Date]])&gt;=7, RIGHT(YEAR(GiftData[[#This Row],[Gift_Date]])+1, 2), RIGHT(YEAR(GiftData[[#This Row],[Gift_Date]]), 2))</f>
        <v>FY26</v>
      </c>
      <c r="K401">
        <f>IF(COUNTIFS(GiftData[Constituent_ID], GiftData[[#This Row],[Constituent_ID]], GiftData[Fiscal_Year], "FY24")&gt;0, 1, 0)</f>
        <v>1</v>
      </c>
      <c r="L401">
        <f>IF(COUNTIFS(GiftData[Constituent_ID], GiftData[[#This Row],[Constituent_ID]], GiftData[Fiscal_Year], "FY25")&gt;0, 1, 0)</f>
        <v>1</v>
      </c>
      <c r="M401">
        <f>IF(COUNTIFS(GiftData[Constituent_ID], GiftData[[#This Row],[Constituent_ID]], GiftData[Fiscal_Year], "FY26")&gt;0, 1, 0)</f>
        <v>1</v>
      </c>
      <c r="N401" t="str" cm="1">
        <f t="array" ref="N4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2" spans="1:14" x14ac:dyDescent="0.2">
      <c r="A402" t="s">
        <v>672</v>
      </c>
      <c r="B402" t="s">
        <v>251</v>
      </c>
      <c r="C402" t="s">
        <v>35</v>
      </c>
      <c r="D402" s="1">
        <v>45534</v>
      </c>
      <c r="E402">
        <v>120.75</v>
      </c>
      <c r="F402" t="s">
        <v>59</v>
      </c>
      <c r="G402" t="s">
        <v>13</v>
      </c>
      <c r="H402" t="s">
        <v>14</v>
      </c>
      <c r="I402" t="s">
        <v>38</v>
      </c>
      <c r="J402" t="str">
        <f>"FY" &amp; IF(MONTH(GiftData[[#This Row],[Gift_Date]])&gt;=7, RIGHT(YEAR(GiftData[[#This Row],[Gift_Date]])+1, 2), RIGHT(YEAR(GiftData[[#This Row],[Gift_Date]]), 2))</f>
        <v>FY25</v>
      </c>
      <c r="K402">
        <f>IF(COUNTIFS(GiftData[Constituent_ID], GiftData[[#This Row],[Constituent_ID]], GiftData[Fiscal_Year], "FY24")&gt;0, 1, 0)</f>
        <v>1</v>
      </c>
      <c r="L402">
        <f>IF(COUNTIFS(GiftData[Constituent_ID], GiftData[[#This Row],[Constituent_ID]], GiftData[Fiscal_Year], "FY25")&gt;0, 1, 0)</f>
        <v>1</v>
      </c>
      <c r="M402">
        <f>IF(COUNTIFS(GiftData[Constituent_ID], GiftData[[#This Row],[Constituent_ID]], GiftData[Fiscal_Year], "FY26")&gt;0, 1, 0)</f>
        <v>1</v>
      </c>
      <c r="N402" t="str" cm="1">
        <f t="array" ref="N4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3" spans="1:14" x14ac:dyDescent="0.2">
      <c r="A403" t="s">
        <v>673</v>
      </c>
      <c r="B403" t="s">
        <v>199</v>
      </c>
      <c r="C403" t="s">
        <v>48</v>
      </c>
      <c r="D403" s="1">
        <v>46112</v>
      </c>
      <c r="E403">
        <v>331.93</v>
      </c>
      <c r="F403" t="s">
        <v>12</v>
      </c>
      <c r="G403" t="s">
        <v>13</v>
      </c>
      <c r="H403" t="s">
        <v>51</v>
      </c>
      <c r="I403" t="s">
        <v>38</v>
      </c>
      <c r="J403" t="str">
        <f>"FY" &amp; IF(MONTH(GiftData[[#This Row],[Gift_Date]])&gt;=7, RIGHT(YEAR(GiftData[[#This Row],[Gift_Date]])+1, 2), RIGHT(YEAR(GiftData[[#This Row],[Gift_Date]]), 2))</f>
        <v>FY26</v>
      </c>
      <c r="K403">
        <f>IF(COUNTIFS(GiftData[Constituent_ID], GiftData[[#This Row],[Constituent_ID]], GiftData[Fiscal_Year], "FY24")&gt;0, 1, 0)</f>
        <v>0</v>
      </c>
      <c r="L403">
        <f>IF(COUNTIFS(GiftData[Constituent_ID], GiftData[[#This Row],[Constituent_ID]], GiftData[Fiscal_Year], "FY25")&gt;0, 1, 0)</f>
        <v>1</v>
      </c>
      <c r="M403">
        <f>IF(COUNTIFS(GiftData[Constituent_ID], GiftData[[#This Row],[Constituent_ID]], GiftData[Fiscal_Year], "FY26")&gt;0, 1, 0)</f>
        <v>1</v>
      </c>
      <c r="N403" t="str" cm="1">
        <f t="array" ref="N4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4" spans="1:14" x14ac:dyDescent="0.2">
      <c r="A404" t="s">
        <v>674</v>
      </c>
      <c r="B404" t="s">
        <v>89</v>
      </c>
      <c r="C404" t="s">
        <v>11</v>
      </c>
      <c r="D404" s="1">
        <v>45128</v>
      </c>
      <c r="E404">
        <v>15</v>
      </c>
      <c r="F404" t="s">
        <v>12</v>
      </c>
      <c r="G404" t="s">
        <v>13</v>
      </c>
      <c r="H404" t="s">
        <v>20</v>
      </c>
      <c r="I404" t="s">
        <v>15</v>
      </c>
      <c r="J404" t="str">
        <f>"FY" &amp; IF(MONTH(GiftData[[#This Row],[Gift_Date]])&gt;=7, RIGHT(YEAR(GiftData[[#This Row],[Gift_Date]])+1, 2), RIGHT(YEAR(GiftData[[#This Row],[Gift_Date]]), 2))</f>
        <v>FY24</v>
      </c>
      <c r="K404">
        <f>IF(COUNTIFS(GiftData[Constituent_ID], GiftData[[#This Row],[Constituent_ID]], GiftData[Fiscal_Year], "FY24")&gt;0, 1, 0)</f>
        <v>1</v>
      </c>
      <c r="L404">
        <f>IF(COUNTIFS(GiftData[Constituent_ID], GiftData[[#This Row],[Constituent_ID]], GiftData[Fiscal_Year], "FY25")&gt;0, 1, 0)</f>
        <v>1</v>
      </c>
      <c r="M404">
        <f>IF(COUNTIFS(GiftData[Constituent_ID], GiftData[[#This Row],[Constituent_ID]], GiftData[Fiscal_Year], "FY26")&gt;0, 1, 0)</f>
        <v>0</v>
      </c>
      <c r="N404" t="str" cm="1">
        <f t="array" ref="N4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05" spans="1:14" x14ac:dyDescent="0.2">
      <c r="A405" t="s">
        <v>675</v>
      </c>
      <c r="B405" t="s">
        <v>329</v>
      </c>
      <c r="C405" t="s">
        <v>18</v>
      </c>
      <c r="D405" s="1">
        <v>45514</v>
      </c>
      <c r="E405">
        <v>47.7</v>
      </c>
      <c r="F405" t="s">
        <v>12</v>
      </c>
      <c r="G405" t="s">
        <v>13</v>
      </c>
      <c r="H405" t="s">
        <v>164</v>
      </c>
      <c r="I405" t="s">
        <v>15</v>
      </c>
      <c r="J405" t="str">
        <f>"FY" &amp; IF(MONTH(GiftData[[#This Row],[Gift_Date]])&gt;=7, RIGHT(YEAR(GiftData[[#This Row],[Gift_Date]])+1, 2), RIGHT(YEAR(GiftData[[#This Row],[Gift_Date]]), 2))</f>
        <v>FY25</v>
      </c>
      <c r="K405">
        <f>IF(COUNTIFS(GiftData[Constituent_ID], GiftData[[#This Row],[Constituent_ID]], GiftData[Fiscal_Year], "FY24")&gt;0, 1, 0)</f>
        <v>0</v>
      </c>
      <c r="L405">
        <f>IF(COUNTIFS(GiftData[Constituent_ID], GiftData[[#This Row],[Constituent_ID]], GiftData[Fiscal_Year], "FY25")&gt;0, 1, 0)</f>
        <v>1</v>
      </c>
      <c r="M405">
        <f>IF(COUNTIFS(GiftData[Constituent_ID], GiftData[[#This Row],[Constituent_ID]], GiftData[Fiscal_Year], "FY26")&gt;0, 1, 0)</f>
        <v>0</v>
      </c>
      <c r="N405" t="str" cm="1">
        <f t="array" ref="N4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06" spans="1:14" x14ac:dyDescent="0.2">
      <c r="A406" t="s">
        <v>676</v>
      </c>
      <c r="B406" t="s">
        <v>448</v>
      </c>
      <c r="C406" t="s">
        <v>18</v>
      </c>
      <c r="D406" s="1">
        <v>45726</v>
      </c>
      <c r="E406">
        <v>48.98</v>
      </c>
      <c r="F406" t="s">
        <v>12</v>
      </c>
      <c r="G406" t="s">
        <v>29</v>
      </c>
      <c r="H406" t="s">
        <v>20</v>
      </c>
      <c r="I406" t="s">
        <v>15</v>
      </c>
      <c r="J406" t="str">
        <f>"FY" &amp; IF(MONTH(GiftData[[#This Row],[Gift_Date]])&gt;=7, RIGHT(YEAR(GiftData[[#This Row],[Gift_Date]])+1, 2), RIGHT(YEAR(GiftData[[#This Row],[Gift_Date]]), 2))</f>
        <v>FY25</v>
      </c>
      <c r="K406">
        <f>IF(COUNTIFS(GiftData[Constituent_ID], GiftData[[#This Row],[Constituent_ID]], GiftData[Fiscal_Year], "FY24")&gt;0, 1, 0)</f>
        <v>1</v>
      </c>
      <c r="L406">
        <f>IF(COUNTIFS(GiftData[Constituent_ID], GiftData[[#This Row],[Constituent_ID]], GiftData[Fiscal_Year], "FY25")&gt;0, 1, 0)</f>
        <v>1</v>
      </c>
      <c r="M406">
        <f>IF(COUNTIFS(GiftData[Constituent_ID], GiftData[[#This Row],[Constituent_ID]], GiftData[Fiscal_Year], "FY26")&gt;0, 1, 0)</f>
        <v>1</v>
      </c>
      <c r="N406" t="str" cm="1">
        <f t="array" ref="N4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7" spans="1:14" x14ac:dyDescent="0.2">
      <c r="A407" t="s">
        <v>677</v>
      </c>
      <c r="B407" t="s">
        <v>537</v>
      </c>
      <c r="C407" t="s">
        <v>35</v>
      </c>
      <c r="D407" s="1">
        <v>46122</v>
      </c>
      <c r="E407">
        <v>618.86</v>
      </c>
      <c r="F407" t="s">
        <v>12</v>
      </c>
      <c r="G407" t="s">
        <v>29</v>
      </c>
      <c r="H407" t="s">
        <v>41</v>
      </c>
      <c r="I407" t="s">
        <v>38</v>
      </c>
      <c r="J407" t="str">
        <f>"FY" &amp; IF(MONTH(GiftData[[#This Row],[Gift_Date]])&gt;=7, RIGHT(YEAR(GiftData[[#This Row],[Gift_Date]])+1, 2), RIGHT(YEAR(GiftData[[#This Row],[Gift_Date]]), 2))</f>
        <v>FY26</v>
      </c>
      <c r="K407">
        <f>IF(COUNTIFS(GiftData[Constituent_ID], GiftData[[#This Row],[Constituent_ID]], GiftData[Fiscal_Year], "FY24")&gt;0, 1, 0)</f>
        <v>1</v>
      </c>
      <c r="L407">
        <f>IF(COUNTIFS(GiftData[Constituent_ID], GiftData[[#This Row],[Constituent_ID]], GiftData[Fiscal_Year], "FY25")&gt;0, 1, 0)</f>
        <v>1</v>
      </c>
      <c r="M407">
        <f>IF(COUNTIFS(GiftData[Constituent_ID], GiftData[[#This Row],[Constituent_ID]], GiftData[Fiscal_Year], "FY26")&gt;0, 1, 0)</f>
        <v>1</v>
      </c>
      <c r="N407" t="str" cm="1">
        <f t="array" ref="N4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8" spans="1:14" x14ac:dyDescent="0.2">
      <c r="A408" t="s">
        <v>678</v>
      </c>
      <c r="B408" t="s">
        <v>522</v>
      </c>
      <c r="C408" t="s">
        <v>11</v>
      </c>
      <c r="D408" s="1">
        <v>45443</v>
      </c>
      <c r="E408">
        <v>284.58999999999997</v>
      </c>
      <c r="F408" t="s">
        <v>25</v>
      </c>
      <c r="G408" t="s">
        <v>13</v>
      </c>
      <c r="H408" t="s">
        <v>41</v>
      </c>
      <c r="I408" t="s">
        <v>38</v>
      </c>
      <c r="J408" t="str">
        <f>"FY" &amp; IF(MONTH(GiftData[[#This Row],[Gift_Date]])&gt;=7, RIGHT(YEAR(GiftData[[#This Row],[Gift_Date]])+1, 2), RIGHT(YEAR(GiftData[[#This Row],[Gift_Date]]), 2))</f>
        <v>FY24</v>
      </c>
      <c r="K408">
        <f>IF(COUNTIFS(GiftData[Constituent_ID], GiftData[[#This Row],[Constituent_ID]], GiftData[Fiscal_Year], "FY24")&gt;0, 1, 0)</f>
        <v>1</v>
      </c>
      <c r="L408">
        <f>IF(COUNTIFS(GiftData[Constituent_ID], GiftData[[#This Row],[Constituent_ID]], GiftData[Fiscal_Year], "FY25")&gt;0, 1, 0)</f>
        <v>1</v>
      </c>
      <c r="M408">
        <f>IF(COUNTIFS(GiftData[Constituent_ID], GiftData[[#This Row],[Constituent_ID]], GiftData[Fiscal_Year], "FY26")&gt;0, 1, 0)</f>
        <v>1</v>
      </c>
      <c r="N408" t="str" cm="1">
        <f t="array" ref="N4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09" spans="1:14" x14ac:dyDescent="0.2">
      <c r="A409" t="s">
        <v>679</v>
      </c>
      <c r="B409" t="s">
        <v>680</v>
      </c>
      <c r="C409" t="s">
        <v>11</v>
      </c>
      <c r="D409" s="1">
        <v>45506</v>
      </c>
      <c r="E409">
        <v>154.47999999999999</v>
      </c>
      <c r="F409" t="s">
        <v>12</v>
      </c>
      <c r="G409" t="s">
        <v>13</v>
      </c>
      <c r="H409" t="s">
        <v>41</v>
      </c>
      <c r="I409" t="s">
        <v>38</v>
      </c>
      <c r="J409" t="str">
        <f>"FY" &amp; IF(MONTH(GiftData[[#This Row],[Gift_Date]])&gt;=7, RIGHT(YEAR(GiftData[[#This Row],[Gift_Date]])+1, 2), RIGHT(YEAR(GiftData[[#This Row],[Gift_Date]]), 2))</f>
        <v>FY25</v>
      </c>
      <c r="K409">
        <f>IF(COUNTIFS(GiftData[Constituent_ID], GiftData[[#This Row],[Constituent_ID]], GiftData[Fiscal_Year], "FY24")&gt;0, 1, 0)</f>
        <v>1</v>
      </c>
      <c r="L409">
        <f>IF(COUNTIFS(GiftData[Constituent_ID], GiftData[[#This Row],[Constituent_ID]], GiftData[Fiscal_Year], "FY25")&gt;0, 1, 0)</f>
        <v>1</v>
      </c>
      <c r="M409">
        <f>IF(COUNTIFS(GiftData[Constituent_ID], GiftData[[#This Row],[Constituent_ID]], GiftData[Fiscal_Year], "FY26")&gt;0, 1, 0)</f>
        <v>0</v>
      </c>
      <c r="N409" t="str" cm="1">
        <f t="array" ref="N4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10" spans="1:14" x14ac:dyDescent="0.2">
      <c r="A410" t="s">
        <v>681</v>
      </c>
      <c r="B410" t="s">
        <v>308</v>
      </c>
      <c r="C410" t="s">
        <v>11</v>
      </c>
      <c r="D410" s="1">
        <v>45900</v>
      </c>
      <c r="E410">
        <v>175.26</v>
      </c>
      <c r="F410" t="s">
        <v>25</v>
      </c>
      <c r="G410" t="s">
        <v>29</v>
      </c>
      <c r="H410" t="s">
        <v>14</v>
      </c>
      <c r="I410" t="s">
        <v>15</v>
      </c>
      <c r="J410" t="str">
        <f>"FY" &amp; IF(MONTH(GiftData[[#This Row],[Gift_Date]])&gt;=7, RIGHT(YEAR(GiftData[[#This Row],[Gift_Date]])+1, 2), RIGHT(YEAR(GiftData[[#This Row],[Gift_Date]]), 2))</f>
        <v>FY26</v>
      </c>
      <c r="K410">
        <f>IF(COUNTIFS(GiftData[Constituent_ID], GiftData[[#This Row],[Constituent_ID]], GiftData[Fiscal_Year], "FY24")&gt;0, 1, 0)</f>
        <v>1</v>
      </c>
      <c r="L410">
        <f>IF(COUNTIFS(GiftData[Constituent_ID], GiftData[[#This Row],[Constituent_ID]], GiftData[Fiscal_Year], "FY25")&gt;0, 1, 0)</f>
        <v>1</v>
      </c>
      <c r="M410">
        <f>IF(COUNTIFS(GiftData[Constituent_ID], GiftData[[#This Row],[Constituent_ID]], GiftData[Fiscal_Year], "FY26")&gt;0, 1, 0)</f>
        <v>1</v>
      </c>
      <c r="N410" t="str" cm="1">
        <f t="array" ref="N4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1" spans="1:14" x14ac:dyDescent="0.2">
      <c r="A411" t="s">
        <v>682</v>
      </c>
      <c r="B411" t="s">
        <v>683</v>
      </c>
      <c r="C411" t="s">
        <v>11</v>
      </c>
      <c r="D411" s="1">
        <v>45822</v>
      </c>
      <c r="E411">
        <v>933.41</v>
      </c>
      <c r="F411" t="s">
        <v>12</v>
      </c>
      <c r="G411" t="s">
        <v>13</v>
      </c>
      <c r="H411" t="s">
        <v>164</v>
      </c>
      <c r="I411" t="s">
        <v>15</v>
      </c>
      <c r="J411" t="str">
        <f>"FY" &amp; IF(MONTH(GiftData[[#This Row],[Gift_Date]])&gt;=7, RIGHT(YEAR(GiftData[[#This Row],[Gift_Date]])+1, 2), RIGHT(YEAR(GiftData[[#This Row],[Gift_Date]]), 2))</f>
        <v>FY25</v>
      </c>
      <c r="K411">
        <f>IF(COUNTIFS(GiftData[Constituent_ID], GiftData[[#This Row],[Constituent_ID]], GiftData[Fiscal_Year], "FY24")&gt;0, 1, 0)</f>
        <v>0</v>
      </c>
      <c r="L411">
        <f>IF(COUNTIFS(GiftData[Constituent_ID], GiftData[[#This Row],[Constituent_ID]], GiftData[Fiscal_Year], "FY25")&gt;0, 1, 0)</f>
        <v>1</v>
      </c>
      <c r="M411">
        <f>IF(COUNTIFS(GiftData[Constituent_ID], GiftData[[#This Row],[Constituent_ID]], GiftData[Fiscal_Year], "FY26")&gt;0, 1, 0)</f>
        <v>0</v>
      </c>
      <c r="N411" t="str" cm="1">
        <f t="array" ref="N4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12" spans="1:14" x14ac:dyDescent="0.2">
      <c r="A412" t="s">
        <v>684</v>
      </c>
      <c r="B412" t="s">
        <v>486</v>
      </c>
      <c r="C412" t="s">
        <v>11</v>
      </c>
      <c r="D412" s="1">
        <v>45158</v>
      </c>
      <c r="E412">
        <v>97.39</v>
      </c>
      <c r="F412" t="s">
        <v>25</v>
      </c>
      <c r="G412" t="s">
        <v>13</v>
      </c>
      <c r="H412" t="s">
        <v>41</v>
      </c>
      <c r="I412" t="s">
        <v>38</v>
      </c>
      <c r="J412" t="str">
        <f>"FY" &amp; IF(MONTH(GiftData[[#This Row],[Gift_Date]])&gt;=7, RIGHT(YEAR(GiftData[[#This Row],[Gift_Date]])+1, 2), RIGHT(YEAR(GiftData[[#This Row],[Gift_Date]]), 2))</f>
        <v>FY24</v>
      </c>
      <c r="K412">
        <f>IF(COUNTIFS(GiftData[Constituent_ID], GiftData[[#This Row],[Constituent_ID]], GiftData[Fiscal_Year], "FY24")&gt;0, 1, 0)</f>
        <v>1</v>
      </c>
      <c r="L412">
        <f>IF(COUNTIFS(GiftData[Constituent_ID], GiftData[[#This Row],[Constituent_ID]], GiftData[Fiscal_Year], "FY25")&gt;0, 1, 0)</f>
        <v>1</v>
      </c>
      <c r="M412">
        <f>IF(COUNTIFS(GiftData[Constituent_ID], GiftData[[#This Row],[Constituent_ID]], GiftData[Fiscal_Year], "FY26")&gt;0, 1, 0)</f>
        <v>1</v>
      </c>
      <c r="N412" t="str" cm="1">
        <f t="array" ref="N4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3" spans="1:14" x14ac:dyDescent="0.2">
      <c r="A413" t="s">
        <v>685</v>
      </c>
      <c r="B413" t="s">
        <v>134</v>
      </c>
      <c r="C413" t="s">
        <v>35</v>
      </c>
      <c r="D413" s="1">
        <v>45431</v>
      </c>
      <c r="E413">
        <v>22.01</v>
      </c>
      <c r="F413" t="s">
        <v>12</v>
      </c>
      <c r="G413" t="s">
        <v>29</v>
      </c>
      <c r="H413" t="s">
        <v>20</v>
      </c>
      <c r="I413" t="s">
        <v>38</v>
      </c>
      <c r="J413" t="str">
        <f>"FY" &amp; IF(MONTH(GiftData[[#This Row],[Gift_Date]])&gt;=7, RIGHT(YEAR(GiftData[[#This Row],[Gift_Date]])+1, 2), RIGHT(YEAR(GiftData[[#This Row],[Gift_Date]]), 2))</f>
        <v>FY24</v>
      </c>
      <c r="K413">
        <f>IF(COUNTIFS(GiftData[Constituent_ID], GiftData[[#This Row],[Constituent_ID]], GiftData[Fiscal_Year], "FY24")&gt;0, 1, 0)</f>
        <v>1</v>
      </c>
      <c r="L413">
        <f>IF(COUNTIFS(GiftData[Constituent_ID], GiftData[[#This Row],[Constituent_ID]], GiftData[Fiscal_Year], "FY25")&gt;0, 1, 0)</f>
        <v>0</v>
      </c>
      <c r="M413">
        <f>IF(COUNTIFS(GiftData[Constituent_ID], GiftData[[#This Row],[Constituent_ID]], GiftData[Fiscal_Year], "FY26")&gt;0, 1, 0)</f>
        <v>1</v>
      </c>
      <c r="N413" t="str" cm="1">
        <f t="array" ref="N4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4" spans="1:14" x14ac:dyDescent="0.2">
      <c r="A414" t="s">
        <v>686</v>
      </c>
      <c r="B414" t="s">
        <v>393</v>
      </c>
      <c r="C414" t="s">
        <v>28</v>
      </c>
      <c r="D414" s="1">
        <v>45896</v>
      </c>
      <c r="E414">
        <v>499.37</v>
      </c>
      <c r="F414" t="s">
        <v>12</v>
      </c>
      <c r="G414" t="s">
        <v>29</v>
      </c>
      <c r="H414" t="s">
        <v>41</v>
      </c>
      <c r="I414" t="s">
        <v>15</v>
      </c>
      <c r="J414" t="str">
        <f>"FY" &amp; IF(MONTH(GiftData[[#This Row],[Gift_Date]])&gt;=7, RIGHT(YEAR(GiftData[[#This Row],[Gift_Date]])+1, 2), RIGHT(YEAR(GiftData[[#This Row],[Gift_Date]]), 2))</f>
        <v>FY26</v>
      </c>
      <c r="K414">
        <f>IF(COUNTIFS(GiftData[Constituent_ID], GiftData[[#This Row],[Constituent_ID]], GiftData[Fiscal_Year], "FY24")&gt;0, 1, 0)</f>
        <v>1</v>
      </c>
      <c r="L414">
        <f>IF(COUNTIFS(GiftData[Constituent_ID], GiftData[[#This Row],[Constituent_ID]], GiftData[Fiscal_Year], "FY25")&gt;0, 1, 0)</f>
        <v>1</v>
      </c>
      <c r="M414">
        <f>IF(COUNTIFS(GiftData[Constituent_ID], GiftData[[#This Row],[Constituent_ID]], GiftData[Fiscal_Year], "FY26")&gt;0, 1, 0)</f>
        <v>1</v>
      </c>
      <c r="N414" t="str" cm="1">
        <f t="array" ref="N4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5" spans="1:14" x14ac:dyDescent="0.2">
      <c r="A415" t="s">
        <v>687</v>
      </c>
      <c r="B415" t="s">
        <v>688</v>
      </c>
      <c r="C415" t="s">
        <v>28</v>
      </c>
      <c r="D415" s="1">
        <v>45248</v>
      </c>
      <c r="E415">
        <v>153.91</v>
      </c>
      <c r="F415" t="s">
        <v>12</v>
      </c>
      <c r="G415" t="s">
        <v>13</v>
      </c>
      <c r="H415" t="s">
        <v>20</v>
      </c>
      <c r="I415" t="s">
        <v>38</v>
      </c>
      <c r="J415" t="str">
        <f>"FY" &amp; IF(MONTH(GiftData[[#This Row],[Gift_Date]])&gt;=7, RIGHT(YEAR(GiftData[[#This Row],[Gift_Date]])+1, 2), RIGHT(YEAR(GiftData[[#This Row],[Gift_Date]]), 2))</f>
        <v>FY24</v>
      </c>
      <c r="K415">
        <f>IF(COUNTIFS(GiftData[Constituent_ID], GiftData[[#This Row],[Constituent_ID]], GiftData[Fiscal_Year], "FY24")&gt;0, 1, 0)</f>
        <v>1</v>
      </c>
      <c r="L415">
        <f>IF(COUNTIFS(GiftData[Constituent_ID], GiftData[[#This Row],[Constituent_ID]], GiftData[Fiscal_Year], "FY25")&gt;0, 1, 0)</f>
        <v>0</v>
      </c>
      <c r="M415">
        <f>IF(COUNTIFS(GiftData[Constituent_ID], GiftData[[#This Row],[Constituent_ID]], GiftData[Fiscal_Year], "FY26")&gt;0, 1, 0)</f>
        <v>0</v>
      </c>
      <c r="N415" t="str" cm="1">
        <f t="array" ref="N4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416" spans="1:14" x14ac:dyDescent="0.2">
      <c r="A416" t="s">
        <v>689</v>
      </c>
      <c r="B416" t="s">
        <v>690</v>
      </c>
      <c r="C416" t="s">
        <v>11</v>
      </c>
      <c r="D416" s="1">
        <v>45577</v>
      </c>
      <c r="E416">
        <v>419.8</v>
      </c>
      <c r="F416" t="s">
        <v>12</v>
      </c>
      <c r="G416" t="s">
        <v>13</v>
      </c>
      <c r="H416" t="s">
        <v>20</v>
      </c>
      <c r="I416" t="s">
        <v>15</v>
      </c>
      <c r="J416" t="str">
        <f>"FY" &amp; IF(MONTH(GiftData[[#This Row],[Gift_Date]])&gt;=7, RIGHT(YEAR(GiftData[[#This Row],[Gift_Date]])+1, 2), RIGHT(YEAR(GiftData[[#This Row],[Gift_Date]]), 2))</f>
        <v>FY25</v>
      </c>
      <c r="K416">
        <f>IF(COUNTIFS(GiftData[Constituent_ID], GiftData[[#This Row],[Constituent_ID]], GiftData[Fiscal_Year], "FY24")&gt;0, 1, 0)</f>
        <v>0</v>
      </c>
      <c r="L416">
        <f>IF(COUNTIFS(GiftData[Constituent_ID], GiftData[[#This Row],[Constituent_ID]], GiftData[Fiscal_Year], "FY25")&gt;0, 1, 0)</f>
        <v>1</v>
      </c>
      <c r="M416">
        <f>IF(COUNTIFS(GiftData[Constituent_ID], GiftData[[#This Row],[Constituent_ID]], GiftData[Fiscal_Year], "FY26")&gt;0, 1, 0)</f>
        <v>1</v>
      </c>
      <c r="N416" t="str" cm="1">
        <f t="array" ref="N4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7" spans="1:14" x14ac:dyDescent="0.2">
      <c r="A417" t="s">
        <v>691</v>
      </c>
      <c r="B417" t="s">
        <v>263</v>
      </c>
      <c r="C417" t="s">
        <v>28</v>
      </c>
      <c r="D417" s="1">
        <v>45894</v>
      </c>
      <c r="E417">
        <v>114.64</v>
      </c>
      <c r="F417" t="s">
        <v>12</v>
      </c>
      <c r="G417" t="s">
        <v>13</v>
      </c>
      <c r="H417" t="s">
        <v>14</v>
      </c>
      <c r="I417" t="s">
        <v>38</v>
      </c>
      <c r="J417" t="str">
        <f>"FY" &amp; IF(MONTH(GiftData[[#This Row],[Gift_Date]])&gt;=7, RIGHT(YEAR(GiftData[[#This Row],[Gift_Date]])+1, 2), RIGHT(YEAR(GiftData[[#This Row],[Gift_Date]]), 2))</f>
        <v>FY26</v>
      </c>
      <c r="K417">
        <f>IF(COUNTIFS(GiftData[Constituent_ID], GiftData[[#This Row],[Constituent_ID]], GiftData[Fiscal_Year], "FY24")&gt;0, 1, 0)</f>
        <v>1</v>
      </c>
      <c r="L417">
        <f>IF(COUNTIFS(GiftData[Constituent_ID], GiftData[[#This Row],[Constituent_ID]], GiftData[Fiscal_Year], "FY25")&gt;0, 1, 0)</f>
        <v>1</v>
      </c>
      <c r="M417">
        <f>IF(COUNTIFS(GiftData[Constituent_ID], GiftData[[#This Row],[Constituent_ID]], GiftData[Fiscal_Year], "FY26")&gt;0, 1, 0)</f>
        <v>1</v>
      </c>
      <c r="N417" t="str" cm="1">
        <f t="array" ref="N4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8" spans="1:14" x14ac:dyDescent="0.2">
      <c r="A418" t="s">
        <v>692</v>
      </c>
      <c r="B418" t="s">
        <v>693</v>
      </c>
      <c r="C418" t="s">
        <v>28</v>
      </c>
      <c r="D418" s="1">
        <v>46071</v>
      </c>
      <c r="E418">
        <v>40.840000000000003</v>
      </c>
      <c r="F418" t="s">
        <v>59</v>
      </c>
      <c r="G418" t="s">
        <v>13</v>
      </c>
      <c r="H418" t="s">
        <v>51</v>
      </c>
      <c r="I418" t="s">
        <v>56</v>
      </c>
      <c r="J418" t="str">
        <f>"FY" &amp; IF(MONTH(GiftData[[#This Row],[Gift_Date]])&gt;=7, RIGHT(YEAR(GiftData[[#This Row],[Gift_Date]])+1, 2), RIGHT(YEAR(GiftData[[#This Row],[Gift_Date]]), 2))</f>
        <v>FY26</v>
      </c>
      <c r="K418">
        <f>IF(COUNTIFS(GiftData[Constituent_ID], GiftData[[#This Row],[Constituent_ID]], GiftData[Fiscal_Year], "FY24")&gt;0, 1, 0)</f>
        <v>1</v>
      </c>
      <c r="L418">
        <f>IF(COUNTIFS(GiftData[Constituent_ID], GiftData[[#This Row],[Constituent_ID]], GiftData[Fiscal_Year], "FY25")&gt;0, 1, 0)</f>
        <v>0</v>
      </c>
      <c r="M418">
        <f>IF(COUNTIFS(GiftData[Constituent_ID], GiftData[[#This Row],[Constituent_ID]], GiftData[Fiscal_Year], "FY26")&gt;0, 1, 0)</f>
        <v>1</v>
      </c>
      <c r="N418" t="str" cm="1">
        <f t="array" ref="N4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19" spans="1:14" x14ac:dyDescent="0.2">
      <c r="A419" t="s">
        <v>694</v>
      </c>
      <c r="B419" t="s">
        <v>695</v>
      </c>
      <c r="C419" t="s">
        <v>18</v>
      </c>
      <c r="D419" s="1">
        <v>46115</v>
      </c>
      <c r="E419">
        <v>205.13</v>
      </c>
      <c r="F419" t="s">
        <v>12</v>
      </c>
      <c r="G419" t="s">
        <v>13</v>
      </c>
      <c r="H419" t="s">
        <v>14</v>
      </c>
      <c r="I419" t="s">
        <v>38</v>
      </c>
      <c r="J419" t="str">
        <f>"FY" &amp; IF(MONTH(GiftData[[#This Row],[Gift_Date]])&gt;=7, RIGHT(YEAR(GiftData[[#This Row],[Gift_Date]])+1, 2), RIGHT(YEAR(GiftData[[#This Row],[Gift_Date]]), 2))</f>
        <v>FY26</v>
      </c>
      <c r="K419">
        <f>IF(COUNTIFS(GiftData[Constituent_ID], GiftData[[#This Row],[Constituent_ID]], GiftData[Fiscal_Year], "FY24")&gt;0, 1, 0)</f>
        <v>1</v>
      </c>
      <c r="L419">
        <f>IF(COUNTIFS(GiftData[Constituent_ID], GiftData[[#This Row],[Constituent_ID]], GiftData[Fiscal_Year], "FY25")&gt;0, 1, 0)</f>
        <v>0</v>
      </c>
      <c r="M419">
        <f>IF(COUNTIFS(GiftData[Constituent_ID], GiftData[[#This Row],[Constituent_ID]], GiftData[Fiscal_Year], "FY26")&gt;0, 1, 0)</f>
        <v>1</v>
      </c>
      <c r="N419" t="str" cm="1">
        <f t="array" ref="N4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0" spans="1:14" x14ac:dyDescent="0.2">
      <c r="A420" t="s">
        <v>696</v>
      </c>
      <c r="B420" t="s">
        <v>697</v>
      </c>
      <c r="C420" t="s">
        <v>28</v>
      </c>
      <c r="D420" s="1">
        <v>45480</v>
      </c>
      <c r="E420">
        <v>123.13</v>
      </c>
      <c r="F420" t="s">
        <v>25</v>
      </c>
      <c r="G420" t="s">
        <v>13</v>
      </c>
      <c r="H420" t="s">
        <v>41</v>
      </c>
      <c r="I420" t="s">
        <v>15</v>
      </c>
      <c r="J420" t="str">
        <f>"FY" &amp; IF(MONTH(GiftData[[#This Row],[Gift_Date]])&gt;=7, RIGHT(YEAR(GiftData[[#This Row],[Gift_Date]])+1, 2), RIGHT(YEAR(GiftData[[#This Row],[Gift_Date]]), 2))</f>
        <v>FY25</v>
      </c>
      <c r="K420">
        <f>IF(COUNTIFS(GiftData[Constituent_ID], GiftData[[#This Row],[Constituent_ID]], GiftData[Fiscal_Year], "FY24")&gt;0, 1, 0)</f>
        <v>0</v>
      </c>
      <c r="L420">
        <f>IF(COUNTIFS(GiftData[Constituent_ID], GiftData[[#This Row],[Constituent_ID]], GiftData[Fiscal_Year], "FY25")&gt;0, 1, 0)</f>
        <v>1</v>
      </c>
      <c r="M420">
        <f>IF(COUNTIFS(GiftData[Constituent_ID], GiftData[[#This Row],[Constituent_ID]], GiftData[Fiscal_Year], "FY26")&gt;0, 1, 0)</f>
        <v>1</v>
      </c>
      <c r="N420" t="str" cm="1">
        <f t="array" ref="N4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1" spans="1:14" x14ac:dyDescent="0.2">
      <c r="A421" t="s">
        <v>698</v>
      </c>
      <c r="B421" t="s">
        <v>699</v>
      </c>
      <c r="C421" t="s">
        <v>11</v>
      </c>
      <c r="D421" s="1">
        <v>45601</v>
      </c>
      <c r="E421">
        <v>154.54</v>
      </c>
      <c r="F421" t="s">
        <v>25</v>
      </c>
      <c r="G421" t="s">
        <v>13</v>
      </c>
      <c r="H421" t="s">
        <v>14</v>
      </c>
      <c r="I421" t="s">
        <v>15</v>
      </c>
      <c r="J421" t="str">
        <f>"FY" &amp; IF(MONTH(GiftData[[#This Row],[Gift_Date]])&gt;=7, RIGHT(YEAR(GiftData[[#This Row],[Gift_Date]])+1, 2), RIGHT(YEAR(GiftData[[#This Row],[Gift_Date]]), 2))</f>
        <v>FY25</v>
      </c>
      <c r="K421">
        <f>IF(COUNTIFS(GiftData[Constituent_ID], GiftData[[#This Row],[Constituent_ID]], GiftData[Fiscal_Year], "FY24")&gt;0, 1, 0)</f>
        <v>1</v>
      </c>
      <c r="L421">
        <f>IF(COUNTIFS(GiftData[Constituent_ID], GiftData[[#This Row],[Constituent_ID]], GiftData[Fiscal_Year], "FY25")&gt;0, 1, 0)</f>
        <v>1</v>
      </c>
      <c r="M421">
        <f>IF(COUNTIFS(GiftData[Constituent_ID], GiftData[[#This Row],[Constituent_ID]], GiftData[Fiscal_Year], "FY26")&gt;0, 1, 0)</f>
        <v>1</v>
      </c>
      <c r="N421" t="str" cm="1">
        <f t="array" ref="N4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2" spans="1:14" x14ac:dyDescent="0.2">
      <c r="A422" t="s">
        <v>700</v>
      </c>
      <c r="B422" t="s">
        <v>701</v>
      </c>
      <c r="C422" t="s">
        <v>35</v>
      </c>
      <c r="D422" s="1">
        <v>45858</v>
      </c>
      <c r="E422">
        <v>993.81</v>
      </c>
      <c r="F422" t="s">
        <v>59</v>
      </c>
      <c r="G422" t="s">
        <v>13</v>
      </c>
      <c r="H422" t="s">
        <v>20</v>
      </c>
      <c r="I422" t="s">
        <v>38</v>
      </c>
      <c r="J422" t="str">
        <f>"FY" &amp; IF(MONTH(GiftData[[#This Row],[Gift_Date]])&gt;=7, RIGHT(YEAR(GiftData[[#This Row],[Gift_Date]])+1, 2), RIGHT(YEAR(GiftData[[#This Row],[Gift_Date]]), 2))</f>
        <v>FY26</v>
      </c>
      <c r="K422">
        <f>IF(COUNTIFS(GiftData[Constituent_ID], GiftData[[#This Row],[Constituent_ID]], GiftData[Fiscal_Year], "FY24")&gt;0, 1, 0)</f>
        <v>0</v>
      </c>
      <c r="L422">
        <f>IF(COUNTIFS(GiftData[Constituent_ID], GiftData[[#This Row],[Constituent_ID]], GiftData[Fiscal_Year], "FY25")&gt;0, 1, 0)</f>
        <v>0</v>
      </c>
      <c r="M422">
        <f>IF(COUNTIFS(GiftData[Constituent_ID], GiftData[[#This Row],[Constituent_ID]], GiftData[Fiscal_Year], "FY26")&gt;0, 1, 0)</f>
        <v>1</v>
      </c>
      <c r="N422" t="str" cm="1">
        <f t="array" ref="N4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3" spans="1:14" x14ac:dyDescent="0.2">
      <c r="A423" t="s">
        <v>702</v>
      </c>
      <c r="B423" t="s">
        <v>658</v>
      </c>
      <c r="C423" t="s">
        <v>11</v>
      </c>
      <c r="D423" s="1">
        <v>45398</v>
      </c>
      <c r="E423">
        <v>29.13</v>
      </c>
      <c r="F423" t="s">
        <v>12</v>
      </c>
      <c r="G423" t="s">
        <v>13</v>
      </c>
      <c r="H423" t="s">
        <v>164</v>
      </c>
      <c r="I423" t="s">
        <v>38</v>
      </c>
      <c r="J423" t="str">
        <f>"FY" &amp; IF(MONTH(GiftData[[#This Row],[Gift_Date]])&gt;=7, RIGHT(YEAR(GiftData[[#This Row],[Gift_Date]])+1, 2), RIGHT(YEAR(GiftData[[#This Row],[Gift_Date]]), 2))</f>
        <v>FY24</v>
      </c>
      <c r="K423">
        <f>IF(COUNTIFS(GiftData[Constituent_ID], GiftData[[#This Row],[Constituent_ID]], GiftData[Fiscal_Year], "FY24")&gt;0, 1, 0)</f>
        <v>1</v>
      </c>
      <c r="L423">
        <f>IF(COUNTIFS(GiftData[Constituent_ID], GiftData[[#This Row],[Constituent_ID]], GiftData[Fiscal_Year], "FY25")&gt;0, 1, 0)</f>
        <v>1</v>
      </c>
      <c r="M423">
        <f>IF(COUNTIFS(GiftData[Constituent_ID], GiftData[[#This Row],[Constituent_ID]], GiftData[Fiscal_Year], "FY26")&gt;0, 1, 0)</f>
        <v>1</v>
      </c>
      <c r="N423" t="str" cm="1">
        <f t="array" ref="N4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4" spans="1:14" x14ac:dyDescent="0.2">
      <c r="A424" t="s">
        <v>703</v>
      </c>
      <c r="B424" t="s">
        <v>105</v>
      </c>
      <c r="C424" t="s">
        <v>48</v>
      </c>
      <c r="D424" s="1">
        <v>45213</v>
      </c>
      <c r="E424">
        <v>176.21</v>
      </c>
      <c r="F424" t="s">
        <v>12</v>
      </c>
      <c r="G424" t="s">
        <v>13</v>
      </c>
      <c r="H424" t="s">
        <v>41</v>
      </c>
      <c r="I424" t="s">
        <v>38</v>
      </c>
      <c r="J424" t="str">
        <f>"FY" &amp; IF(MONTH(GiftData[[#This Row],[Gift_Date]])&gt;=7, RIGHT(YEAR(GiftData[[#This Row],[Gift_Date]])+1, 2), RIGHT(YEAR(GiftData[[#This Row],[Gift_Date]]), 2))</f>
        <v>FY24</v>
      </c>
      <c r="K424">
        <f>IF(COUNTIFS(GiftData[Constituent_ID], GiftData[[#This Row],[Constituent_ID]], GiftData[Fiscal_Year], "FY24")&gt;0, 1, 0)</f>
        <v>1</v>
      </c>
      <c r="L424">
        <f>IF(COUNTIFS(GiftData[Constituent_ID], GiftData[[#This Row],[Constituent_ID]], GiftData[Fiscal_Year], "FY25")&gt;0, 1, 0)</f>
        <v>1</v>
      </c>
      <c r="M424">
        <f>IF(COUNTIFS(GiftData[Constituent_ID], GiftData[[#This Row],[Constituent_ID]], GiftData[Fiscal_Year], "FY26")&gt;0, 1, 0)</f>
        <v>1</v>
      </c>
      <c r="N424" t="str" cm="1">
        <f t="array" ref="N4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5" spans="1:14" x14ac:dyDescent="0.2">
      <c r="A425" t="s">
        <v>704</v>
      </c>
      <c r="B425" t="s">
        <v>705</v>
      </c>
      <c r="C425" t="s">
        <v>18</v>
      </c>
      <c r="D425" s="1">
        <v>45777</v>
      </c>
      <c r="E425">
        <v>41.9</v>
      </c>
      <c r="F425" t="s">
        <v>59</v>
      </c>
      <c r="G425" t="s">
        <v>13</v>
      </c>
      <c r="H425" t="s">
        <v>164</v>
      </c>
      <c r="I425" t="s">
        <v>38</v>
      </c>
      <c r="J425" t="str">
        <f>"FY" &amp; IF(MONTH(GiftData[[#This Row],[Gift_Date]])&gt;=7, RIGHT(YEAR(GiftData[[#This Row],[Gift_Date]])+1, 2), RIGHT(YEAR(GiftData[[#This Row],[Gift_Date]]), 2))</f>
        <v>FY25</v>
      </c>
      <c r="K425">
        <f>IF(COUNTIFS(GiftData[Constituent_ID], GiftData[[#This Row],[Constituent_ID]], GiftData[Fiscal_Year], "FY24")&gt;0, 1, 0)</f>
        <v>0</v>
      </c>
      <c r="L425">
        <f>IF(COUNTIFS(GiftData[Constituent_ID], GiftData[[#This Row],[Constituent_ID]], GiftData[Fiscal_Year], "FY25")&gt;0, 1, 0)</f>
        <v>1</v>
      </c>
      <c r="M425">
        <f>IF(COUNTIFS(GiftData[Constituent_ID], GiftData[[#This Row],[Constituent_ID]], GiftData[Fiscal_Year], "FY26")&gt;0, 1, 0)</f>
        <v>1</v>
      </c>
      <c r="N425" t="str" cm="1">
        <f t="array" ref="N4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6" spans="1:14" x14ac:dyDescent="0.2">
      <c r="A426" t="s">
        <v>706</v>
      </c>
      <c r="B426" t="s">
        <v>312</v>
      </c>
      <c r="C426" t="s">
        <v>35</v>
      </c>
      <c r="D426" s="1">
        <v>45109</v>
      </c>
      <c r="E426">
        <v>15</v>
      </c>
      <c r="F426" t="s">
        <v>25</v>
      </c>
      <c r="G426" t="s">
        <v>13</v>
      </c>
      <c r="H426" t="s">
        <v>20</v>
      </c>
      <c r="I426" t="s">
        <v>15</v>
      </c>
      <c r="J426" t="str">
        <f>"FY" &amp; IF(MONTH(GiftData[[#This Row],[Gift_Date]])&gt;=7, RIGHT(YEAR(GiftData[[#This Row],[Gift_Date]])+1, 2), RIGHT(YEAR(GiftData[[#This Row],[Gift_Date]]), 2))</f>
        <v>FY24</v>
      </c>
      <c r="K426">
        <f>IF(COUNTIFS(GiftData[Constituent_ID], GiftData[[#This Row],[Constituent_ID]], GiftData[Fiscal_Year], "FY24")&gt;0, 1, 0)</f>
        <v>1</v>
      </c>
      <c r="L426">
        <f>IF(COUNTIFS(GiftData[Constituent_ID], GiftData[[#This Row],[Constituent_ID]], GiftData[Fiscal_Year], "FY25")&gt;0, 1, 0)</f>
        <v>1</v>
      </c>
      <c r="M426">
        <f>IF(COUNTIFS(GiftData[Constituent_ID], GiftData[[#This Row],[Constituent_ID]], GiftData[Fiscal_Year], "FY26")&gt;0, 1, 0)</f>
        <v>0</v>
      </c>
      <c r="N426" t="str" cm="1">
        <f t="array" ref="N4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27" spans="1:14" x14ac:dyDescent="0.2">
      <c r="A427" t="s">
        <v>707</v>
      </c>
      <c r="B427" t="s">
        <v>22</v>
      </c>
      <c r="C427" t="s">
        <v>28</v>
      </c>
      <c r="D427" s="1">
        <v>45696</v>
      </c>
      <c r="E427">
        <v>114.02</v>
      </c>
      <c r="F427" t="s">
        <v>12</v>
      </c>
      <c r="G427" t="s">
        <v>29</v>
      </c>
      <c r="H427" t="s">
        <v>20</v>
      </c>
      <c r="I427" t="s">
        <v>30</v>
      </c>
      <c r="J427" t="str">
        <f>"FY" &amp; IF(MONTH(GiftData[[#This Row],[Gift_Date]])&gt;=7, RIGHT(YEAR(GiftData[[#This Row],[Gift_Date]])+1, 2), RIGHT(YEAR(GiftData[[#This Row],[Gift_Date]]), 2))</f>
        <v>FY25</v>
      </c>
      <c r="K427">
        <f>IF(COUNTIFS(GiftData[Constituent_ID], GiftData[[#This Row],[Constituent_ID]], GiftData[Fiscal_Year], "FY24")&gt;0, 1, 0)</f>
        <v>1</v>
      </c>
      <c r="L427">
        <f>IF(COUNTIFS(GiftData[Constituent_ID], GiftData[[#This Row],[Constituent_ID]], GiftData[Fiscal_Year], "FY25")&gt;0, 1, 0)</f>
        <v>1</v>
      </c>
      <c r="M427">
        <f>IF(COUNTIFS(GiftData[Constituent_ID], GiftData[[#This Row],[Constituent_ID]], GiftData[Fiscal_Year], "FY26")&gt;0, 1, 0)</f>
        <v>1</v>
      </c>
      <c r="N427" t="str" cm="1">
        <f t="array" ref="N4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8" spans="1:14" x14ac:dyDescent="0.2">
      <c r="A428" t="s">
        <v>708</v>
      </c>
      <c r="B428" t="s">
        <v>419</v>
      </c>
      <c r="C428" t="s">
        <v>35</v>
      </c>
      <c r="D428" s="1">
        <v>45751</v>
      </c>
      <c r="E428">
        <v>126.51</v>
      </c>
      <c r="F428" t="s">
        <v>12</v>
      </c>
      <c r="G428" t="s">
        <v>13</v>
      </c>
      <c r="H428" t="s">
        <v>51</v>
      </c>
      <c r="I428" t="s">
        <v>38</v>
      </c>
      <c r="J428" t="str">
        <f>"FY" &amp; IF(MONTH(GiftData[[#This Row],[Gift_Date]])&gt;=7, RIGHT(YEAR(GiftData[[#This Row],[Gift_Date]])+1, 2), RIGHT(YEAR(GiftData[[#This Row],[Gift_Date]]), 2))</f>
        <v>FY25</v>
      </c>
      <c r="K428">
        <f>IF(COUNTIFS(GiftData[Constituent_ID], GiftData[[#This Row],[Constituent_ID]], GiftData[Fiscal_Year], "FY24")&gt;0, 1, 0)</f>
        <v>0</v>
      </c>
      <c r="L428">
        <f>IF(COUNTIFS(GiftData[Constituent_ID], GiftData[[#This Row],[Constituent_ID]], GiftData[Fiscal_Year], "FY25")&gt;0, 1, 0)</f>
        <v>1</v>
      </c>
      <c r="M428">
        <f>IF(COUNTIFS(GiftData[Constituent_ID], GiftData[[#This Row],[Constituent_ID]], GiftData[Fiscal_Year], "FY26")&gt;0, 1, 0)</f>
        <v>1</v>
      </c>
      <c r="N428" t="str" cm="1">
        <f t="array" ref="N4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29" spans="1:14" x14ac:dyDescent="0.2">
      <c r="A429" t="s">
        <v>709</v>
      </c>
      <c r="B429" t="s">
        <v>710</v>
      </c>
      <c r="C429" t="s">
        <v>11</v>
      </c>
      <c r="D429" s="1">
        <v>45197</v>
      </c>
      <c r="E429">
        <v>273.3</v>
      </c>
      <c r="F429" t="s">
        <v>12</v>
      </c>
      <c r="G429" t="s">
        <v>13</v>
      </c>
      <c r="H429" t="s">
        <v>41</v>
      </c>
      <c r="I429" t="s">
        <v>15</v>
      </c>
      <c r="J429" t="str">
        <f>"FY" &amp; IF(MONTH(GiftData[[#This Row],[Gift_Date]])&gt;=7, RIGHT(YEAR(GiftData[[#This Row],[Gift_Date]])+1, 2), RIGHT(YEAR(GiftData[[#This Row],[Gift_Date]]), 2))</f>
        <v>FY24</v>
      </c>
      <c r="K429">
        <f>IF(COUNTIFS(GiftData[Constituent_ID], GiftData[[#This Row],[Constituent_ID]], GiftData[Fiscal_Year], "FY24")&gt;0, 1, 0)</f>
        <v>1</v>
      </c>
      <c r="L429">
        <f>IF(COUNTIFS(GiftData[Constituent_ID], GiftData[[#This Row],[Constituent_ID]], GiftData[Fiscal_Year], "FY25")&gt;0, 1, 0)</f>
        <v>0</v>
      </c>
      <c r="M429">
        <f>IF(COUNTIFS(GiftData[Constituent_ID], GiftData[[#This Row],[Constituent_ID]], GiftData[Fiscal_Year], "FY26")&gt;0, 1, 0)</f>
        <v>1</v>
      </c>
      <c r="N429" t="str" cm="1">
        <f t="array" ref="N4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0" spans="1:14" x14ac:dyDescent="0.2">
      <c r="A430" t="s">
        <v>711</v>
      </c>
      <c r="B430" t="s">
        <v>173</v>
      </c>
      <c r="C430" t="s">
        <v>11</v>
      </c>
      <c r="D430" s="1">
        <v>45457</v>
      </c>
      <c r="E430">
        <v>91.58</v>
      </c>
      <c r="F430" t="s">
        <v>12</v>
      </c>
      <c r="G430" t="s">
        <v>29</v>
      </c>
      <c r="H430" t="s">
        <v>20</v>
      </c>
      <c r="I430" t="s">
        <v>38</v>
      </c>
      <c r="J430" t="str">
        <f>"FY" &amp; IF(MONTH(GiftData[[#This Row],[Gift_Date]])&gt;=7, RIGHT(YEAR(GiftData[[#This Row],[Gift_Date]])+1, 2), RIGHT(YEAR(GiftData[[#This Row],[Gift_Date]]), 2))</f>
        <v>FY24</v>
      </c>
      <c r="K430">
        <f>IF(COUNTIFS(GiftData[Constituent_ID], GiftData[[#This Row],[Constituent_ID]], GiftData[Fiscal_Year], "FY24")&gt;0, 1, 0)</f>
        <v>1</v>
      </c>
      <c r="L430">
        <f>IF(COUNTIFS(GiftData[Constituent_ID], GiftData[[#This Row],[Constituent_ID]], GiftData[Fiscal_Year], "FY25")&gt;0, 1, 0)</f>
        <v>0</v>
      </c>
      <c r="M430">
        <f>IF(COUNTIFS(GiftData[Constituent_ID], GiftData[[#This Row],[Constituent_ID]], GiftData[Fiscal_Year], "FY26")&gt;0, 1, 0)</f>
        <v>1</v>
      </c>
      <c r="N430" t="str" cm="1">
        <f t="array" ref="N4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1" spans="1:14" x14ac:dyDescent="0.2">
      <c r="A431" t="s">
        <v>712</v>
      </c>
      <c r="B431" t="s">
        <v>97</v>
      </c>
      <c r="C431" t="s">
        <v>35</v>
      </c>
      <c r="D431" s="1">
        <v>46016</v>
      </c>
      <c r="E431">
        <v>17.54</v>
      </c>
      <c r="F431" t="s">
        <v>25</v>
      </c>
      <c r="G431" t="s">
        <v>13</v>
      </c>
      <c r="H431" t="s">
        <v>20</v>
      </c>
      <c r="I431" t="s">
        <v>15</v>
      </c>
      <c r="J431" t="str">
        <f>"FY" &amp; IF(MONTH(GiftData[[#This Row],[Gift_Date]])&gt;=7, RIGHT(YEAR(GiftData[[#This Row],[Gift_Date]])+1, 2), RIGHT(YEAR(GiftData[[#This Row],[Gift_Date]]), 2))</f>
        <v>FY26</v>
      </c>
      <c r="K431">
        <f>IF(COUNTIFS(GiftData[Constituent_ID], GiftData[[#This Row],[Constituent_ID]], GiftData[Fiscal_Year], "FY24")&gt;0, 1, 0)</f>
        <v>1</v>
      </c>
      <c r="L431">
        <f>IF(COUNTIFS(GiftData[Constituent_ID], GiftData[[#This Row],[Constituent_ID]], GiftData[Fiscal_Year], "FY25")&gt;0, 1, 0)</f>
        <v>1</v>
      </c>
      <c r="M431">
        <f>IF(COUNTIFS(GiftData[Constituent_ID], GiftData[[#This Row],[Constituent_ID]], GiftData[Fiscal_Year], "FY26")&gt;0, 1, 0)</f>
        <v>1</v>
      </c>
      <c r="N431" t="str" cm="1">
        <f t="array" ref="N4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2" spans="1:14" x14ac:dyDescent="0.2">
      <c r="A432" t="s">
        <v>713</v>
      </c>
      <c r="B432" t="s">
        <v>714</v>
      </c>
      <c r="C432" t="s">
        <v>18</v>
      </c>
      <c r="D432" s="1">
        <v>45266</v>
      </c>
      <c r="E432">
        <v>41.71</v>
      </c>
      <c r="F432" t="s">
        <v>12</v>
      </c>
      <c r="G432" t="s">
        <v>13</v>
      </c>
      <c r="H432" t="s">
        <v>51</v>
      </c>
      <c r="I432" t="s">
        <v>15</v>
      </c>
      <c r="J432" t="str">
        <f>"FY" &amp; IF(MONTH(GiftData[[#This Row],[Gift_Date]])&gt;=7, RIGHT(YEAR(GiftData[[#This Row],[Gift_Date]])+1, 2), RIGHT(YEAR(GiftData[[#This Row],[Gift_Date]]), 2))</f>
        <v>FY24</v>
      </c>
      <c r="K432">
        <f>IF(COUNTIFS(GiftData[Constituent_ID], GiftData[[#This Row],[Constituent_ID]], GiftData[Fiscal_Year], "FY24")&gt;0, 1, 0)</f>
        <v>1</v>
      </c>
      <c r="L432">
        <f>IF(COUNTIFS(GiftData[Constituent_ID], GiftData[[#This Row],[Constituent_ID]], GiftData[Fiscal_Year], "FY25")&gt;0, 1, 0)</f>
        <v>1</v>
      </c>
      <c r="M432">
        <f>IF(COUNTIFS(GiftData[Constituent_ID], GiftData[[#This Row],[Constituent_ID]], GiftData[Fiscal_Year], "FY26")&gt;0, 1, 0)</f>
        <v>0</v>
      </c>
      <c r="N432" t="str" cm="1">
        <f t="array" ref="N4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33" spans="1:14" x14ac:dyDescent="0.2">
      <c r="A433" t="s">
        <v>715</v>
      </c>
      <c r="B433" t="s">
        <v>572</v>
      </c>
      <c r="C433" t="s">
        <v>18</v>
      </c>
      <c r="D433" s="1">
        <v>46066</v>
      </c>
      <c r="E433">
        <v>673.2</v>
      </c>
      <c r="F433" t="s">
        <v>12</v>
      </c>
      <c r="G433" t="s">
        <v>29</v>
      </c>
      <c r="H433" t="s">
        <v>14</v>
      </c>
      <c r="I433" t="s">
        <v>15</v>
      </c>
      <c r="J433" t="str">
        <f>"FY" &amp; IF(MONTH(GiftData[[#This Row],[Gift_Date]])&gt;=7, RIGHT(YEAR(GiftData[[#This Row],[Gift_Date]])+1, 2), RIGHT(YEAR(GiftData[[#This Row],[Gift_Date]]), 2))</f>
        <v>FY26</v>
      </c>
      <c r="K433">
        <f>IF(COUNTIFS(GiftData[Constituent_ID], GiftData[[#This Row],[Constituent_ID]], GiftData[Fiscal_Year], "FY24")&gt;0, 1, 0)</f>
        <v>0</v>
      </c>
      <c r="L433">
        <f>IF(COUNTIFS(GiftData[Constituent_ID], GiftData[[#This Row],[Constituent_ID]], GiftData[Fiscal_Year], "FY25")&gt;0, 1, 0)</f>
        <v>1</v>
      </c>
      <c r="M433">
        <f>IF(COUNTIFS(GiftData[Constituent_ID], GiftData[[#This Row],[Constituent_ID]], GiftData[Fiscal_Year], "FY26")&gt;0, 1, 0)</f>
        <v>1</v>
      </c>
      <c r="N433" t="str" cm="1">
        <f t="array" ref="N4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4" spans="1:14" x14ac:dyDescent="0.2">
      <c r="A434" t="s">
        <v>716</v>
      </c>
      <c r="B434" t="s">
        <v>373</v>
      </c>
      <c r="C434" t="s">
        <v>28</v>
      </c>
      <c r="D434" s="1">
        <v>45419</v>
      </c>
      <c r="E434">
        <v>40.950000000000003</v>
      </c>
      <c r="F434" t="s">
        <v>12</v>
      </c>
      <c r="G434" t="s">
        <v>13</v>
      </c>
      <c r="H434" t="s">
        <v>41</v>
      </c>
      <c r="I434" t="s">
        <v>38</v>
      </c>
      <c r="J434" t="str">
        <f>"FY" &amp; IF(MONTH(GiftData[[#This Row],[Gift_Date]])&gt;=7, RIGHT(YEAR(GiftData[[#This Row],[Gift_Date]])+1, 2), RIGHT(YEAR(GiftData[[#This Row],[Gift_Date]]), 2))</f>
        <v>FY24</v>
      </c>
      <c r="K434">
        <f>IF(COUNTIFS(GiftData[Constituent_ID], GiftData[[#This Row],[Constituent_ID]], GiftData[Fiscal_Year], "FY24")&gt;0, 1, 0)</f>
        <v>1</v>
      </c>
      <c r="L434">
        <f>IF(COUNTIFS(GiftData[Constituent_ID], GiftData[[#This Row],[Constituent_ID]], GiftData[Fiscal_Year], "FY25")&gt;0, 1, 0)</f>
        <v>1</v>
      </c>
      <c r="M434">
        <f>IF(COUNTIFS(GiftData[Constituent_ID], GiftData[[#This Row],[Constituent_ID]], GiftData[Fiscal_Year], "FY26")&gt;0, 1, 0)</f>
        <v>1</v>
      </c>
      <c r="N434" t="str" cm="1">
        <f t="array" ref="N4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5" spans="1:14" x14ac:dyDescent="0.2">
      <c r="A435" t="s">
        <v>717</v>
      </c>
      <c r="B435" t="s">
        <v>718</v>
      </c>
      <c r="C435" t="s">
        <v>11</v>
      </c>
      <c r="D435" s="1">
        <v>45552</v>
      </c>
      <c r="E435">
        <v>951.65</v>
      </c>
      <c r="F435" t="s">
        <v>12</v>
      </c>
      <c r="G435" t="s">
        <v>13</v>
      </c>
      <c r="H435" t="s">
        <v>20</v>
      </c>
      <c r="I435" t="s">
        <v>56</v>
      </c>
      <c r="J435" t="str">
        <f>"FY" &amp; IF(MONTH(GiftData[[#This Row],[Gift_Date]])&gt;=7, RIGHT(YEAR(GiftData[[#This Row],[Gift_Date]])+1, 2), RIGHT(YEAR(GiftData[[#This Row],[Gift_Date]]), 2))</f>
        <v>FY25</v>
      </c>
      <c r="K435">
        <f>IF(COUNTIFS(GiftData[Constituent_ID], GiftData[[#This Row],[Constituent_ID]], GiftData[Fiscal_Year], "FY24")&gt;0, 1, 0)</f>
        <v>0</v>
      </c>
      <c r="L435">
        <f>IF(COUNTIFS(GiftData[Constituent_ID], GiftData[[#This Row],[Constituent_ID]], GiftData[Fiscal_Year], "FY25")&gt;0, 1, 0)</f>
        <v>1</v>
      </c>
      <c r="M435">
        <f>IF(COUNTIFS(GiftData[Constituent_ID], GiftData[[#This Row],[Constituent_ID]], GiftData[Fiscal_Year], "FY26")&gt;0, 1, 0)</f>
        <v>0</v>
      </c>
      <c r="N435" t="str" cm="1">
        <f t="array" ref="N4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36" spans="1:14" x14ac:dyDescent="0.2">
      <c r="A436" t="s">
        <v>719</v>
      </c>
      <c r="B436" t="s">
        <v>693</v>
      </c>
      <c r="C436" t="s">
        <v>11</v>
      </c>
      <c r="D436" s="1">
        <v>45405</v>
      </c>
      <c r="E436">
        <v>475.79</v>
      </c>
      <c r="F436" t="s">
        <v>25</v>
      </c>
      <c r="G436" t="s">
        <v>13</v>
      </c>
      <c r="H436" t="s">
        <v>14</v>
      </c>
      <c r="I436" t="s">
        <v>38</v>
      </c>
      <c r="J436" t="str">
        <f>"FY" &amp; IF(MONTH(GiftData[[#This Row],[Gift_Date]])&gt;=7, RIGHT(YEAR(GiftData[[#This Row],[Gift_Date]])+1, 2), RIGHT(YEAR(GiftData[[#This Row],[Gift_Date]]), 2))</f>
        <v>FY24</v>
      </c>
      <c r="K436">
        <f>IF(COUNTIFS(GiftData[Constituent_ID], GiftData[[#This Row],[Constituent_ID]], GiftData[Fiscal_Year], "FY24")&gt;0, 1, 0)</f>
        <v>1</v>
      </c>
      <c r="L436">
        <f>IF(COUNTIFS(GiftData[Constituent_ID], GiftData[[#This Row],[Constituent_ID]], GiftData[Fiscal_Year], "FY25")&gt;0, 1, 0)</f>
        <v>0</v>
      </c>
      <c r="M436">
        <f>IF(COUNTIFS(GiftData[Constituent_ID], GiftData[[#This Row],[Constituent_ID]], GiftData[Fiscal_Year], "FY26")&gt;0, 1, 0)</f>
        <v>1</v>
      </c>
      <c r="N436" t="str" cm="1">
        <f t="array" ref="N4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7" spans="1:14" x14ac:dyDescent="0.2">
      <c r="A437" t="s">
        <v>720</v>
      </c>
      <c r="B437" t="s">
        <v>690</v>
      </c>
      <c r="C437" t="s">
        <v>11</v>
      </c>
      <c r="D437" s="1">
        <v>46059</v>
      </c>
      <c r="E437">
        <v>80.39</v>
      </c>
      <c r="F437" t="s">
        <v>59</v>
      </c>
      <c r="G437" t="s">
        <v>13</v>
      </c>
      <c r="H437" t="s">
        <v>164</v>
      </c>
      <c r="I437" t="s">
        <v>15</v>
      </c>
      <c r="J437" t="str">
        <f>"FY" &amp; IF(MONTH(GiftData[[#This Row],[Gift_Date]])&gt;=7, RIGHT(YEAR(GiftData[[#This Row],[Gift_Date]])+1, 2), RIGHT(YEAR(GiftData[[#This Row],[Gift_Date]]), 2))</f>
        <v>FY26</v>
      </c>
      <c r="K437">
        <f>IF(COUNTIFS(GiftData[Constituent_ID], GiftData[[#This Row],[Constituent_ID]], GiftData[Fiscal_Year], "FY24")&gt;0, 1, 0)</f>
        <v>0</v>
      </c>
      <c r="L437">
        <f>IF(COUNTIFS(GiftData[Constituent_ID], GiftData[[#This Row],[Constituent_ID]], GiftData[Fiscal_Year], "FY25")&gt;0, 1, 0)</f>
        <v>1</v>
      </c>
      <c r="M437">
        <f>IF(COUNTIFS(GiftData[Constituent_ID], GiftData[[#This Row],[Constituent_ID]], GiftData[Fiscal_Year], "FY26")&gt;0, 1, 0)</f>
        <v>1</v>
      </c>
      <c r="N437" t="str" cm="1">
        <f t="array" ref="N4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8" spans="1:14" x14ac:dyDescent="0.2">
      <c r="A438" t="s">
        <v>721</v>
      </c>
      <c r="B438" t="s">
        <v>398</v>
      </c>
      <c r="C438" t="s">
        <v>11</v>
      </c>
      <c r="D438" s="1">
        <v>45143</v>
      </c>
      <c r="E438">
        <v>47.1</v>
      </c>
      <c r="F438" t="s">
        <v>12</v>
      </c>
      <c r="G438" t="s">
        <v>13</v>
      </c>
      <c r="H438" t="s">
        <v>20</v>
      </c>
      <c r="I438" t="s">
        <v>15</v>
      </c>
      <c r="J438" t="str">
        <f>"FY" &amp; IF(MONTH(GiftData[[#This Row],[Gift_Date]])&gt;=7, RIGHT(YEAR(GiftData[[#This Row],[Gift_Date]])+1, 2), RIGHT(YEAR(GiftData[[#This Row],[Gift_Date]]), 2))</f>
        <v>FY24</v>
      </c>
      <c r="K438">
        <f>IF(COUNTIFS(GiftData[Constituent_ID], GiftData[[#This Row],[Constituent_ID]], GiftData[Fiscal_Year], "FY24")&gt;0, 1, 0)</f>
        <v>1</v>
      </c>
      <c r="L438">
        <f>IF(COUNTIFS(GiftData[Constituent_ID], GiftData[[#This Row],[Constituent_ID]], GiftData[Fiscal_Year], "FY25")&gt;0, 1, 0)</f>
        <v>1</v>
      </c>
      <c r="M438">
        <f>IF(COUNTIFS(GiftData[Constituent_ID], GiftData[[#This Row],[Constituent_ID]], GiftData[Fiscal_Year], "FY26")&gt;0, 1, 0)</f>
        <v>1</v>
      </c>
      <c r="N438" t="str" cm="1">
        <f t="array" ref="N4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39" spans="1:14" x14ac:dyDescent="0.2">
      <c r="A439" t="s">
        <v>722</v>
      </c>
      <c r="B439" t="s">
        <v>430</v>
      </c>
      <c r="C439" t="s">
        <v>35</v>
      </c>
      <c r="D439" s="1">
        <v>45666</v>
      </c>
      <c r="E439">
        <v>474.51</v>
      </c>
      <c r="F439" t="s">
        <v>59</v>
      </c>
      <c r="G439" t="s">
        <v>29</v>
      </c>
      <c r="H439" t="s">
        <v>14</v>
      </c>
      <c r="I439" t="s">
        <v>15</v>
      </c>
      <c r="J439" t="str">
        <f>"FY" &amp; IF(MONTH(GiftData[[#This Row],[Gift_Date]])&gt;=7, RIGHT(YEAR(GiftData[[#This Row],[Gift_Date]])+1, 2), RIGHT(YEAR(GiftData[[#This Row],[Gift_Date]]), 2))</f>
        <v>FY25</v>
      </c>
      <c r="K439">
        <f>IF(COUNTIFS(GiftData[Constituent_ID], GiftData[[#This Row],[Constituent_ID]], GiftData[Fiscal_Year], "FY24")&gt;0, 1, 0)</f>
        <v>0</v>
      </c>
      <c r="L439">
        <f>IF(COUNTIFS(GiftData[Constituent_ID], GiftData[[#This Row],[Constituent_ID]], GiftData[Fiscal_Year], "FY25")&gt;0, 1, 0)</f>
        <v>1</v>
      </c>
      <c r="M439">
        <f>IF(COUNTIFS(GiftData[Constituent_ID], GiftData[[#This Row],[Constituent_ID]], GiftData[Fiscal_Year], "FY26")&gt;0, 1, 0)</f>
        <v>1</v>
      </c>
      <c r="N439" t="str" cm="1">
        <f t="array" ref="N4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0" spans="1:14" x14ac:dyDescent="0.2">
      <c r="A440" t="s">
        <v>723</v>
      </c>
      <c r="B440" t="s">
        <v>522</v>
      </c>
      <c r="C440" t="s">
        <v>28</v>
      </c>
      <c r="D440" s="1">
        <v>45998</v>
      </c>
      <c r="E440">
        <v>88.84</v>
      </c>
      <c r="F440" t="s">
        <v>12</v>
      </c>
      <c r="G440" t="s">
        <v>13</v>
      </c>
      <c r="H440" t="s">
        <v>51</v>
      </c>
      <c r="I440" t="s">
        <v>15</v>
      </c>
      <c r="J440" t="str">
        <f>"FY" &amp; IF(MONTH(GiftData[[#This Row],[Gift_Date]])&gt;=7, RIGHT(YEAR(GiftData[[#This Row],[Gift_Date]])+1, 2), RIGHT(YEAR(GiftData[[#This Row],[Gift_Date]]), 2))</f>
        <v>FY26</v>
      </c>
      <c r="K440">
        <f>IF(COUNTIFS(GiftData[Constituent_ID], GiftData[[#This Row],[Constituent_ID]], GiftData[Fiscal_Year], "FY24")&gt;0, 1, 0)</f>
        <v>1</v>
      </c>
      <c r="L440">
        <f>IF(COUNTIFS(GiftData[Constituent_ID], GiftData[[#This Row],[Constituent_ID]], GiftData[Fiscal_Year], "FY25")&gt;0, 1, 0)</f>
        <v>1</v>
      </c>
      <c r="M440">
        <f>IF(COUNTIFS(GiftData[Constituent_ID], GiftData[[#This Row],[Constituent_ID]], GiftData[Fiscal_Year], "FY26")&gt;0, 1, 0)</f>
        <v>1</v>
      </c>
      <c r="N440" t="str" cm="1">
        <f t="array" ref="N4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1" spans="1:14" x14ac:dyDescent="0.2">
      <c r="A441" t="s">
        <v>724</v>
      </c>
      <c r="B441" t="s">
        <v>725</v>
      </c>
      <c r="C441" t="s">
        <v>35</v>
      </c>
      <c r="D441" s="1">
        <v>45248</v>
      </c>
      <c r="E441">
        <v>16.29</v>
      </c>
      <c r="F441" t="s">
        <v>12</v>
      </c>
      <c r="G441" t="s">
        <v>13</v>
      </c>
      <c r="H441" t="s">
        <v>20</v>
      </c>
      <c r="I441" t="s">
        <v>38</v>
      </c>
      <c r="J441" t="str">
        <f>"FY" &amp; IF(MONTH(GiftData[[#This Row],[Gift_Date]])&gt;=7, RIGHT(YEAR(GiftData[[#This Row],[Gift_Date]])+1, 2), RIGHT(YEAR(GiftData[[#This Row],[Gift_Date]]), 2))</f>
        <v>FY24</v>
      </c>
      <c r="K441">
        <f>IF(COUNTIFS(GiftData[Constituent_ID], GiftData[[#This Row],[Constituent_ID]], GiftData[Fiscal_Year], "FY24")&gt;0, 1, 0)</f>
        <v>1</v>
      </c>
      <c r="L441">
        <f>IF(COUNTIFS(GiftData[Constituent_ID], GiftData[[#This Row],[Constituent_ID]], GiftData[Fiscal_Year], "FY25")&gt;0, 1, 0)</f>
        <v>1</v>
      </c>
      <c r="M441">
        <f>IF(COUNTIFS(GiftData[Constituent_ID], GiftData[[#This Row],[Constituent_ID]], GiftData[Fiscal_Year], "FY26")&gt;0, 1, 0)</f>
        <v>0</v>
      </c>
      <c r="N441" t="str" cm="1">
        <f t="array" ref="N4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42" spans="1:14" x14ac:dyDescent="0.2">
      <c r="A442" t="s">
        <v>726</v>
      </c>
      <c r="B442" t="s">
        <v>95</v>
      </c>
      <c r="C442" t="s">
        <v>48</v>
      </c>
      <c r="D442" s="1">
        <v>45994</v>
      </c>
      <c r="E442">
        <v>252.4</v>
      </c>
      <c r="F442" t="s">
        <v>12</v>
      </c>
      <c r="G442" t="s">
        <v>13</v>
      </c>
      <c r="H442" t="s">
        <v>14</v>
      </c>
      <c r="I442" t="s">
        <v>56</v>
      </c>
      <c r="J442" t="str">
        <f>"FY" &amp; IF(MONTH(GiftData[[#This Row],[Gift_Date]])&gt;=7, RIGHT(YEAR(GiftData[[#This Row],[Gift_Date]])+1, 2), RIGHT(YEAR(GiftData[[#This Row],[Gift_Date]]), 2))</f>
        <v>FY26</v>
      </c>
      <c r="K442">
        <f>IF(COUNTIFS(GiftData[Constituent_ID], GiftData[[#This Row],[Constituent_ID]], GiftData[Fiscal_Year], "FY24")&gt;0, 1, 0)</f>
        <v>1</v>
      </c>
      <c r="L442">
        <f>IF(COUNTIFS(GiftData[Constituent_ID], GiftData[[#This Row],[Constituent_ID]], GiftData[Fiscal_Year], "FY25")&gt;0, 1, 0)</f>
        <v>0</v>
      </c>
      <c r="M442">
        <f>IF(COUNTIFS(GiftData[Constituent_ID], GiftData[[#This Row],[Constituent_ID]], GiftData[Fiscal_Year], "FY26")&gt;0, 1, 0)</f>
        <v>1</v>
      </c>
      <c r="N442" t="str" cm="1">
        <f t="array" ref="N4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3" spans="1:14" x14ac:dyDescent="0.2">
      <c r="A443" t="s">
        <v>727</v>
      </c>
      <c r="B443" t="s">
        <v>298</v>
      </c>
      <c r="C443" t="s">
        <v>11</v>
      </c>
      <c r="D443" s="1">
        <v>45833</v>
      </c>
      <c r="E443">
        <v>209.02</v>
      </c>
      <c r="F443" t="s">
        <v>12</v>
      </c>
      <c r="G443" t="s">
        <v>13</v>
      </c>
      <c r="H443" t="s">
        <v>41</v>
      </c>
      <c r="I443" t="s">
        <v>15</v>
      </c>
      <c r="J443" t="str">
        <f>"FY" &amp; IF(MONTH(GiftData[[#This Row],[Gift_Date]])&gt;=7, RIGHT(YEAR(GiftData[[#This Row],[Gift_Date]])+1, 2), RIGHT(YEAR(GiftData[[#This Row],[Gift_Date]]), 2))</f>
        <v>FY25</v>
      </c>
      <c r="K443">
        <f>IF(COUNTIFS(GiftData[Constituent_ID], GiftData[[#This Row],[Constituent_ID]], GiftData[Fiscal_Year], "FY24")&gt;0, 1, 0)</f>
        <v>1</v>
      </c>
      <c r="L443">
        <f>IF(COUNTIFS(GiftData[Constituent_ID], GiftData[[#This Row],[Constituent_ID]], GiftData[Fiscal_Year], "FY25")&gt;0, 1, 0)</f>
        <v>1</v>
      </c>
      <c r="M443">
        <f>IF(COUNTIFS(GiftData[Constituent_ID], GiftData[[#This Row],[Constituent_ID]], GiftData[Fiscal_Year], "FY26")&gt;0, 1, 0)</f>
        <v>1</v>
      </c>
      <c r="N443" t="str" cm="1">
        <f t="array" ref="N4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4" spans="1:14" x14ac:dyDescent="0.2">
      <c r="A444" t="s">
        <v>728</v>
      </c>
      <c r="B444" t="s">
        <v>544</v>
      </c>
      <c r="C444" t="s">
        <v>18</v>
      </c>
      <c r="D444" s="1">
        <v>46157</v>
      </c>
      <c r="E444">
        <v>533.26</v>
      </c>
      <c r="F444" t="s">
        <v>12</v>
      </c>
      <c r="G444" t="s">
        <v>13</v>
      </c>
      <c r="H444" t="s">
        <v>14</v>
      </c>
      <c r="I444" t="s">
        <v>38</v>
      </c>
      <c r="J444" t="str">
        <f>"FY" &amp; IF(MONTH(GiftData[[#This Row],[Gift_Date]])&gt;=7, RIGHT(YEAR(GiftData[[#This Row],[Gift_Date]])+1, 2), RIGHT(YEAR(GiftData[[#This Row],[Gift_Date]]), 2))</f>
        <v>FY26</v>
      </c>
      <c r="K444">
        <f>IF(COUNTIFS(GiftData[Constituent_ID], GiftData[[#This Row],[Constituent_ID]], GiftData[Fiscal_Year], "FY24")&gt;0, 1, 0)</f>
        <v>1</v>
      </c>
      <c r="L444">
        <f>IF(COUNTIFS(GiftData[Constituent_ID], GiftData[[#This Row],[Constituent_ID]], GiftData[Fiscal_Year], "FY25")&gt;0, 1, 0)</f>
        <v>1</v>
      </c>
      <c r="M444">
        <f>IF(COUNTIFS(GiftData[Constituent_ID], GiftData[[#This Row],[Constituent_ID]], GiftData[Fiscal_Year], "FY26")&gt;0, 1, 0)</f>
        <v>1</v>
      </c>
      <c r="N444" t="str" cm="1">
        <f t="array" ref="N4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5" spans="1:14" x14ac:dyDescent="0.2">
      <c r="A445" t="s">
        <v>729</v>
      </c>
      <c r="B445" t="s">
        <v>398</v>
      </c>
      <c r="C445" t="s">
        <v>18</v>
      </c>
      <c r="D445" s="1">
        <v>45628</v>
      </c>
      <c r="E445">
        <v>191.42</v>
      </c>
      <c r="F445" t="s">
        <v>12</v>
      </c>
      <c r="G445" t="s">
        <v>13</v>
      </c>
      <c r="H445" t="s">
        <v>14</v>
      </c>
      <c r="I445" t="s">
        <v>56</v>
      </c>
      <c r="J445" t="str">
        <f>"FY" &amp; IF(MONTH(GiftData[[#This Row],[Gift_Date]])&gt;=7, RIGHT(YEAR(GiftData[[#This Row],[Gift_Date]])+1, 2), RIGHT(YEAR(GiftData[[#This Row],[Gift_Date]]), 2))</f>
        <v>FY25</v>
      </c>
      <c r="K445">
        <f>IF(COUNTIFS(GiftData[Constituent_ID], GiftData[[#This Row],[Constituent_ID]], GiftData[Fiscal_Year], "FY24")&gt;0, 1, 0)</f>
        <v>1</v>
      </c>
      <c r="L445">
        <f>IF(COUNTIFS(GiftData[Constituent_ID], GiftData[[#This Row],[Constituent_ID]], GiftData[Fiscal_Year], "FY25")&gt;0, 1, 0)</f>
        <v>1</v>
      </c>
      <c r="M445">
        <f>IF(COUNTIFS(GiftData[Constituent_ID], GiftData[[#This Row],[Constituent_ID]], GiftData[Fiscal_Year], "FY26")&gt;0, 1, 0)</f>
        <v>1</v>
      </c>
      <c r="N445" t="str" cm="1">
        <f t="array" ref="N4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6" spans="1:14" x14ac:dyDescent="0.2">
      <c r="A446" t="s">
        <v>730</v>
      </c>
      <c r="B446" t="s">
        <v>192</v>
      </c>
      <c r="C446" t="s">
        <v>11</v>
      </c>
      <c r="D446" s="1">
        <v>45117</v>
      </c>
      <c r="E446">
        <v>59.51</v>
      </c>
      <c r="F446" t="s">
        <v>59</v>
      </c>
      <c r="G446" t="s">
        <v>13</v>
      </c>
      <c r="H446" t="s">
        <v>14</v>
      </c>
      <c r="I446" t="s">
        <v>15</v>
      </c>
      <c r="J446" t="str">
        <f>"FY" &amp; IF(MONTH(GiftData[[#This Row],[Gift_Date]])&gt;=7, RIGHT(YEAR(GiftData[[#This Row],[Gift_Date]])+1, 2), RIGHT(YEAR(GiftData[[#This Row],[Gift_Date]]), 2))</f>
        <v>FY24</v>
      </c>
      <c r="K446">
        <f>IF(COUNTIFS(GiftData[Constituent_ID], GiftData[[#This Row],[Constituent_ID]], GiftData[Fiscal_Year], "FY24")&gt;0, 1, 0)</f>
        <v>1</v>
      </c>
      <c r="L446">
        <f>IF(COUNTIFS(GiftData[Constituent_ID], GiftData[[#This Row],[Constituent_ID]], GiftData[Fiscal_Year], "FY25")&gt;0, 1, 0)</f>
        <v>1</v>
      </c>
      <c r="M446">
        <f>IF(COUNTIFS(GiftData[Constituent_ID], GiftData[[#This Row],[Constituent_ID]], GiftData[Fiscal_Year], "FY26")&gt;0, 1, 0)</f>
        <v>1</v>
      </c>
      <c r="N446" t="str" cm="1">
        <f t="array" ref="N4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7" spans="1:14" x14ac:dyDescent="0.2">
      <c r="A447" t="s">
        <v>731</v>
      </c>
      <c r="B447" t="s">
        <v>361</v>
      </c>
      <c r="C447" t="s">
        <v>48</v>
      </c>
      <c r="D447" s="1">
        <v>46091</v>
      </c>
      <c r="E447">
        <v>633.07000000000005</v>
      </c>
      <c r="F447" t="s">
        <v>12</v>
      </c>
      <c r="G447" t="s">
        <v>13</v>
      </c>
      <c r="H447" t="s">
        <v>14</v>
      </c>
      <c r="I447" t="s">
        <v>38</v>
      </c>
      <c r="J447" t="str">
        <f>"FY" &amp; IF(MONTH(GiftData[[#This Row],[Gift_Date]])&gt;=7, RIGHT(YEAR(GiftData[[#This Row],[Gift_Date]])+1, 2), RIGHT(YEAR(GiftData[[#This Row],[Gift_Date]]), 2))</f>
        <v>FY26</v>
      </c>
      <c r="K447">
        <f>IF(COUNTIFS(GiftData[Constituent_ID], GiftData[[#This Row],[Constituent_ID]], GiftData[Fiscal_Year], "FY24")&gt;0, 1, 0)</f>
        <v>1</v>
      </c>
      <c r="L447">
        <f>IF(COUNTIFS(GiftData[Constituent_ID], GiftData[[#This Row],[Constituent_ID]], GiftData[Fiscal_Year], "FY25")&gt;0, 1, 0)</f>
        <v>1</v>
      </c>
      <c r="M447">
        <f>IF(COUNTIFS(GiftData[Constituent_ID], GiftData[[#This Row],[Constituent_ID]], GiftData[Fiscal_Year], "FY26")&gt;0, 1, 0)</f>
        <v>1</v>
      </c>
      <c r="N447" t="str" cm="1">
        <f t="array" ref="N4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8" spans="1:14" x14ac:dyDescent="0.2">
      <c r="A448" t="s">
        <v>732</v>
      </c>
      <c r="B448" t="s">
        <v>456</v>
      </c>
      <c r="C448" t="s">
        <v>11</v>
      </c>
      <c r="D448" s="1">
        <v>45485</v>
      </c>
      <c r="E448">
        <v>718.44</v>
      </c>
      <c r="F448" t="s">
        <v>25</v>
      </c>
      <c r="G448" t="s">
        <v>13</v>
      </c>
      <c r="H448" t="s">
        <v>41</v>
      </c>
      <c r="I448" t="s">
        <v>38</v>
      </c>
      <c r="J448" t="str">
        <f>"FY" &amp; IF(MONTH(GiftData[[#This Row],[Gift_Date]])&gt;=7, RIGHT(YEAR(GiftData[[#This Row],[Gift_Date]])+1, 2), RIGHT(YEAR(GiftData[[#This Row],[Gift_Date]]), 2))</f>
        <v>FY25</v>
      </c>
      <c r="K448">
        <f>IF(COUNTIFS(GiftData[Constituent_ID], GiftData[[#This Row],[Constituent_ID]], GiftData[Fiscal_Year], "FY24")&gt;0, 1, 0)</f>
        <v>1</v>
      </c>
      <c r="L448">
        <f>IF(COUNTIFS(GiftData[Constituent_ID], GiftData[[#This Row],[Constituent_ID]], GiftData[Fiscal_Year], "FY25")&gt;0, 1, 0)</f>
        <v>1</v>
      </c>
      <c r="M448">
        <f>IF(COUNTIFS(GiftData[Constituent_ID], GiftData[[#This Row],[Constituent_ID]], GiftData[Fiscal_Year], "FY26")&gt;0, 1, 0)</f>
        <v>1</v>
      </c>
      <c r="N448" t="str" cm="1">
        <f t="array" ref="N4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49" spans="1:14" x14ac:dyDescent="0.2">
      <c r="A449" t="s">
        <v>733</v>
      </c>
      <c r="B449" t="s">
        <v>273</v>
      </c>
      <c r="C449" t="s">
        <v>11</v>
      </c>
      <c r="D449" s="1">
        <v>45789</v>
      </c>
      <c r="E449">
        <v>164.54</v>
      </c>
      <c r="F449" t="s">
        <v>12</v>
      </c>
      <c r="G449" t="s">
        <v>13</v>
      </c>
      <c r="H449" t="s">
        <v>41</v>
      </c>
      <c r="I449" t="s">
        <v>38</v>
      </c>
      <c r="J449" t="str">
        <f>"FY" &amp; IF(MONTH(GiftData[[#This Row],[Gift_Date]])&gt;=7, RIGHT(YEAR(GiftData[[#This Row],[Gift_Date]])+1, 2), RIGHT(YEAR(GiftData[[#This Row],[Gift_Date]]), 2))</f>
        <v>FY25</v>
      </c>
      <c r="K449">
        <f>IF(COUNTIFS(GiftData[Constituent_ID], GiftData[[#This Row],[Constituent_ID]], GiftData[Fiscal_Year], "FY24")&gt;0, 1, 0)</f>
        <v>0</v>
      </c>
      <c r="L449">
        <f>IF(COUNTIFS(GiftData[Constituent_ID], GiftData[[#This Row],[Constituent_ID]], GiftData[Fiscal_Year], "FY25")&gt;0, 1, 0)</f>
        <v>1</v>
      </c>
      <c r="M449">
        <f>IF(COUNTIFS(GiftData[Constituent_ID], GiftData[[#This Row],[Constituent_ID]], GiftData[Fiscal_Year], "FY26")&gt;0, 1, 0)</f>
        <v>0</v>
      </c>
      <c r="N449" t="str" cm="1">
        <f t="array" ref="N4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50" spans="1:14" x14ac:dyDescent="0.2">
      <c r="A450" t="s">
        <v>734</v>
      </c>
      <c r="B450" t="s">
        <v>735</v>
      </c>
      <c r="C450" t="s">
        <v>11</v>
      </c>
      <c r="D450" s="1">
        <v>45691</v>
      </c>
      <c r="E450">
        <v>131.41999999999999</v>
      </c>
      <c r="F450" t="s">
        <v>59</v>
      </c>
      <c r="G450" t="s">
        <v>13</v>
      </c>
      <c r="H450" t="s">
        <v>20</v>
      </c>
      <c r="I450" t="s">
        <v>15</v>
      </c>
      <c r="J450" t="str">
        <f>"FY" &amp; IF(MONTH(GiftData[[#This Row],[Gift_Date]])&gt;=7, RIGHT(YEAR(GiftData[[#This Row],[Gift_Date]])+1, 2), RIGHT(YEAR(GiftData[[#This Row],[Gift_Date]]), 2))</f>
        <v>FY25</v>
      </c>
      <c r="K450">
        <f>IF(COUNTIFS(GiftData[Constituent_ID], GiftData[[#This Row],[Constituent_ID]], GiftData[Fiscal_Year], "FY24")&gt;0, 1, 0)</f>
        <v>1</v>
      </c>
      <c r="L450">
        <f>IF(COUNTIFS(GiftData[Constituent_ID], GiftData[[#This Row],[Constituent_ID]], GiftData[Fiscal_Year], "FY25")&gt;0, 1, 0)</f>
        <v>1</v>
      </c>
      <c r="M450">
        <f>IF(COUNTIFS(GiftData[Constituent_ID], GiftData[[#This Row],[Constituent_ID]], GiftData[Fiscal_Year], "FY26")&gt;0, 1, 0)</f>
        <v>0</v>
      </c>
      <c r="N450" t="str" cm="1">
        <f t="array" ref="N4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51" spans="1:14" x14ac:dyDescent="0.2">
      <c r="A451" t="s">
        <v>736</v>
      </c>
      <c r="B451" t="s">
        <v>632</v>
      </c>
      <c r="C451" t="s">
        <v>28</v>
      </c>
      <c r="D451" s="1">
        <v>45259</v>
      </c>
      <c r="E451">
        <v>21.75</v>
      </c>
      <c r="F451" t="s">
        <v>25</v>
      </c>
      <c r="G451" t="s">
        <v>13</v>
      </c>
      <c r="H451" t="s">
        <v>41</v>
      </c>
      <c r="I451" t="s">
        <v>38</v>
      </c>
      <c r="J451" t="str">
        <f>"FY" &amp; IF(MONTH(GiftData[[#This Row],[Gift_Date]])&gt;=7, RIGHT(YEAR(GiftData[[#This Row],[Gift_Date]])+1, 2), RIGHT(YEAR(GiftData[[#This Row],[Gift_Date]]), 2))</f>
        <v>FY24</v>
      </c>
      <c r="K451">
        <f>IF(COUNTIFS(GiftData[Constituent_ID], GiftData[[#This Row],[Constituent_ID]], GiftData[Fiscal_Year], "FY24")&gt;0, 1, 0)</f>
        <v>1</v>
      </c>
      <c r="L451">
        <f>IF(COUNTIFS(GiftData[Constituent_ID], GiftData[[#This Row],[Constituent_ID]], GiftData[Fiscal_Year], "FY25")&gt;0, 1, 0)</f>
        <v>1</v>
      </c>
      <c r="M451">
        <f>IF(COUNTIFS(GiftData[Constituent_ID], GiftData[[#This Row],[Constituent_ID]], GiftData[Fiscal_Year], "FY26")&gt;0, 1, 0)</f>
        <v>1</v>
      </c>
      <c r="N451" t="str" cm="1">
        <f t="array" ref="N4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2" spans="1:14" x14ac:dyDescent="0.2">
      <c r="A452" t="s">
        <v>737</v>
      </c>
      <c r="B452" t="s">
        <v>738</v>
      </c>
      <c r="C452" t="s">
        <v>28</v>
      </c>
      <c r="D452" s="1">
        <v>45827</v>
      </c>
      <c r="E452">
        <v>55.16</v>
      </c>
      <c r="F452" t="s">
        <v>12</v>
      </c>
      <c r="G452" t="s">
        <v>13</v>
      </c>
      <c r="H452" t="s">
        <v>164</v>
      </c>
      <c r="I452" t="s">
        <v>38</v>
      </c>
      <c r="J452" t="str">
        <f>"FY" &amp; IF(MONTH(GiftData[[#This Row],[Gift_Date]])&gt;=7, RIGHT(YEAR(GiftData[[#This Row],[Gift_Date]])+1, 2), RIGHT(YEAR(GiftData[[#This Row],[Gift_Date]]), 2))</f>
        <v>FY25</v>
      </c>
      <c r="K452">
        <f>IF(COUNTIFS(GiftData[Constituent_ID], GiftData[[#This Row],[Constituent_ID]], GiftData[Fiscal_Year], "FY24")&gt;0, 1, 0)</f>
        <v>0</v>
      </c>
      <c r="L452">
        <f>IF(COUNTIFS(GiftData[Constituent_ID], GiftData[[#This Row],[Constituent_ID]], GiftData[Fiscal_Year], "FY25")&gt;0, 1, 0)</f>
        <v>1</v>
      </c>
      <c r="M452">
        <f>IF(COUNTIFS(GiftData[Constituent_ID], GiftData[[#This Row],[Constituent_ID]], GiftData[Fiscal_Year], "FY26")&gt;0, 1, 0)</f>
        <v>0</v>
      </c>
      <c r="N452" t="str" cm="1">
        <f t="array" ref="N4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53" spans="1:14" x14ac:dyDescent="0.2">
      <c r="A453" t="s">
        <v>739</v>
      </c>
      <c r="B453" t="s">
        <v>740</v>
      </c>
      <c r="C453" t="s">
        <v>18</v>
      </c>
      <c r="D453" s="1">
        <v>45966</v>
      </c>
      <c r="E453">
        <v>326.69</v>
      </c>
      <c r="F453" t="s">
        <v>25</v>
      </c>
      <c r="G453" t="s">
        <v>13</v>
      </c>
      <c r="H453" t="s">
        <v>14</v>
      </c>
      <c r="I453" t="s">
        <v>15</v>
      </c>
      <c r="J453" t="str">
        <f>"FY" &amp; IF(MONTH(GiftData[[#This Row],[Gift_Date]])&gt;=7, RIGHT(YEAR(GiftData[[#This Row],[Gift_Date]])+1, 2), RIGHT(YEAR(GiftData[[#This Row],[Gift_Date]]), 2))</f>
        <v>FY26</v>
      </c>
      <c r="K453">
        <f>IF(COUNTIFS(GiftData[Constituent_ID], GiftData[[#This Row],[Constituent_ID]], GiftData[Fiscal_Year], "FY24")&gt;0, 1, 0)</f>
        <v>0</v>
      </c>
      <c r="L453">
        <f>IF(COUNTIFS(GiftData[Constituent_ID], GiftData[[#This Row],[Constituent_ID]], GiftData[Fiscal_Year], "FY25")&gt;0, 1, 0)</f>
        <v>1</v>
      </c>
      <c r="M453">
        <f>IF(COUNTIFS(GiftData[Constituent_ID], GiftData[[#This Row],[Constituent_ID]], GiftData[Fiscal_Year], "FY26")&gt;0, 1, 0)</f>
        <v>1</v>
      </c>
      <c r="N453" t="str" cm="1">
        <f t="array" ref="N4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4" spans="1:14" x14ac:dyDescent="0.2">
      <c r="A454" t="s">
        <v>741</v>
      </c>
      <c r="B454" t="s">
        <v>263</v>
      </c>
      <c r="C454" t="s">
        <v>48</v>
      </c>
      <c r="D454" s="1">
        <v>45157</v>
      </c>
      <c r="E454">
        <v>58.88</v>
      </c>
      <c r="F454" t="s">
        <v>12</v>
      </c>
      <c r="G454" t="s">
        <v>13</v>
      </c>
      <c r="H454" t="s">
        <v>41</v>
      </c>
      <c r="I454" t="s">
        <v>15</v>
      </c>
      <c r="J454" t="str">
        <f>"FY" &amp; IF(MONTH(GiftData[[#This Row],[Gift_Date]])&gt;=7, RIGHT(YEAR(GiftData[[#This Row],[Gift_Date]])+1, 2), RIGHT(YEAR(GiftData[[#This Row],[Gift_Date]]), 2))</f>
        <v>FY24</v>
      </c>
      <c r="K454">
        <f>IF(COUNTIFS(GiftData[Constituent_ID], GiftData[[#This Row],[Constituent_ID]], GiftData[Fiscal_Year], "FY24")&gt;0, 1, 0)</f>
        <v>1</v>
      </c>
      <c r="L454">
        <f>IF(COUNTIFS(GiftData[Constituent_ID], GiftData[[#This Row],[Constituent_ID]], GiftData[Fiscal_Year], "FY25")&gt;0, 1, 0)</f>
        <v>1</v>
      </c>
      <c r="M454">
        <f>IF(COUNTIFS(GiftData[Constituent_ID], GiftData[[#This Row],[Constituent_ID]], GiftData[Fiscal_Year], "FY26")&gt;0, 1, 0)</f>
        <v>1</v>
      </c>
      <c r="N454" t="str" cm="1">
        <f t="array" ref="N4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5" spans="1:14" x14ac:dyDescent="0.2">
      <c r="A455" t="s">
        <v>742</v>
      </c>
      <c r="B455" t="s">
        <v>743</v>
      </c>
      <c r="C455" t="s">
        <v>11</v>
      </c>
      <c r="D455" s="1">
        <v>45771</v>
      </c>
      <c r="E455">
        <v>18.29</v>
      </c>
      <c r="F455" t="s">
        <v>25</v>
      </c>
      <c r="G455" t="s">
        <v>13</v>
      </c>
      <c r="H455" t="s">
        <v>14</v>
      </c>
      <c r="I455" t="s">
        <v>15</v>
      </c>
      <c r="J455" t="str">
        <f>"FY" &amp; IF(MONTH(GiftData[[#This Row],[Gift_Date]])&gt;=7, RIGHT(YEAR(GiftData[[#This Row],[Gift_Date]])+1, 2), RIGHT(YEAR(GiftData[[#This Row],[Gift_Date]]), 2))</f>
        <v>FY25</v>
      </c>
      <c r="K455">
        <f>IF(COUNTIFS(GiftData[Constituent_ID], GiftData[[#This Row],[Constituent_ID]], GiftData[Fiscal_Year], "FY24")&gt;0, 1, 0)</f>
        <v>0</v>
      </c>
      <c r="L455">
        <f>IF(COUNTIFS(GiftData[Constituent_ID], GiftData[[#This Row],[Constituent_ID]], GiftData[Fiscal_Year], "FY25")&gt;0, 1, 0)</f>
        <v>1</v>
      </c>
      <c r="M455">
        <f>IF(COUNTIFS(GiftData[Constituent_ID], GiftData[[#This Row],[Constituent_ID]], GiftData[Fiscal_Year], "FY26")&gt;0, 1, 0)</f>
        <v>1</v>
      </c>
      <c r="N455" t="str" cm="1">
        <f t="array" ref="N4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6" spans="1:14" x14ac:dyDescent="0.2">
      <c r="A456" t="s">
        <v>744</v>
      </c>
      <c r="B456" t="s">
        <v>586</v>
      </c>
      <c r="C456" t="s">
        <v>18</v>
      </c>
      <c r="D456" s="1">
        <v>45638</v>
      </c>
      <c r="E456">
        <v>11437.37</v>
      </c>
      <c r="F456" t="s">
        <v>12</v>
      </c>
      <c r="G456" t="s">
        <v>29</v>
      </c>
      <c r="H456" t="s">
        <v>51</v>
      </c>
      <c r="I456" t="s">
        <v>56</v>
      </c>
      <c r="J456" t="str">
        <f>"FY" &amp; IF(MONTH(GiftData[[#This Row],[Gift_Date]])&gt;=7, RIGHT(YEAR(GiftData[[#This Row],[Gift_Date]])+1, 2), RIGHT(YEAR(GiftData[[#This Row],[Gift_Date]]), 2))</f>
        <v>FY25</v>
      </c>
      <c r="K456">
        <f>IF(COUNTIFS(GiftData[Constituent_ID], GiftData[[#This Row],[Constituent_ID]], GiftData[Fiscal_Year], "FY24")&gt;0, 1, 0)</f>
        <v>1</v>
      </c>
      <c r="L456">
        <f>IF(COUNTIFS(GiftData[Constituent_ID], GiftData[[#This Row],[Constituent_ID]], GiftData[Fiscal_Year], "FY25")&gt;0, 1, 0)</f>
        <v>1</v>
      </c>
      <c r="M456">
        <f>IF(COUNTIFS(GiftData[Constituent_ID], GiftData[[#This Row],[Constituent_ID]], GiftData[Fiscal_Year], "FY26")&gt;0, 1, 0)</f>
        <v>1</v>
      </c>
      <c r="N456" t="str" cm="1">
        <f t="array" ref="N4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7" spans="1:14" x14ac:dyDescent="0.2">
      <c r="A457" t="s">
        <v>745</v>
      </c>
      <c r="B457" t="s">
        <v>144</v>
      </c>
      <c r="C457" t="s">
        <v>35</v>
      </c>
      <c r="D457" s="1">
        <v>45964</v>
      </c>
      <c r="E457">
        <v>18.13</v>
      </c>
      <c r="F457" t="s">
        <v>25</v>
      </c>
      <c r="G457" t="s">
        <v>13</v>
      </c>
      <c r="H457" t="s">
        <v>164</v>
      </c>
      <c r="I457" t="s">
        <v>15</v>
      </c>
      <c r="J457" t="str">
        <f>"FY" &amp; IF(MONTH(GiftData[[#This Row],[Gift_Date]])&gt;=7, RIGHT(YEAR(GiftData[[#This Row],[Gift_Date]])+1, 2), RIGHT(YEAR(GiftData[[#This Row],[Gift_Date]]), 2))</f>
        <v>FY26</v>
      </c>
      <c r="K457">
        <f>IF(COUNTIFS(GiftData[Constituent_ID], GiftData[[#This Row],[Constituent_ID]], GiftData[Fiscal_Year], "FY24")&gt;0, 1, 0)</f>
        <v>1</v>
      </c>
      <c r="L457">
        <f>IF(COUNTIFS(GiftData[Constituent_ID], GiftData[[#This Row],[Constituent_ID]], GiftData[Fiscal_Year], "FY25")&gt;0, 1, 0)</f>
        <v>1</v>
      </c>
      <c r="M457">
        <f>IF(COUNTIFS(GiftData[Constituent_ID], GiftData[[#This Row],[Constituent_ID]], GiftData[Fiscal_Year], "FY26")&gt;0, 1, 0)</f>
        <v>1</v>
      </c>
      <c r="N457" t="str" cm="1">
        <f t="array" ref="N4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8" spans="1:14" x14ac:dyDescent="0.2">
      <c r="A458" t="s">
        <v>746</v>
      </c>
      <c r="B458" t="s">
        <v>456</v>
      </c>
      <c r="C458" t="s">
        <v>18</v>
      </c>
      <c r="D458" s="1">
        <v>45253</v>
      </c>
      <c r="E458">
        <v>2284.21</v>
      </c>
      <c r="F458" t="s">
        <v>25</v>
      </c>
      <c r="G458" t="s">
        <v>13</v>
      </c>
      <c r="H458" t="s">
        <v>20</v>
      </c>
      <c r="I458" t="s">
        <v>56</v>
      </c>
      <c r="J458" t="str">
        <f>"FY" &amp; IF(MONTH(GiftData[[#This Row],[Gift_Date]])&gt;=7, RIGHT(YEAR(GiftData[[#This Row],[Gift_Date]])+1, 2), RIGHT(YEAR(GiftData[[#This Row],[Gift_Date]]), 2))</f>
        <v>FY24</v>
      </c>
      <c r="K458">
        <f>IF(COUNTIFS(GiftData[Constituent_ID], GiftData[[#This Row],[Constituent_ID]], GiftData[Fiscal_Year], "FY24")&gt;0, 1, 0)</f>
        <v>1</v>
      </c>
      <c r="L458">
        <f>IF(COUNTIFS(GiftData[Constituent_ID], GiftData[[#This Row],[Constituent_ID]], GiftData[Fiscal_Year], "FY25")&gt;0, 1, 0)</f>
        <v>1</v>
      </c>
      <c r="M458">
        <f>IF(COUNTIFS(GiftData[Constituent_ID], GiftData[[#This Row],[Constituent_ID]], GiftData[Fiscal_Year], "FY26")&gt;0, 1, 0)</f>
        <v>1</v>
      </c>
      <c r="N458" t="str" cm="1">
        <f t="array" ref="N4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59" spans="1:14" x14ac:dyDescent="0.2">
      <c r="A459" t="s">
        <v>747</v>
      </c>
      <c r="B459" t="s">
        <v>748</v>
      </c>
      <c r="C459" t="s">
        <v>48</v>
      </c>
      <c r="D459" s="1">
        <v>46022</v>
      </c>
      <c r="E459">
        <v>81.48</v>
      </c>
      <c r="F459" t="s">
        <v>12</v>
      </c>
      <c r="G459" t="s">
        <v>13</v>
      </c>
      <c r="H459" t="s">
        <v>14</v>
      </c>
      <c r="I459" t="s">
        <v>15</v>
      </c>
      <c r="J459" t="str">
        <f>"FY" &amp; IF(MONTH(GiftData[[#This Row],[Gift_Date]])&gt;=7, RIGHT(YEAR(GiftData[[#This Row],[Gift_Date]])+1, 2), RIGHT(YEAR(GiftData[[#This Row],[Gift_Date]]), 2))</f>
        <v>FY26</v>
      </c>
      <c r="K459">
        <f>IF(COUNTIFS(GiftData[Constituent_ID], GiftData[[#This Row],[Constituent_ID]], GiftData[Fiscal_Year], "FY24")&gt;0, 1, 0)</f>
        <v>1</v>
      </c>
      <c r="L459">
        <f>IF(COUNTIFS(GiftData[Constituent_ID], GiftData[[#This Row],[Constituent_ID]], GiftData[Fiscal_Year], "FY25")&gt;0, 1, 0)</f>
        <v>1</v>
      </c>
      <c r="M459">
        <f>IF(COUNTIFS(GiftData[Constituent_ID], GiftData[[#This Row],[Constituent_ID]], GiftData[Fiscal_Year], "FY26")&gt;0, 1, 0)</f>
        <v>1</v>
      </c>
      <c r="N459" t="str" cm="1">
        <f t="array" ref="N4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0" spans="1:14" x14ac:dyDescent="0.2">
      <c r="A460" t="s">
        <v>749</v>
      </c>
      <c r="B460" t="s">
        <v>142</v>
      </c>
      <c r="C460" t="s">
        <v>48</v>
      </c>
      <c r="D460" s="1">
        <v>46100</v>
      </c>
      <c r="E460">
        <v>108.86</v>
      </c>
      <c r="F460" t="s">
        <v>12</v>
      </c>
      <c r="G460" t="s">
        <v>13</v>
      </c>
      <c r="H460" t="s">
        <v>14</v>
      </c>
      <c r="I460" t="s">
        <v>15</v>
      </c>
      <c r="J460" t="str">
        <f>"FY" &amp; IF(MONTH(GiftData[[#This Row],[Gift_Date]])&gt;=7, RIGHT(YEAR(GiftData[[#This Row],[Gift_Date]])+1, 2), RIGHT(YEAR(GiftData[[#This Row],[Gift_Date]]), 2))</f>
        <v>FY26</v>
      </c>
      <c r="K460">
        <f>IF(COUNTIFS(GiftData[Constituent_ID], GiftData[[#This Row],[Constituent_ID]], GiftData[Fiscal_Year], "FY24")&gt;0, 1, 0)</f>
        <v>0</v>
      </c>
      <c r="L460">
        <f>IF(COUNTIFS(GiftData[Constituent_ID], GiftData[[#This Row],[Constituent_ID]], GiftData[Fiscal_Year], "FY25")&gt;0, 1, 0)</f>
        <v>1</v>
      </c>
      <c r="M460">
        <f>IF(COUNTIFS(GiftData[Constituent_ID], GiftData[[#This Row],[Constituent_ID]], GiftData[Fiscal_Year], "FY26")&gt;0, 1, 0)</f>
        <v>1</v>
      </c>
      <c r="N460" t="str" cm="1">
        <f t="array" ref="N4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1" spans="1:14" x14ac:dyDescent="0.2">
      <c r="A461" t="s">
        <v>750</v>
      </c>
      <c r="B461" t="s">
        <v>472</v>
      </c>
      <c r="C461" t="s">
        <v>28</v>
      </c>
      <c r="D461" s="1">
        <v>45349</v>
      </c>
      <c r="E461">
        <v>50.71</v>
      </c>
      <c r="F461" t="s">
        <v>59</v>
      </c>
      <c r="G461" t="s">
        <v>13</v>
      </c>
      <c r="H461" t="s">
        <v>14</v>
      </c>
      <c r="I461" t="s">
        <v>15</v>
      </c>
      <c r="J461" t="str">
        <f>"FY" &amp; IF(MONTH(GiftData[[#This Row],[Gift_Date]])&gt;=7, RIGHT(YEAR(GiftData[[#This Row],[Gift_Date]])+1, 2), RIGHT(YEAR(GiftData[[#This Row],[Gift_Date]]), 2))</f>
        <v>FY24</v>
      </c>
      <c r="K461">
        <f>IF(COUNTIFS(GiftData[Constituent_ID], GiftData[[#This Row],[Constituent_ID]], GiftData[Fiscal_Year], "FY24")&gt;0, 1, 0)</f>
        <v>1</v>
      </c>
      <c r="L461">
        <f>IF(COUNTIFS(GiftData[Constituent_ID], GiftData[[#This Row],[Constituent_ID]], GiftData[Fiscal_Year], "FY25")&gt;0, 1, 0)</f>
        <v>1</v>
      </c>
      <c r="M461">
        <f>IF(COUNTIFS(GiftData[Constituent_ID], GiftData[[#This Row],[Constituent_ID]], GiftData[Fiscal_Year], "FY26")&gt;0, 1, 0)</f>
        <v>0</v>
      </c>
      <c r="N461" t="str" cm="1">
        <f t="array" ref="N4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62" spans="1:14" x14ac:dyDescent="0.2">
      <c r="A462" t="s">
        <v>751</v>
      </c>
      <c r="B462" t="s">
        <v>430</v>
      </c>
      <c r="C462" t="s">
        <v>35</v>
      </c>
      <c r="D462" s="1">
        <v>45688</v>
      </c>
      <c r="E462">
        <v>336.19</v>
      </c>
      <c r="F462" t="s">
        <v>12</v>
      </c>
      <c r="G462" t="s">
        <v>13</v>
      </c>
      <c r="H462" t="s">
        <v>20</v>
      </c>
      <c r="I462" t="s">
        <v>15</v>
      </c>
      <c r="J462" t="str">
        <f>"FY" &amp; IF(MONTH(GiftData[[#This Row],[Gift_Date]])&gt;=7, RIGHT(YEAR(GiftData[[#This Row],[Gift_Date]])+1, 2), RIGHT(YEAR(GiftData[[#This Row],[Gift_Date]]), 2))</f>
        <v>FY25</v>
      </c>
      <c r="K462">
        <f>IF(COUNTIFS(GiftData[Constituent_ID], GiftData[[#This Row],[Constituent_ID]], GiftData[Fiscal_Year], "FY24")&gt;0, 1, 0)</f>
        <v>0</v>
      </c>
      <c r="L462">
        <f>IF(COUNTIFS(GiftData[Constituent_ID], GiftData[[#This Row],[Constituent_ID]], GiftData[Fiscal_Year], "FY25")&gt;0, 1, 0)</f>
        <v>1</v>
      </c>
      <c r="M462">
        <f>IF(COUNTIFS(GiftData[Constituent_ID], GiftData[[#This Row],[Constituent_ID]], GiftData[Fiscal_Year], "FY26")&gt;0, 1, 0)</f>
        <v>1</v>
      </c>
      <c r="N462" t="str" cm="1">
        <f t="array" ref="N4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3" spans="1:14" x14ac:dyDescent="0.2">
      <c r="A463" t="s">
        <v>752</v>
      </c>
      <c r="B463" t="s">
        <v>327</v>
      </c>
      <c r="C463" t="s">
        <v>11</v>
      </c>
      <c r="D463" s="1">
        <v>45794</v>
      </c>
      <c r="E463">
        <v>18.7</v>
      </c>
      <c r="F463" t="s">
        <v>12</v>
      </c>
      <c r="G463" t="s">
        <v>13</v>
      </c>
      <c r="H463" t="s">
        <v>51</v>
      </c>
      <c r="I463" t="s">
        <v>15</v>
      </c>
      <c r="J463" t="str">
        <f>"FY" &amp; IF(MONTH(GiftData[[#This Row],[Gift_Date]])&gt;=7, RIGHT(YEAR(GiftData[[#This Row],[Gift_Date]])+1, 2), RIGHT(YEAR(GiftData[[#This Row],[Gift_Date]]), 2))</f>
        <v>FY25</v>
      </c>
      <c r="K463">
        <f>IF(COUNTIFS(GiftData[Constituent_ID], GiftData[[#This Row],[Constituent_ID]], GiftData[Fiscal_Year], "FY24")&gt;0, 1, 0)</f>
        <v>0</v>
      </c>
      <c r="L463">
        <f>IF(COUNTIFS(GiftData[Constituent_ID], GiftData[[#This Row],[Constituent_ID]], GiftData[Fiscal_Year], "FY25")&gt;0, 1, 0)</f>
        <v>1</v>
      </c>
      <c r="M463">
        <f>IF(COUNTIFS(GiftData[Constituent_ID], GiftData[[#This Row],[Constituent_ID]], GiftData[Fiscal_Year], "FY26")&gt;0, 1, 0)</f>
        <v>1</v>
      </c>
      <c r="N463" t="str" cm="1">
        <f t="array" ref="N4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4" spans="1:14" x14ac:dyDescent="0.2">
      <c r="A464" t="s">
        <v>753</v>
      </c>
      <c r="B464" t="s">
        <v>236</v>
      </c>
      <c r="C464" t="s">
        <v>48</v>
      </c>
      <c r="D464" s="1">
        <v>45590</v>
      </c>
      <c r="E464">
        <v>15</v>
      </c>
      <c r="F464" t="s">
        <v>12</v>
      </c>
      <c r="G464" t="s">
        <v>29</v>
      </c>
      <c r="H464" t="s">
        <v>20</v>
      </c>
      <c r="I464" t="s">
        <v>38</v>
      </c>
      <c r="J464" t="str">
        <f>"FY" &amp; IF(MONTH(GiftData[[#This Row],[Gift_Date]])&gt;=7, RIGHT(YEAR(GiftData[[#This Row],[Gift_Date]])+1, 2), RIGHT(YEAR(GiftData[[#This Row],[Gift_Date]]), 2))</f>
        <v>FY25</v>
      </c>
      <c r="K464">
        <f>IF(COUNTIFS(GiftData[Constituent_ID], GiftData[[#This Row],[Constituent_ID]], GiftData[Fiscal_Year], "FY24")&gt;0, 1, 0)</f>
        <v>1</v>
      </c>
      <c r="L464">
        <f>IF(COUNTIFS(GiftData[Constituent_ID], GiftData[[#This Row],[Constituent_ID]], GiftData[Fiscal_Year], "FY25")&gt;0, 1, 0)</f>
        <v>1</v>
      </c>
      <c r="M464">
        <f>IF(COUNTIFS(GiftData[Constituent_ID], GiftData[[#This Row],[Constituent_ID]], GiftData[Fiscal_Year], "FY26")&gt;0, 1, 0)</f>
        <v>1</v>
      </c>
      <c r="N464" t="str" cm="1">
        <f t="array" ref="N4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5" spans="1:14" x14ac:dyDescent="0.2">
      <c r="A465" t="s">
        <v>754</v>
      </c>
      <c r="B465" t="s">
        <v>179</v>
      </c>
      <c r="C465" t="s">
        <v>11</v>
      </c>
      <c r="D465" s="1">
        <v>45780</v>
      </c>
      <c r="E465">
        <v>985.57</v>
      </c>
      <c r="F465" t="s">
        <v>12</v>
      </c>
      <c r="G465" t="s">
        <v>29</v>
      </c>
      <c r="H465" t="s">
        <v>14</v>
      </c>
      <c r="I465" t="s">
        <v>15</v>
      </c>
      <c r="J465" t="str">
        <f>"FY" &amp; IF(MONTH(GiftData[[#This Row],[Gift_Date]])&gt;=7, RIGHT(YEAR(GiftData[[#This Row],[Gift_Date]])+1, 2), RIGHT(YEAR(GiftData[[#This Row],[Gift_Date]]), 2))</f>
        <v>FY25</v>
      </c>
      <c r="K465">
        <f>IF(COUNTIFS(GiftData[Constituent_ID], GiftData[[#This Row],[Constituent_ID]], GiftData[Fiscal_Year], "FY24")&gt;0, 1, 0)</f>
        <v>0</v>
      </c>
      <c r="L465">
        <f>IF(COUNTIFS(GiftData[Constituent_ID], GiftData[[#This Row],[Constituent_ID]], GiftData[Fiscal_Year], "FY25")&gt;0, 1, 0)</f>
        <v>1</v>
      </c>
      <c r="M465">
        <f>IF(COUNTIFS(GiftData[Constituent_ID], GiftData[[#This Row],[Constituent_ID]], GiftData[Fiscal_Year], "FY26")&gt;0, 1, 0)</f>
        <v>1</v>
      </c>
      <c r="N465" t="str" cm="1">
        <f t="array" ref="N4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6" spans="1:14" x14ac:dyDescent="0.2">
      <c r="A466" t="s">
        <v>755</v>
      </c>
      <c r="B466" t="s">
        <v>756</v>
      </c>
      <c r="C466" t="s">
        <v>28</v>
      </c>
      <c r="D466" s="1">
        <v>45738</v>
      </c>
      <c r="E466">
        <v>42.73</v>
      </c>
      <c r="F466" t="s">
        <v>19</v>
      </c>
      <c r="G466" t="s">
        <v>13</v>
      </c>
      <c r="H466" t="s">
        <v>41</v>
      </c>
      <c r="I466" t="s">
        <v>15</v>
      </c>
      <c r="J466" t="str">
        <f>"FY" &amp; IF(MONTH(GiftData[[#This Row],[Gift_Date]])&gt;=7, RIGHT(YEAR(GiftData[[#This Row],[Gift_Date]])+1, 2), RIGHT(YEAR(GiftData[[#This Row],[Gift_Date]]), 2))</f>
        <v>FY25</v>
      </c>
      <c r="K466">
        <f>IF(COUNTIFS(GiftData[Constituent_ID], GiftData[[#This Row],[Constituent_ID]], GiftData[Fiscal_Year], "FY24")&gt;0, 1, 0)</f>
        <v>0</v>
      </c>
      <c r="L466">
        <f>IF(COUNTIFS(GiftData[Constituent_ID], GiftData[[#This Row],[Constituent_ID]], GiftData[Fiscal_Year], "FY25")&gt;0, 1, 0)</f>
        <v>1</v>
      </c>
      <c r="M466">
        <f>IF(COUNTIFS(GiftData[Constituent_ID], GiftData[[#This Row],[Constituent_ID]], GiftData[Fiscal_Year], "FY26")&gt;0, 1, 0)</f>
        <v>1</v>
      </c>
      <c r="N466" t="str" cm="1">
        <f t="array" ref="N4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7" spans="1:14" x14ac:dyDescent="0.2">
      <c r="A467" t="s">
        <v>757</v>
      </c>
      <c r="B467" t="s">
        <v>758</v>
      </c>
      <c r="C467" t="s">
        <v>48</v>
      </c>
      <c r="D467" s="1">
        <v>45768</v>
      </c>
      <c r="E467">
        <v>320.51</v>
      </c>
      <c r="F467" t="s">
        <v>12</v>
      </c>
      <c r="G467" t="s">
        <v>13</v>
      </c>
      <c r="H467" t="s">
        <v>20</v>
      </c>
      <c r="I467" t="s">
        <v>15</v>
      </c>
      <c r="J467" t="str">
        <f>"FY" &amp; IF(MONTH(GiftData[[#This Row],[Gift_Date]])&gt;=7, RIGHT(YEAR(GiftData[[#This Row],[Gift_Date]])+1, 2), RIGHT(YEAR(GiftData[[#This Row],[Gift_Date]]), 2))</f>
        <v>FY25</v>
      </c>
      <c r="K467">
        <f>IF(COUNTIFS(GiftData[Constituent_ID], GiftData[[#This Row],[Constituent_ID]], GiftData[Fiscal_Year], "FY24")&gt;0, 1, 0)</f>
        <v>1</v>
      </c>
      <c r="L467">
        <f>IF(COUNTIFS(GiftData[Constituent_ID], GiftData[[#This Row],[Constituent_ID]], GiftData[Fiscal_Year], "FY25")&gt;0, 1, 0)</f>
        <v>1</v>
      </c>
      <c r="M467">
        <f>IF(COUNTIFS(GiftData[Constituent_ID], GiftData[[#This Row],[Constituent_ID]], GiftData[Fiscal_Year], "FY26")&gt;0, 1, 0)</f>
        <v>0</v>
      </c>
      <c r="N467" t="str" cm="1">
        <f t="array" ref="N4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68" spans="1:14" x14ac:dyDescent="0.2">
      <c r="A468" t="s">
        <v>759</v>
      </c>
      <c r="B468" t="s">
        <v>333</v>
      </c>
      <c r="C468" t="s">
        <v>48</v>
      </c>
      <c r="D468" s="1">
        <v>45769</v>
      </c>
      <c r="E468">
        <v>29.63</v>
      </c>
      <c r="F468" t="s">
        <v>12</v>
      </c>
      <c r="G468" t="s">
        <v>13</v>
      </c>
      <c r="H468" t="s">
        <v>164</v>
      </c>
      <c r="I468" t="s">
        <v>38</v>
      </c>
      <c r="J468" t="str">
        <f>"FY" &amp; IF(MONTH(GiftData[[#This Row],[Gift_Date]])&gt;=7, RIGHT(YEAR(GiftData[[#This Row],[Gift_Date]])+1, 2), RIGHT(YEAR(GiftData[[#This Row],[Gift_Date]]), 2))</f>
        <v>FY25</v>
      </c>
      <c r="K468">
        <f>IF(COUNTIFS(GiftData[Constituent_ID], GiftData[[#This Row],[Constituent_ID]], GiftData[Fiscal_Year], "FY24")&gt;0, 1, 0)</f>
        <v>1</v>
      </c>
      <c r="L468">
        <f>IF(COUNTIFS(GiftData[Constituent_ID], GiftData[[#This Row],[Constituent_ID]], GiftData[Fiscal_Year], "FY25")&gt;0, 1, 0)</f>
        <v>1</v>
      </c>
      <c r="M468">
        <f>IF(COUNTIFS(GiftData[Constituent_ID], GiftData[[#This Row],[Constituent_ID]], GiftData[Fiscal_Year], "FY26")&gt;0, 1, 0)</f>
        <v>1</v>
      </c>
      <c r="N468" t="str" cm="1">
        <f t="array" ref="N4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69" spans="1:14" x14ac:dyDescent="0.2">
      <c r="A469" t="s">
        <v>760</v>
      </c>
      <c r="B469" t="s">
        <v>761</v>
      </c>
      <c r="C469" t="s">
        <v>35</v>
      </c>
      <c r="D469" s="1">
        <v>45912</v>
      </c>
      <c r="E469">
        <v>305.19</v>
      </c>
      <c r="F469" t="s">
        <v>25</v>
      </c>
      <c r="G469" t="s">
        <v>13</v>
      </c>
      <c r="H469" t="s">
        <v>51</v>
      </c>
      <c r="I469" t="s">
        <v>38</v>
      </c>
      <c r="J469" t="str">
        <f>"FY" &amp; IF(MONTH(GiftData[[#This Row],[Gift_Date]])&gt;=7, RIGHT(YEAR(GiftData[[#This Row],[Gift_Date]])+1, 2), RIGHT(YEAR(GiftData[[#This Row],[Gift_Date]]), 2))</f>
        <v>FY26</v>
      </c>
      <c r="K469">
        <f>IF(COUNTIFS(GiftData[Constituent_ID], GiftData[[#This Row],[Constituent_ID]], GiftData[Fiscal_Year], "FY24")&gt;0, 1, 0)</f>
        <v>0</v>
      </c>
      <c r="L469">
        <f>IF(COUNTIFS(GiftData[Constituent_ID], GiftData[[#This Row],[Constituent_ID]], GiftData[Fiscal_Year], "FY25")&gt;0, 1, 0)</f>
        <v>1</v>
      </c>
      <c r="M469">
        <f>IF(COUNTIFS(GiftData[Constituent_ID], GiftData[[#This Row],[Constituent_ID]], GiftData[Fiscal_Year], "FY26")&gt;0, 1, 0)</f>
        <v>1</v>
      </c>
      <c r="N469" t="str" cm="1">
        <f t="array" ref="N4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0" spans="1:14" x14ac:dyDescent="0.2">
      <c r="A470" t="s">
        <v>762</v>
      </c>
      <c r="B470" t="s">
        <v>226</v>
      </c>
      <c r="C470" t="s">
        <v>11</v>
      </c>
      <c r="D470" s="1">
        <v>45526</v>
      </c>
      <c r="E470">
        <v>1084.21</v>
      </c>
      <c r="F470" t="s">
        <v>59</v>
      </c>
      <c r="G470" t="s">
        <v>13</v>
      </c>
      <c r="H470" t="s">
        <v>14</v>
      </c>
      <c r="I470" t="s">
        <v>38</v>
      </c>
      <c r="J470" t="str">
        <f>"FY" &amp; IF(MONTH(GiftData[[#This Row],[Gift_Date]])&gt;=7, RIGHT(YEAR(GiftData[[#This Row],[Gift_Date]])+1, 2), RIGHT(YEAR(GiftData[[#This Row],[Gift_Date]]), 2))</f>
        <v>FY25</v>
      </c>
      <c r="K470">
        <f>IF(COUNTIFS(GiftData[Constituent_ID], GiftData[[#This Row],[Constituent_ID]], GiftData[Fiscal_Year], "FY24")&gt;0, 1, 0)</f>
        <v>1</v>
      </c>
      <c r="L470">
        <f>IF(COUNTIFS(GiftData[Constituent_ID], GiftData[[#This Row],[Constituent_ID]], GiftData[Fiscal_Year], "FY25")&gt;0, 1, 0)</f>
        <v>1</v>
      </c>
      <c r="M470">
        <f>IF(COUNTIFS(GiftData[Constituent_ID], GiftData[[#This Row],[Constituent_ID]], GiftData[Fiscal_Year], "FY26")&gt;0, 1, 0)</f>
        <v>1</v>
      </c>
      <c r="N470" t="str" cm="1">
        <f t="array" ref="N4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1" spans="1:14" x14ac:dyDescent="0.2">
      <c r="A471" t="s">
        <v>763</v>
      </c>
      <c r="B471" t="s">
        <v>303</v>
      </c>
      <c r="C471" t="s">
        <v>48</v>
      </c>
      <c r="D471" s="1">
        <v>46095</v>
      </c>
      <c r="E471">
        <v>61.24</v>
      </c>
      <c r="F471" t="s">
        <v>12</v>
      </c>
      <c r="G471" t="s">
        <v>13</v>
      </c>
      <c r="H471" t="s">
        <v>14</v>
      </c>
      <c r="I471" t="s">
        <v>30</v>
      </c>
      <c r="J471" t="str">
        <f>"FY" &amp; IF(MONTH(GiftData[[#This Row],[Gift_Date]])&gt;=7, RIGHT(YEAR(GiftData[[#This Row],[Gift_Date]])+1, 2), RIGHT(YEAR(GiftData[[#This Row],[Gift_Date]]), 2))</f>
        <v>FY26</v>
      </c>
      <c r="K471">
        <f>IF(COUNTIFS(GiftData[Constituent_ID], GiftData[[#This Row],[Constituent_ID]], GiftData[Fiscal_Year], "FY24")&gt;0, 1, 0)</f>
        <v>1</v>
      </c>
      <c r="L471">
        <f>IF(COUNTIFS(GiftData[Constituent_ID], GiftData[[#This Row],[Constituent_ID]], GiftData[Fiscal_Year], "FY25")&gt;0, 1, 0)</f>
        <v>1</v>
      </c>
      <c r="M471">
        <f>IF(COUNTIFS(GiftData[Constituent_ID], GiftData[[#This Row],[Constituent_ID]], GiftData[Fiscal_Year], "FY26")&gt;0, 1, 0)</f>
        <v>1</v>
      </c>
      <c r="N471" t="str" cm="1">
        <f t="array" ref="N4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2" spans="1:14" x14ac:dyDescent="0.2">
      <c r="A472" t="s">
        <v>764</v>
      </c>
      <c r="B472" t="s">
        <v>168</v>
      </c>
      <c r="C472" t="s">
        <v>28</v>
      </c>
      <c r="D472" s="1">
        <v>45757</v>
      </c>
      <c r="E472">
        <v>15</v>
      </c>
      <c r="F472" t="s">
        <v>12</v>
      </c>
      <c r="G472" t="s">
        <v>13</v>
      </c>
      <c r="H472" t="s">
        <v>20</v>
      </c>
      <c r="I472" t="s">
        <v>15</v>
      </c>
      <c r="J472" t="str">
        <f>"FY" &amp; IF(MONTH(GiftData[[#This Row],[Gift_Date]])&gt;=7, RIGHT(YEAR(GiftData[[#This Row],[Gift_Date]])+1, 2), RIGHT(YEAR(GiftData[[#This Row],[Gift_Date]]), 2))</f>
        <v>FY25</v>
      </c>
      <c r="K472">
        <f>IF(COUNTIFS(GiftData[Constituent_ID], GiftData[[#This Row],[Constituent_ID]], GiftData[Fiscal_Year], "FY24")&gt;0, 1, 0)</f>
        <v>0</v>
      </c>
      <c r="L472">
        <f>IF(COUNTIFS(GiftData[Constituent_ID], GiftData[[#This Row],[Constituent_ID]], GiftData[Fiscal_Year], "FY25")&gt;0, 1, 0)</f>
        <v>1</v>
      </c>
      <c r="M472">
        <f>IF(COUNTIFS(GiftData[Constituent_ID], GiftData[[#This Row],[Constituent_ID]], GiftData[Fiscal_Year], "FY26")&gt;0, 1, 0)</f>
        <v>1</v>
      </c>
      <c r="N472" t="str" cm="1">
        <f t="array" ref="N4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3" spans="1:14" x14ac:dyDescent="0.2">
      <c r="A473" t="s">
        <v>765</v>
      </c>
      <c r="B473" t="s">
        <v>442</v>
      </c>
      <c r="C473" t="s">
        <v>48</v>
      </c>
      <c r="D473" s="1">
        <v>46076</v>
      </c>
      <c r="E473">
        <v>1091.6400000000001</v>
      </c>
      <c r="F473" t="s">
        <v>59</v>
      </c>
      <c r="G473" t="s">
        <v>13</v>
      </c>
      <c r="H473" t="s">
        <v>41</v>
      </c>
      <c r="I473" t="s">
        <v>15</v>
      </c>
      <c r="J473" t="str">
        <f>"FY" &amp; IF(MONTH(GiftData[[#This Row],[Gift_Date]])&gt;=7, RIGHT(YEAR(GiftData[[#This Row],[Gift_Date]])+1, 2), RIGHT(YEAR(GiftData[[#This Row],[Gift_Date]]), 2))</f>
        <v>FY26</v>
      </c>
      <c r="K473">
        <f>IF(COUNTIFS(GiftData[Constituent_ID], GiftData[[#This Row],[Constituent_ID]], GiftData[Fiscal_Year], "FY24")&gt;0, 1, 0)</f>
        <v>0</v>
      </c>
      <c r="L473">
        <f>IF(COUNTIFS(GiftData[Constituent_ID], GiftData[[#This Row],[Constituent_ID]], GiftData[Fiscal_Year], "FY25")&gt;0, 1, 0)</f>
        <v>1</v>
      </c>
      <c r="M473">
        <f>IF(COUNTIFS(GiftData[Constituent_ID], GiftData[[#This Row],[Constituent_ID]], GiftData[Fiscal_Year], "FY26")&gt;0, 1, 0)</f>
        <v>1</v>
      </c>
      <c r="N473" t="str" cm="1">
        <f t="array" ref="N4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4" spans="1:14" x14ac:dyDescent="0.2">
      <c r="A474" t="s">
        <v>766</v>
      </c>
      <c r="B474" t="s">
        <v>226</v>
      </c>
      <c r="C474" t="s">
        <v>28</v>
      </c>
      <c r="D474" s="1">
        <v>45697</v>
      </c>
      <c r="E474">
        <v>405.09</v>
      </c>
      <c r="F474" t="s">
        <v>25</v>
      </c>
      <c r="G474" t="s">
        <v>13</v>
      </c>
      <c r="H474" t="s">
        <v>20</v>
      </c>
      <c r="I474" t="s">
        <v>15</v>
      </c>
      <c r="J474" t="str">
        <f>"FY" &amp; IF(MONTH(GiftData[[#This Row],[Gift_Date]])&gt;=7, RIGHT(YEAR(GiftData[[#This Row],[Gift_Date]])+1, 2), RIGHT(YEAR(GiftData[[#This Row],[Gift_Date]]), 2))</f>
        <v>FY25</v>
      </c>
      <c r="K474">
        <f>IF(COUNTIFS(GiftData[Constituent_ID], GiftData[[#This Row],[Constituent_ID]], GiftData[Fiscal_Year], "FY24")&gt;0, 1, 0)</f>
        <v>1</v>
      </c>
      <c r="L474">
        <f>IF(COUNTIFS(GiftData[Constituent_ID], GiftData[[#This Row],[Constituent_ID]], GiftData[Fiscal_Year], "FY25")&gt;0, 1, 0)</f>
        <v>1</v>
      </c>
      <c r="M474">
        <f>IF(COUNTIFS(GiftData[Constituent_ID], GiftData[[#This Row],[Constituent_ID]], GiftData[Fiscal_Year], "FY26")&gt;0, 1, 0)</f>
        <v>1</v>
      </c>
      <c r="N474" t="str" cm="1">
        <f t="array" ref="N4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5" spans="1:14" x14ac:dyDescent="0.2">
      <c r="A475" t="s">
        <v>767</v>
      </c>
      <c r="B475" t="s">
        <v>768</v>
      </c>
      <c r="C475" t="s">
        <v>11</v>
      </c>
      <c r="D475" s="1">
        <v>45616</v>
      </c>
      <c r="E475">
        <v>65.650000000000006</v>
      </c>
      <c r="F475" t="s">
        <v>12</v>
      </c>
      <c r="G475" t="s">
        <v>13</v>
      </c>
      <c r="H475" t="s">
        <v>41</v>
      </c>
      <c r="I475" t="s">
        <v>15</v>
      </c>
      <c r="J475" t="str">
        <f>"FY" &amp; IF(MONTH(GiftData[[#This Row],[Gift_Date]])&gt;=7, RIGHT(YEAR(GiftData[[#This Row],[Gift_Date]])+1, 2), RIGHT(YEAR(GiftData[[#This Row],[Gift_Date]]), 2))</f>
        <v>FY25</v>
      </c>
      <c r="K475">
        <f>IF(COUNTIFS(GiftData[Constituent_ID], GiftData[[#This Row],[Constituent_ID]], GiftData[Fiscal_Year], "FY24")&gt;0, 1, 0)</f>
        <v>1</v>
      </c>
      <c r="L475">
        <f>IF(COUNTIFS(GiftData[Constituent_ID], GiftData[[#This Row],[Constituent_ID]], GiftData[Fiscal_Year], "FY25")&gt;0, 1, 0)</f>
        <v>1</v>
      </c>
      <c r="M475">
        <f>IF(COUNTIFS(GiftData[Constituent_ID], GiftData[[#This Row],[Constituent_ID]], GiftData[Fiscal_Year], "FY26")&gt;0, 1, 0)</f>
        <v>0</v>
      </c>
      <c r="N475" t="str" cm="1">
        <f t="array" ref="N4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76" spans="1:14" x14ac:dyDescent="0.2">
      <c r="A476" t="s">
        <v>769</v>
      </c>
      <c r="B476" t="s">
        <v>138</v>
      </c>
      <c r="C476" t="s">
        <v>11</v>
      </c>
      <c r="D476" s="1">
        <v>45548</v>
      </c>
      <c r="E476">
        <v>91.53</v>
      </c>
      <c r="F476" t="s">
        <v>12</v>
      </c>
      <c r="G476" t="s">
        <v>13</v>
      </c>
      <c r="H476" t="s">
        <v>51</v>
      </c>
      <c r="I476" t="s">
        <v>38</v>
      </c>
      <c r="J476" t="str">
        <f>"FY" &amp; IF(MONTH(GiftData[[#This Row],[Gift_Date]])&gt;=7, RIGHT(YEAR(GiftData[[#This Row],[Gift_Date]])+1, 2), RIGHT(YEAR(GiftData[[#This Row],[Gift_Date]]), 2))</f>
        <v>FY25</v>
      </c>
      <c r="K476">
        <f>IF(COUNTIFS(GiftData[Constituent_ID], GiftData[[#This Row],[Constituent_ID]], GiftData[Fiscal_Year], "FY24")&gt;0, 1, 0)</f>
        <v>0</v>
      </c>
      <c r="L476">
        <f>IF(COUNTIFS(GiftData[Constituent_ID], GiftData[[#This Row],[Constituent_ID]], GiftData[Fiscal_Year], "FY25")&gt;0, 1, 0)</f>
        <v>1</v>
      </c>
      <c r="M476">
        <f>IF(COUNTIFS(GiftData[Constituent_ID], GiftData[[#This Row],[Constituent_ID]], GiftData[Fiscal_Year], "FY26")&gt;0, 1, 0)</f>
        <v>0</v>
      </c>
      <c r="N476" t="str" cm="1">
        <f t="array" ref="N4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77" spans="1:14" x14ac:dyDescent="0.2">
      <c r="A477" t="s">
        <v>770</v>
      </c>
      <c r="B477" t="s">
        <v>771</v>
      </c>
      <c r="C477" t="s">
        <v>28</v>
      </c>
      <c r="D477" s="1">
        <v>46028</v>
      </c>
      <c r="E477">
        <v>28.68</v>
      </c>
      <c r="F477" t="s">
        <v>12</v>
      </c>
      <c r="G477" t="s">
        <v>13</v>
      </c>
      <c r="H477" t="s">
        <v>20</v>
      </c>
      <c r="I477" t="s">
        <v>15</v>
      </c>
      <c r="J477" t="str">
        <f>"FY" &amp; IF(MONTH(GiftData[[#This Row],[Gift_Date]])&gt;=7, RIGHT(YEAR(GiftData[[#This Row],[Gift_Date]])+1, 2), RIGHT(YEAR(GiftData[[#This Row],[Gift_Date]]), 2))</f>
        <v>FY26</v>
      </c>
      <c r="K477">
        <f>IF(COUNTIFS(GiftData[Constituent_ID], GiftData[[#This Row],[Constituent_ID]], GiftData[Fiscal_Year], "FY24")&gt;0, 1, 0)</f>
        <v>0</v>
      </c>
      <c r="L477">
        <f>IF(COUNTIFS(GiftData[Constituent_ID], GiftData[[#This Row],[Constituent_ID]], GiftData[Fiscal_Year], "FY25")&gt;0, 1, 0)</f>
        <v>1</v>
      </c>
      <c r="M477">
        <f>IF(COUNTIFS(GiftData[Constituent_ID], GiftData[[#This Row],[Constituent_ID]], GiftData[Fiscal_Year], "FY26")&gt;0, 1, 0)</f>
        <v>1</v>
      </c>
      <c r="N477" t="str" cm="1">
        <f t="array" ref="N4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8" spans="1:14" x14ac:dyDescent="0.2">
      <c r="A478" t="s">
        <v>772</v>
      </c>
      <c r="B478" t="s">
        <v>199</v>
      </c>
      <c r="C478" t="s">
        <v>35</v>
      </c>
      <c r="D478" s="1">
        <v>45877</v>
      </c>
      <c r="E478">
        <v>769.96</v>
      </c>
      <c r="F478" t="s">
        <v>12</v>
      </c>
      <c r="G478" t="s">
        <v>13</v>
      </c>
      <c r="H478" t="s">
        <v>51</v>
      </c>
      <c r="I478" t="s">
        <v>15</v>
      </c>
      <c r="J478" t="str">
        <f>"FY" &amp; IF(MONTH(GiftData[[#This Row],[Gift_Date]])&gt;=7, RIGHT(YEAR(GiftData[[#This Row],[Gift_Date]])+1, 2), RIGHT(YEAR(GiftData[[#This Row],[Gift_Date]]), 2))</f>
        <v>FY26</v>
      </c>
      <c r="K478">
        <f>IF(COUNTIFS(GiftData[Constituent_ID], GiftData[[#This Row],[Constituent_ID]], GiftData[Fiscal_Year], "FY24")&gt;0, 1, 0)</f>
        <v>0</v>
      </c>
      <c r="L478">
        <f>IF(COUNTIFS(GiftData[Constituent_ID], GiftData[[#This Row],[Constituent_ID]], GiftData[Fiscal_Year], "FY25")&gt;0, 1, 0)</f>
        <v>1</v>
      </c>
      <c r="M478">
        <f>IF(COUNTIFS(GiftData[Constituent_ID], GiftData[[#This Row],[Constituent_ID]], GiftData[Fiscal_Year], "FY26")&gt;0, 1, 0)</f>
        <v>1</v>
      </c>
      <c r="N478" t="str" cm="1">
        <f t="array" ref="N4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79" spans="1:14" x14ac:dyDescent="0.2">
      <c r="A479" t="s">
        <v>773</v>
      </c>
      <c r="B479" t="s">
        <v>238</v>
      </c>
      <c r="C479" t="s">
        <v>11</v>
      </c>
      <c r="D479" s="1">
        <v>45370</v>
      </c>
      <c r="E479">
        <v>60.63</v>
      </c>
      <c r="F479" t="s">
        <v>12</v>
      </c>
      <c r="G479" t="s">
        <v>13</v>
      </c>
      <c r="H479" t="s">
        <v>20</v>
      </c>
      <c r="I479" t="s">
        <v>15</v>
      </c>
      <c r="J479" t="str">
        <f>"FY" &amp; IF(MONTH(GiftData[[#This Row],[Gift_Date]])&gt;=7, RIGHT(YEAR(GiftData[[#This Row],[Gift_Date]])+1, 2), RIGHT(YEAR(GiftData[[#This Row],[Gift_Date]]), 2))</f>
        <v>FY24</v>
      </c>
      <c r="K479">
        <f>IF(COUNTIFS(GiftData[Constituent_ID], GiftData[[#This Row],[Constituent_ID]], GiftData[Fiscal_Year], "FY24")&gt;0, 1, 0)</f>
        <v>1</v>
      </c>
      <c r="L479">
        <f>IF(COUNTIFS(GiftData[Constituent_ID], GiftData[[#This Row],[Constituent_ID]], GiftData[Fiscal_Year], "FY25")&gt;0, 1, 0)</f>
        <v>1</v>
      </c>
      <c r="M479">
        <f>IF(COUNTIFS(GiftData[Constituent_ID], GiftData[[#This Row],[Constituent_ID]], GiftData[Fiscal_Year], "FY26")&gt;0, 1, 0)</f>
        <v>1</v>
      </c>
      <c r="N479" t="str" cm="1">
        <f t="array" ref="N4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0" spans="1:14" x14ac:dyDescent="0.2">
      <c r="A480" t="s">
        <v>774</v>
      </c>
      <c r="B480" t="s">
        <v>261</v>
      </c>
      <c r="C480" t="s">
        <v>28</v>
      </c>
      <c r="D480" s="1">
        <v>45744</v>
      </c>
      <c r="E480">
        <v>19.21</v>
      </c>
      <c r="F480" t="s">
        <v>59</v>
      </c>
      <c r="G480" t="s">
        <v>29</v>
      </c>
      <c r="H480" t="s">
        <v>164</v>
      </c>
      <c r="I480" t="s">
        <v>30</v>
      </c>
      <c r="J480" t="str">
        <f>"FY" &amp; IF(MONTH(GiftData[[#This Row],[Gift_Date]])&gt;=7, RIGHT(YEAR(GiftData[[#This Row],[Gift_Date]])+1, 2), RIGHT(YEAR(GiftData[[#This Row],[Gift_Date]]), 2))</f>
        <v>FY25</v>
      </c>
      <c r="K480">
        <f>IF(COUNTIFS(GiftData[Constituent_ID], GiftData[[#This Row],[Constituent_ID]], GiftData[Fiscal_Year], "FY24")&gt;0, 1, 0)</f>
        <v>1</v>
      </c>
      <c r="L480">
        <f>IF(COUNTIFS(GiftData[Constituent_ID], GiftData[[#This Row],[Constituent_ID]], GiftData[Fiscal_Year], "FY25")&gt;0, 1, 0)</f>
        <v>1</v>
      </c>
      <c r="M480">
        <f>IF(COUNTIFS(GiftData[Constituent_ID], GiftData[[#This Row],[Constituent_ID]], GiftData[Fiscal_Year], "FY26")&gt;0, 1, 0)</f>
        <v>1</v>
      </c>
      <c r="N480" t="str" cm="1">
        <f t="array" ref="N4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1" spans="1:14" x14ac:dyDescent="0.2">
      <c r="A481" t="s">
        <v>775</v>
      </c>
      <c r="B481" t="s">
        <v>632</v>
      </c>
      <c r="C481" t="s">
        <v>11</v>
      </c>
      <c r="D481" s="1">
        <v>45566</v>
      </c>
      <c r="E481">
        <v>160.41</v>
      </c>
      <c r="F481" t="s">
        <v>12</v>
      </c>
      <c r="G481" t="s">
        <v>13</v>
      </c>
      <c r="H481" t="s">
        <v>20</v>
      </c>
      <c r="I481" t="s">
        <v>56</v>
      </c>
      <c r="J481" t="str">
        <f>"FY" &amp; IF(MONTH(GiftData[[#This Row],[Gift_Date]])&gt;=7, RIGHT(YEAR(GiftData[[#This Row],[Gift_Date]])+1, 2), RIGHT(YEAR(GiftData[[#This Row],[Gift_Date]]), 2))</f>
        <v>FY25</v>
      </c>
      <c r="K481">
        <f>IF(COUNTIFS(GiftData[Constituent_ID], GiftData[[#This Row],[Constituent_ID]], GiftData[Fiscal_Year], "FY24")&gt;0, 1, 0)</f>
        <v>1</v>
      </c>
      <c r="L481">
        <f>IF(COUNTIFS(GiftData[Constituent_ID], GiftData[[#This Row],[Constituent_ID]], GiftData[Fiscal_Year], "FY25")&gt;0, 1, 0)</f>
        <v>1</v>
      </c>
      <c r="M481">
        <f>IF(COUNTIFS(GiftData[Constituent_ID], GiftData[[#This Row],[Constituent_ID]], GiftData[Fiscal_Year], "FY26")&gt;0, 1, 0)</f>
        <v>1</v>
      </c>
      <c r="N481" t="str" cm="1">
        <f t="array" ref="N4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2" spans="1:14" x14ac:dyDescent="0.2">
      <c r="A482" t="s">
        <v>776</v>
      </c>
      <c r="B482" t="s">
        <v>436</v>
      </c>
      <c r="C482" t="s">
        <v>35</v>
      </c>
      <c r="D482" s="1">
        <v>46106</v>
      </c>
      <c r="E482">
        <v>39.729999999999997</v>
      </c>
      <c r="F482" t="s">
        <v>25</v>
      </c>
      <c r="G482" t="s">
        <v>13</v>
      </c>
      <c r="H482" t="s">
        <v>41</v>
      </c>
      <c r="I482" t="s">
        <v>15</v>
      </c>
      <c r="J482" t="str">
        <f>"FY" &amp; IF(MONTH(GiftData[[#This Row],[Gift_Date]])&gt;=7, RIGHT(YEAR(GiftData[[#This Row],[Gift_Date]])+1, 2), RIGHT(YEAR(GiftData[[#This Row],[Gift_Date]]), 2))</f>
        <v>FY26</v>
      </c>
      <c r="K482">
        <f>IF(COUNTIFS(GiftData[Constituent_ID], GiftData[[#This Row],[Constituent_ID]], GiftData[Fiscal_Year], "FY24")&gt;0, 1, 0)</f>
        <v>1</v>
      </c>
      <c r="L482">
        <f>IF(COUNTIFS(GiftData[Constituent_ID], GiftData[[#This Row],[Constituent_ID]], GiftData[Fiscal_Year], "FY25")&gt;0, 1, 0)</f>
        <v>1</v>
      </c>
      <c r="M482">
        <f>IF(COUNTIFS(GiftData[Constituent_ID], GiftData[[#This Row],[Constituent_ID]], GiftData[Fiscal_Year], "FY26")&gt;0, 1, 0)</f>
        <v>1</v>
      </c>
      <c r="N482" t="str" cm="1">
        <f t="array" ref="N4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3" spans="1:14" x14ac:dyDescent="0.2">
      <c r="A483" t="s">
        <v>777</v>
      </c>
      <c r="B483" t="s">
        <v>632</v>
      </c>
      <c r="C483" t="s">
        <v>11</v>
      </c>
      <c r="D483" s="1">
        <v>45807</v>
      </c>
      <c r="E483">
        <v>31.85</v>
      </c>
      <c r="F483" t="s">
        <v>12</v>
      </c>
      <c r="G483" t="s">
        <v>13</v>
      </c>
      <c r="H483" t="s">
        <v>20</v>
      </c>
      <c r="I483" t="s">
        <v>15</v>
      </c>
      <c r="J483" t="str">
        <f>"FY" &amp; IF(MONTH(GiftData[[#This Row],[Gift_Date]])&gt;=7, RIGHT(YEAR(GiftData[[#This Row],[Gift_Date]])+1, 2), RIGHT(YEAR(GiftData[[#This Row],[Gift_Date]]), 2))</f>
        <v>FY25</v>
      </c>
      <c r="K483">
        <f>IF(COUNTIFS(GiftData[Constituent_ID], GiftData[[#This Row],[Constituent_ID]], GiftData[Fiscal_Year], "FY24")&gt;0, 1, 0)</f>
        <v>1</v>
      </c>
      <c r="L483">
        <f>IF(COUNTIFS(GiftData[Constituent_ID], GiftData[[#This Row],[Constituent_ID]], GiftData[Fiscal_Year], "FY25")&gt;0, 1, 0)</f>
        <v>1</v>
      </c>
      <c r="M483">
        <f>IF(COUNTIFS(GiftData[Constituent_ID], GiftData[[#This Row],[Constituent_ID]], GiftData[Fiscal_Year], "FY26")&gt;0, 1, 0)</f>
        <v>1</v>
      </c>
      <c r="N483" t="str" cm="1">
        <f t="array" ref="N4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4" spans="1:14" x14ac:dyDescent="0.2">
      <c r="A484" t="s">
        <v>778</v>
      </c>
      <c r="B484" t="s">
        <v>537</v>
      </c>
      <c r="C484" t="s">
        <v>18</v>
      </c>
      <c r="D484" s="1">
        <v>45409</v>
      </c>
      <c r="E484">
        <v>69.47</v>
      </c>
      <c r="F484" t="s">
        <v>25</v>
      </c>
      <c r="G484" t="s">
        <v>13</v>
      </c>
      <c r="H484" t="s">
        <v>51</v>
      </c>
      <c r="I484" t="s">
        <v>56</v>
      </c>
      <c r="J484" t="str">
        <f>"FY" &amp; IF(MONTH(GiftData[[#This Row],[Gift_Date]])&gt;=7, RIGHT(YEAR(GiftData[[#This Row],[Gift_Date]])+1, 2), RIGHT(YEAR(GiftData[[#This Row],[Gift_Date]]), 2))</f>
        <v>FY24</v>
      </c>
      <c r="K484">
        <f>IF(COUNTIFS(GiftData[Constituent_ID], GiftData[[#This Row],[Constituent_ID]], GiftData[Fiscal_Year], "FY24")&gt;0, 1, 0)</f>
        <v>1</v>
      </c>
      <c r="L484">
        <f>IF(COUNTIFS(GiftData[Constituent_ID], GiftData[[#This Row],[Constituent_ID]], GiftData[Fiscal_Year], "FY25")&gt;0, 1, 0)</f>
        <v>1</v>
      </c>
      <c r="M484">
        <f>IF(COUNTIFS(GiftData[Constituent_ID], GiftData[[#This Row],[Constituent_ID]], GiftData[Fiscal_Year], "FY26")&gt;0, 1, 0)</f>
        <v>1</v>
      </c>
      <c r="N484" t="str" cm="1">
        <f t="array" ref="N4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5" spans="1:14" x14ac:dyDescent="0.2">
      <c r="A485" t="s">
        <v>779</v>
      </c>
      <c r="B485" t="s">
        <v>632</v>
      </c>
      <c r="C485" t="s">
        <v>18</v>
      </c>
      <c r="D485" s="1">
        <v>45661</v>
      </c>
      <c r="E485">
        <v>135.94999999999999</v>
      </c>
      <c r="F485" t="s">
        <v>25</v>
      </c>
      <c r="G485" t="s">
        <v>13</v>
      </c>
      <c r="H485" t="s">
        <v>14</v>
      </c>
      <c r="I485" t="s">
        <v>30</v>
      </c>
      <c r="J485" t="str">
        <f>"FY" &amp; IF(MONTH(GiftData[[#This Row],[Gift_Date]])&gt;=7, RIGHT(YEAR(GiftData[[#This Row],[Gift_Date]])+1, 2), RIGHT(YEAR(GiftData[[#This Row],[Gift_Date]]), 2))</f>
        <v>FY25</v>
      </c>
      <c r="K485">
        <f>IF(COUNTIFS(GiftData[Constituent_ID], GiftData[[#This Row],[Constituent_ID]], GiftData[Fiscal_Year], "FY24")&gt;0, 1, 0)</f>
        <v>1</v>
      </c>
      <c r="L485">
        <f>IF(COUNTIFS(GiftData[Constituent_ID], GiftData[[#This Row],[Constituent_ID]], GiftData[Fiscal_Year], "FY25")&gt;0, 1, 0)</f>
        <v>1</v>
      </c>
      <c r="M485">
        <f>IF(COUNTIFS(GiftData[Constituent_ID], GiftData[[#This Row],[Constituent_ID]], GiftData[Fiscal_Year], "FY26")&gt;0, 1, 0)</f>
        <v>1</v>
      </c>
      <c r="N485" t="str" cm="1">
        <f t="array" ref="N4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6" spans="1:14" x14ac:dyDescent="0.2">
      <c r="A486" t="s">
        <v>780</v>
      </c>
      <c r="B486" t="s">
        <v>109</v>
      </c>
      <c r="C486" t="s">
        <v>18</v>
      </c>
      <c r="D486" s="1">
        <v>45395</v>
      </c>
      <c r="E486">
        <v>20.18</v>
      </c>
      <c r="F486" t="s">
        <v>12</v>
      </c>
      <c r="G486" t="s">
        <v>13</v>
      </c>
      <c r="H486" t="s">
        <v>20</v>
      </c>
      <c r="I486" t="s">
        <v>15</v>
      </c>
      <c r="J486" t="str">
        <f>"FY" &amp; IF(MONTH(GiftData[[#This Row],[Gift_Date]])&gt;=7, RIGHT(YEAR(GiftData[[#This Row],[Gift_Date]])+1, 2), RIGHT(YEAR(GiftData[[#This Row],[Gift_Date]]), 2))</f>
        <v>FY24</v>
      </c>
      <c r="K486">
        <f>IF(COUNTIFS(GiftData[Constituent_ID], GiftData[[#This Row],[Constituent_ID]], GiftData[Fiscal_Year], "FY24")&gt;0, 1, 0)</f>
        <v>1</v>
      </c>
      <c r="L486">
        <f>IF(COUNTIFS(GiftData[Constituent_ID], GiftData[[#This Row],[Constituent_ID]], GiftData[Fiscal_Year], "FY25")&gt;0, 1, 0)</f>
        <v>1</v>
      </c>
      <c r="M486">
        <f>IF(COUNTIFS(GiftData[Constituent_ID], GiftData[[#This Row],[Constituent_ID]], GiftData[Fiscal_Year], "FY26")&gt;0, 1, 0)</f>
        <v>1</v>
      </c>
      <c r="N486" t="str" cm="1">
        <f t="array" ref="N4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7" spans="1:14" x14ac:dyDescent="0.2">
      <c r="A487" t="s">
        <v>781</v>
      </c>
      <c r="B487" t="s">
        <v>163</v>
      </c>
      <c r="C487" t="s">
        <v>11</v>
      </c>
      <c r="D487" s="1">
        <v>45728</v>
      </c>
      <c r="E487">
        <v>735.61</v>
      </c>
      <c r="F487" t="s">
        <v>12</v>
      </c>
      <c r="G487" t="s">
        <v>13</v>
      </c>
      <c r="H487" t="s">
        <v>14</v>
      </c>
      <c r="I487" t="s">
        <v>15</v>
      </c>
      <c r="J487" t="str">
        <f>"FY" &amp; IF(MONTH(GiftData[[#This Row],[Gift_Date]])&gt;=7, RIGHT(YEAR(GiftData[[#This Row],[Gift_Date]])+1, 2), RIGHT(YEAR(GiftData[[#This Row],[Gift_Date]]), 2))</f>
        <v>FY25</v>
      </c>
      <c r="K487">
        <f>IF(COUNTIFS(GiftData[Constituent_ID], GiftData[[#This Row],[Constituent_ID]], GiftData[Fiscal_Year], "FY24")&gt;0, 1, 0)</f>
        <v>1</v>
      </c>
      <c r="L487">
        <f>IF(COUNTIFS(GiftData[Constituent_ID], GiftData[[#This Row],[Constituent_ID]], GiftData[Fiscal_Year], "FY25")&gt;0, 1, 0)</f>
        <v>1</v>
      </c>
      <c r="M487">
        <f>IF(COUNTIFS(GiftData[Constituent_ID], GiftData[[#This Row],[Constituent_ID]], GiftData[Fiscal_Year], "FY26")&gt;0, 1, 0)</f>
        <v>1</v>
      </c>
      <c r="N487" t="str" cm="1">
        <f t="array" ref="N4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8" spans="1:14" x14ac:dyDescent="0.2">
      <c r="A488" t="s">
        <v>782</v>
      </c>
      <c r="B488" t="s">
        <v>558</v>
      </c>
      <c r="C488" t="s">
        <v>18</v>
      </c>
      <c r="D488" s="1">
        <v>46113</v>
      </c>
      <c r="E488">
        <v>293.04000000000002</v>
      </c>
      <c r="F488" t="s">
        <v>12</v>
      </c>
      <c r="G488" t="s">
        <v>13</v>
      </c>
      <c r="H488" t="s">
        <v>14</v>
      </c>
      <c r="I488" t="s">
        <v>56</v>
      </c>
      <c r="J488" t="str">
        <f>"FY" &amp; IF(MONTH(GiftData[[#This Row],[Gift_Date]])&gt;=7, RIGHT(YEAR(GiftData[[#This Row],[Gift_Date]])+1, 2), RIGHT(YEAR(GiftData[[#This Row],[Gift_Date]]), 2))</f>
        <v>FY26</v>
      </c>
      <c r="K488">
        <f>IF(COUNTIFS(GiftData[Constituent_ID], GiftData[[#This Row],[Constituent_ID]], GiftData[Fiscal_Year], "FY24")&gt;0, 1, 0)</f>
        <v>0</v>
      </c>
      <c r="L488">
        <f>IF(COUNTIFS(GiftData[Constituent_ID], GiftData[[#This Row],[Constituent_ID]], GiftData[Fiscal_Year], "FY25")&gt;0, 1, 0)</f>
        <v>1</v>
      </c>
      <c r="M488">
        <f>IF(COUNTIFS(GiftData[Constituent_ID], GiftData[[#This Row],[Constituent_ID]], GiftData[Fiscal_Year], "FY26")&gt;0, 1, 0)</f>
        <v>1</v>
      </c>
      <c r="N488" t="str" cm="1">
        <f t="array" ref="N4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89" spans="1:14" x14ac:dyDescent="0.2">
      <c r="A489" t="s">
        <v>783</v>
      </c>
      <c r="B489" t="s">
        <v>517</v>
      </c>
      <c r="C489" t="s">
        <v>18</v>
      </c>
      <c r="D489" s="1">
        <v>45143</v>
      </c>
      <c r="E489">
        <v>75.569999999999993</v>
      </c>
      <c r="F489" t="s">
        <v>59</v>
      </c>
      <c r="G489" t="s">
        <v>13</v>
      </c>
      <c r="H489" t="s">
        <v>41</v>
      </c>
      <c r="I489" t="s">
        <v>38</v>
      </c>
      <c r="J489" t="str">
        <f>"FY" &amp; IF(MONTH(GiftData[[#This Row],[Gift_Date]])&gt;=7, RIGHT(YEAR(GiftData[[#This Row],[Gift_Date]])+1, 2), RIGHT(YEAR(GiftData[[#This Row],[Gift_Date]]), 2))</f>
        <v>FY24</v>
      </c>
      <c r="K489">
        <f>IF(COUNTIFS(GiftData[Constituent_ID], GiftData[[#This Row],[Constituent_ID]], GiftData[Fiscal_Year], "FY24")&gt;0, 1, 0)</f>
        <v>1</v>
      </c>
      <c r="L489">
        <f>IF(COUNTIFS(GiftData[Constituent_ID], GiftData[[#This Row],[Constituent_ID]], GiftData[Fiscal_Year], "FY25")&gt;0, 1, 0)</f>
        <v>0</v>
      </c>
      <c r="M489">
        <f>IF(COUNTIFS(GiftData[Constituent_ID], GiftData[[#This Row],[Constituent_ID]], GiftData[Fiscal_Year], "FY26")&gt;0, 1, 0)</f>
        <v>1</v>
      </c>
      <c r="N489" t="str" cm="1">
        <f t="array" ref="N4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0" spans="1:14" x14ac:dyDescent="0.2">
      <c r="A490" t="s">
        <v>784</v>
      </c>
      <c r="B490" t="s">
        <v>242</v>
      </c>
      <c r="C490" t="s">
        <v>48</v>
      </c>
      <c r="D490" s="1">
        <v>45851</v>
      </c>
      <c r="E490">
        <v>37.549999999999997</v>
      </c>
      <c r="F490" t="s">
        <v>59</v>
      </c>
      <c r="G490" t="s">
        <v>13</v>
      </c>
      <c r="H490" t="s">
        <v>51</v>
      </c>
      <c r="I490" t="s">
        <v>15</v>
      </c>
      <c r="J490" t="str">
        <f>"FY" &amp; IF(MONTH(GiftData[[#This Row],[Gift_Date]])&gt;=7, RIGHT(YEAR(GiftData[[#This Row],[Gift_Date]])+1, 2), RIGHT(YEAR(GiftData[[#This Row],[Gift_Date]]), 2))</f>
        <v>FY26</v>
      </c>
      <c r="K490">
        <f>IF(COUNTIFS(GiftData[Constituent_ID], GiftData[[#This Row],[Constituent_ID]], GiftData[Fiscal_Year], "FY24")&gt;0, 1, 0)</f>
        <v>1</v>
      </c>
      <c r="L490">
        <f>IF(COUNTIFS(GiftData[Constituent_ID], GiftData[[#This Row],[Constituent_ID]], GiftData[Fiscal_Year], "FY25")&gt;0, 1, 0)</f>
        <v>1</v>
      </c>
      <c r="M490">
        <f>IF(COUNTIFS(GiftData[Constituent_ID], GiftData[[#This Row],[Constituent_ID]], GiftData[Fiscal_Year], "FY26")&gt;0, 1, 0)</f>
        <v>1</v>
      </c>
      <c r="N490" t="str" cm="1">
        <f t="array" ref="N4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1" spans="1:14" x14ac:dyDescent="0.2">
      <c r="A491" t="s">
        <v>785</v>
      </c>
      <c r="B491" t="s">
        <v>69</v>
      </c>
      <c r="C491" t="s">
        <v>35</v>
      </c>
      <c r="D491" s="1">
        <v>45460</v>
      </c>
      <c r="E491">
        <v>108.2</v>
      </c>
      <c r="F491" t="s">
        <v>12</v>
      </c>
      <c r="G491" t="s">
        <v>13</v>
      </c>
      <c r="H491" t="s">
        <v>14</v>
      </c>
      <c r="I491" t="s">
        <v>38</v>
      </c>
      <c r="J491" t="str">
        <f>"FY" &amp; IF(MONTH(GiftData[[#This Row],[Gift_Date]])&gt;=7, RIGHT(YEAR(GiftData[[#This Row],[Gift_Date]])+1, 2), RIGHT(YEAR(GiftData[[#This Row],[Gift_Date]]), 2))</f>
        <v>FY24</v>
      </c>
      <c r="K491">
        <f>IF(COUNTIFS(GiftData[Constituent_ID], GiftData[[#This Row],[Constituent_ID]], GiftData[Fiscal_Year], "FY24")&gt;0, 1, 0)</f>
        <v>1</v>
      </c>
      <c r="L491">
        <f>IF(COUNTIFS(GiftData[Constituent_ID], GiftData[[#This Row],[Constituent_ID]], GiftData[Fiscal_Year], "FY25")&gt;0, 1, 0)</f>
        <v>0</v>
      </c>
      <c r="M491">
        <f>IF(COUNTIFS(GiftData[Constituent_ID], GiftData[[#This Row],[Constituent_ID]], GiftData[Fiscal_Year], "FY26")&gt;0, 1, 0)</f>
        <v>1</v>
      </c>
      <c r="N491" t="str" cm="1">
        <f t="array" ref="N4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2" spans="1:14" x14ac:dyDescent="0.2">
      <c r="A492" t="s">
        <v>786</v>
      </c>
      <c r="B492" t="s">
        <v>504</v>
      </c>
      <c r="C492" t="s">
        <v>11</v>
      </c>
      <c r="D492" s="1">
        <v>45180</v>
      </c>
      <c r="E492">
        <v>391.22</v>
      </c>
      <c r="F492" t="s">
        <v>12</v>
      </c>
      <c r="G492" t="s">
        <v>13</v>
      </c>
      <c r="H492" t="s">
        <v>20</v>
      </c>
      <c r="I492" t="s">
        <v>56</v>
      </c>
      <c r="J492" t="str">
        <f>"FY" &amp; IF(MONTH(GiftData[[#This Row],[Gift_Date]])&gt;=7, RIGHT(YEAR(GiftData[[#This Row],[Gift_Date]])+1, 2), RIGHT(YEAR(GiftData[[#This Row],[Gift_Date]]), 2))</f>
        <v>FY24</v>
      </c>
      <c r="K492">
        <f>IF(COUNTIFS(GiftData[Constituent_ID], GiftData[[#This Row],[Constituent_ID]], GiftData[Fiscal_Year], "FY24")&gt;0, 1, 0)</f>
        <v>1</v>
      </c>
      <c r="L492">
        <f>IF(COUNTIFS(GiftData[Constituent_ID], GiftData[[#This Row],[Constituent_ID]], GiftData[Fiscal_Year], "FY25")&gt;0, 1, 0)</f>
        <v>1</v>
      </c>
      <c r="M492">
        <f>IF(COUNTIFS(GiftData[Constituent_ID], GiftData[[#This Row],[Constituent_ID]], GiftData[Fiscal_Year], "FY26")&gt;0, 1, 0)</f>
        <v>0</v>
      </c>
      <c r="N492" t="str" cm="1">
        <f t="array" ref="N4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93" spans="1:14" x14ac:dyDescent="0.2">
      <c r="A493" t="s">
        <v>787</v>
      </c>
      <c r="B493" t="s">
        <v>714</v>
      </c>
      <c r="C493" t="s">
        <v>48</v>
      </c>
      <c r="D493" s="1">
        <v>45755</v>
      </c>
      <c r="E493">
        <v>319.88</v>
      </c>
      <c r="F493" t="s">
        <v>12</v>
      </c>
      <c r="G493" t="s">
        <v>13</v>
      </c>
      <c r="H493" t="s">
        <v>20</v>
      </c>
      <c r="I493" t="s">
        <v>56</v>
      </c>
      <c r="J493" t="str">
        <f>"FY" &amp; IF(MONTH(GiftData[[#This Row],[Gift_Date]])&gt;=7, RIGHT(YEAR(GiftData[[#This Row],[Gift_Date]])+1, 2), RIGHT(YEAR(GiftData[[#This Row],[Gift_Date]]), 2))</f>
        <v>FY25</v>
      </c>
      <c r="K493">
        <f>IF(COUNTIFS(GiftData[Constituent_ID], GiftData[[#This Row],[Constituent_ID]], GiftData[Fiscal_Year], "FY24")&gt;0, 1, 0)</f>
        <v>1</v>
      </c>
      <c r="L493">
        <f>IF(COUNTIFS(GiftData[Constituent_ID], GiftData[[#This Row],[Constituent_ID]], GiftData[Fiscal_Year], "FY25")&gt;0, 1, 0)</f>
        <v>1</v>
      </c>
      <c r="M493">
        <f>IF(COUNTIFS(GiftData[Constituent_ID], GiftData[[#This Row],[Constituent_ID]], GiftData[Fiscal_Year], "FY26")&gt;0, 1, 0)</f>
        <v>0</v>
      </c>
      <c r="N493" t="str" cm="1">
        <f t="array" ref="N4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94" spans="1:14" x14ac:dyDescent="0.2">
      <c r="A494" t="s">
        <v>788</v>
      </c>
      <c r="B494" t="s">
        <v>486</v>
      </c>
      <c r="C494" t="s">
        <v>18</v>
      </c>
      <c r="D494" s="1">
        <v>45532</v>
      </c>
      <c r="E494">
        <v>481.09</v>
      </c>
      <c r="F494" t="s">
        <v>25</v>
      </c>
      <c r="G494" t="s">
        <v>13</v>
      </c>
      <c r="H494" t="s">
        <v>14</v>
      </c>
      <c r="I494" t="s">
        <v>38</v>
      </c>
      <c r="J494" t="str">
        <f>"FY" &amp; IF(MONTH(GiftData[[#This Row],[Gift_Date]])&gt;=7, RIGHT(YEAR(GiftData[[#This Row],[Gift_Date]])+1, 2), RIGHT(YEAR(GiftData[[#This Row],[Gift_Date]]), 2))</f>
        <v>FY25</v>
      </c>
      <c r="K494">
        <f>IF(COUNTIFS(GiftData[Constituent_ID], GiftData[[#This Row],[Constituent_ID]], GiftData[Fiscal_Year], "FY24")&gt;0, 1, 0)</f>
        <v>1</v>
      </c>
      <c r="L494">
        <f>IF(COUNTIFS(GiftData[Constituent_ID], GiftData[[#This Row],[Constituent_ID]], GiftData[Fiscal_Year], "FY25")&gt;0, 1, 0)</f>
        <v>1</v>
      </c>
      <c r="M494">
        <f>IF(COUNTIFS(GiftData[Constituent_ID], GiftData[[#This Row],[Constituent_ID]], GiftData[Fiscal_Year], "FY26")&gt;0, 1, 0)</f>
        <v>1</v>
      </c>
      <c r="N494" t="str" cm="1">
        <f t="array" ref="N4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5" spans="1:14" x14ac:dyDescent="0.2">
      <c r="A495" t="s">
        <v>789</v>
      </c>
      <c r="B495" t="s">
        <v>790</v>
      </c>
      <c r="C495" t="s">
        <v>28</v>
      </c>
      <c r="D495" s="1">
        <v>46106</v>
      </c>
      <c r="E495">
        <v>65.069999999999993</v>
      </c>
      <c r="F495" t="s">
        <v>12</v>
      </c>
      <c r="G495" t="s">
        <v>13</v>
      </c>
      <c r="H495" t="s">
        <v>14</v>
      </c>
      <c r="I495" t="s">
        <v>38</v>
      </c>
      <c r="J495" t="str">
        <f>"FY" &amp; IF(MONTH(GiftData[[#This Row],[Gift_Date]])&gt;=7, RIGHT(YEAR(GiftData[[#This Row],[Gift_Date]])+1, 2), RIGHT(YEAR(GiftData[[#This Row],[Gift_Date]]), 2))</f>
        <v>FY26</v>
      </c>
      <c r="K495">
        <f>IF(COUNTIFS(GiftData[Constituent_ID], GiftData[[#This Row],[Constituent_ID]], GiftData[Fiscal_Year], "FY24")&gt;0, 1, 0)</f>
        <v>1</v>
      </c>
      <c r="L495">
        <f>IF(COUNTIFS(GiftData[Constituent_ID], GiftData[[#This Row],[Constituent_ID]], GiftData[Fiscal_Year], "FY25")&gt;0, 1, 0)</f>
        <v>1</v>
      </c>
      <c r="M495">
        <f>IF(COUNTIFS(GiftData[Constituent_ID], GiftData[[#This Row],[Constituent_ID]], GiftData[Fiscal_Year], "FY26")&gt;0, 1, 0)</f>
        <v>1</v>
      </c>
      <c r="N495" t="str" cm="1">
        <f t="array" ref="N4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6" spans="1:14" x14ac:dyDescent="0.2">
      <c r="A496" t="s">
        <v>791</v>
      </c>
      <c r="B496" t="s">
        <v>584</v>
      </c>
      <c r="C496" t="s">
        <v>28</v>
      </c>
      <c r="D496" s="1">
        <v>45815</v>
      </c>
      <c r="E496">
        <v>15</v>
      </c>
      <c r="F496" t="s">
        <v>12</v>
      </c>
      <c r="G496" t="s">
        <v>13</v>
      </c>
      <c r="H496" t="s">
        <v>14</v>
      </c>
      <c r="I496" t="s">
        <v>15</v>
      </c>
      <c r="J496" t="str">
        <f>"FY" &amp; IF(MONTH(GiftData[[#This Row],[Gift_Date]])&gt;=7, RIGHT(YEAR(GiftData[[#This Row],[Gift_Date]])+1, 2), RIGHT(YEAR(GiftData[[#This Row],[Gift_Date]]), 2))</f>
        <v>FY25</v>
      </c>
      <c r="K496">
        <f>IF(COUNTIFS(GiftData[Constituent_ID], GiftData[[#This Row],[Constituent_ID]], GiftData[Fiscal_Year], "FY24")&gt;0, 1, 0)</f>
        <v>1</v>
      </c>
      <c r="L496">
        <f>IF(COUNTIFS(GiftData[Constituent_ID], GiftData[[#This Row],[Constituent_ID]], GiftData[Fiscal_Year], "FY25")&gt;0, 1, 0)</f>
        <v>1</v>
      </c>
      <c r="M496">
        <f>IF(COUNTIFS(GiftData[Constituent_ID], GiftData[[#This Row],[Constituent_ID]], GiftData[Fiscal_Year], "FY26")&gt;0, 1, 0)</f>
        <v>1</v>
      </c>
      <c r="N496" t="str" cm="1">
        <f t="array" ref="N4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7" spans="1:14" x14ac:dyDescent="0.2">
      <c r="A497" t="s">
        <v>792</v>
      </c>
      <c r="B497" t="s">
        <v>492</v>
      </c>
      <c r="C497" t="s">
        <v>11</v>
      </c>
      <c r="D497" s="1">
        <v>45668</v>
      </c>
      <c r="E497">
        <v>615.33000000000004</v>
      </c>
      <c r="F497" t="s">
        <v>12</v>
      </c>
      <c r="G497" t="s">
        <v>13</v>
      </c>
      <c r="H497" t="s">
        <v>20</v>
      </c>
      <c r="I497" t="s">
        <v>56</v>
      </c>
      <c r="J497" t="str">
        <f>"FY" &amp; IF(MONTH(GiftData[[#This Row],[Gift_Date]])&gt;=7, RIGHT(YEAR(GiftData[[#This Row],[Gift_Date]])+1, 2), RIGHT(YEAR(GiftData[[#This Row],[Gift_Date]]), 2))</f>
        <v>FY25</v>
      </c>
      <c r="K497">
        <f>IF(COUNTIFS(GiftData[Constituent_ID], GiftData[[#This Row],[Constituent_ID]], GiftData[Fiscal_Year], "FY24")&gt;0, 1, 0)</f>
        <v>1</v>
      </c>
      <c r="L497">
        <f>IF(COUNTIFS(GiftData[Constituent_ID], GiftData[[#This Row],[Constituent_ID]], GiftData[Fiscal_Year], "FY25")&gt;0, 1, 0)</f>
        <v>1</v>
      </c>
      <c r="M497">
        <f>IF(COUNTIFS(GiftData[Constituent_ID], GiftData[[#This Row],[Constituent_ID]], GiftData[Fiscal_Year], "FY26")&gt;0, 1, 0)</f>
        <v>0</v>
      </c>
      <c r="N497" t="str" cm="1">
        <f t="array" ref="N4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498" spans="1:14" x14ac:dyDescent="0.2">
      <c r="A498" t="s">
        <v>793</v>
      </c>
      <c r="B498" t="s">
        <v>298</v>
      </c>
      <c r="C498" t="s">
        <v>11</v>
      </c>
      <c r="D498" s="1">
        <v>45935</v>
      </c>
      <c r="E498">
        <v>97.77</v>
      </c>
      <c r="F498" t="s">
        <v>12</v>
      </c>
      <c r="G498" t="s">
        <v>29</v>
      </c>
      <c r="H498" t="s">
        <v>14</v>
      </c>
      <c r="I498" t="s">
        <v>15</v>
      </c>
      <c r="J498" t="str">
        <f>"FY" &amp; IF(MONTH(GiftData[[#This Row],[Gift_Date]])&gt;=7, RIGHT(YEAR(GiftData[[#This Row],[Gift_Date]])+1, 2), RIGHT(YEAR(GiftData[[#This Row],[Gift_Date]]), 2))</f>
        <v>FY26</v>
      </c>
      <c r="K498">
        <f>IF(COUNTIFS(GiftData[Constituent_ID], GiftData[[#This Row],[Constituent_ID]], GiftData[Fiscal_Year], "FY24")&gt;0, 1, 0)</f>
        <v>1</v>
      </c>
      <c r="L498">
        <f>IF(COUNTIFS(GiftData[Constituent_ID], GiftData[[#This Row],[Constituent_ID]], GiftData[Fiscal_Year], "FY25")&gt;0, 1, 0)</f>
        <v>1</v>
      </c>
      <c r="M498">
        <f>IF(COUNTIFS(GiftData[Constituent_ID], GiftData[[#This Row],[Constituent_ID]], GiftData[Fiscal_Year], "FY26")&gt;0, 1, 0)</f>
        <v>1</v>
      </c>
      <c r="N498" t="str" cm="1">
        <f t="array" ref="N4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499" spans="1:14" x14ac:dyDescent="0.2">
      <c r="A499" t="s">
        <v>794</v>
      </c>
      <c r="B499" t="s">
        <v>386</v>
      </c>
      <c r="C499" t="s">
        <v>11</v>
      </c>
      <c r="D499" s="1">
        <v>46063</v>
      </c>
      <c r="E499">
        <v>288.88</v>
      </c>
      <c r="F499" t="s">
        <v>25</v>
      </c>
      <c r="G499" t="s">
        <v>13</v>
      </c>
      <c r="H499" t="s">
        <v>164</v>
      </c>
      <c r="I499" t="s">
        <v>56</v>
      </c>
      <c r="J499" t="str">
        <f>"FY" &amp; IF(MONTH(GiftData[[#This Row],[Gift_Date]])&gt;=7, RIGHT(YEAR(GiftData[[#This Row],[Gift_Date]])+1, 2), RIGHT(YEAR(GiftData[[#This Row],[Gift_Date]]), 2))</f>
        <v>FY26</v>
      </c>
      <c r="K499">
        <f>IF(COUNTIFS(GiftData[Constituent_ID], GiftData[[#This Row],[Constituent_ID]], GiftData[Fiscal_Year], "FY24")&gt;0, 1, 0)</f>
        <v>0</v>
      </c>
      <c r="L499">
        <f>IF(COUNTIFS(GiftData[Constituent_ID], GiftData[[#This Row],[Constituent_ID]], GiftData[Fiscal_Year], "FY25")&gt;0, 1, 0)</f>
        <v>1</v>
      </c>
      <c r="M499">
        <f>IF(COUNTIFS(GiftData[Constituent_ID], GiftData[[#This Row],[Constituent_ID]], GiftData[Fiscal_Year], "FY26")&gt;0, 1, 0)</f>
        <v>1</v>
      </c>
      <c r="N499" t="str" cm="1">
        <f t="array" ref="N4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0" spans="1:14" x14ac:dyDescent="0.2">
      <c r="A500" t="s">
        <v>795</v>
      </c>
      <c r="B500" t="s">
        <v>796</v>
      </c>
      <c r="C500" t="s">
        <v>11</v>
      </c>
      <c r="D500" s="1">
        <v>45624</v>
      </c>
      <c r="E500">
        <v>1064.22</v>
      </c>
      <c r="F500" t="s">
        <v>12</v>
      </c>
      <c r="G500" t="s">
        <v>13</v>
      </c>
      <c r="H500" t="s">
        <v>20</v>
      </c>
      <c r="I500" t="s">
        <v>15</v>
      </c>
      <c r="J500" t="str">
        <f>"FY" &amp; IF(MONTH(GiftData[[#This Row],[Gift_Date]])&gt;=7, RIGHT(YEAR(GiftData[[#This Row],[Gift_Date]])+1, 2), RIGHT(YEAR(GiftData[[#This Row],[Gift_Date]]), 2))</f>
        <v>FY25</v>
      </c>
      <c r="K500">
        <f>IF(COUNTIFS(GiftData[Constituent_ID], GiftData[[#This Row],[Constituent_ID]], GiftData[Fiscal_Year], "FY24")&gt;0, 1, 0)</f>
        <v>0</v>
      </c>
      <c r="L500">
        <f>IF(COUNTIFS(GiftData[Constituent_ID], GiftData[[#This Row],[Constituent_ID]], GiftData[Fiscal_Year], "FY25")&gt;0, 1, 0)</f>
        <v>1</v>
      </c>
      <c r="M500">
        <f>IF(COUNTIFS(GiftData[Constituent_ID], GiftData[[#This Row],[Constituent_ID]], GiftData[Fiscal_Year], "FY26")&gt;0, 1, 0)</f>
        <v>0</v>
      </c>
      <c r="N500" t="str" cm="1">
        <f t="array" ref="N5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01" spans="1:14" x14ac:dyDescent="0.2">
      <c r="A501" t="s">
        <v>797</v>
      </c>
      <c r="B501" t="s">
        <v>474</v>
      </c>
      <c r="C501" t="s">
        <v>28</v>
      </c>
      <c r="D501" s="1">
        <v>45535</v>
      </c>
      <c r="E501">
        <v>2877.66</v>
      </c>
      <c r="F501" t="s">
        <v>25</v>
      </c>
      <c r="G501" t="s">
        <v>13</v>
      </c>
      <c r="H501" t="s">
        <v>14</v>
      </c>
      <c r="I501" t="s">
        <v>56</v>
      </c>
      <c r="J501" t="str">
        <f>"FY" &amp; IF(MONTH(GiftData[[#This Row],[Gift_Date]])&gt;=7, RIGHT(YEAR(GiftData[[#This Row],[Gift_Date]])+1, 2), RIGHT(YEAR(GiftData[[#This Row],[Gift_Date]]), 2))</f>
        <v>FY25</v>
      </c>
      <c r="K501">
        <f>IF(COUNTIFS(GiftData[Constituent_ID], GiftData[[#This Row],[Constituent_ID]], GiftData[Fiscal_Year], "FY24")&gt;0, 1, 0)</f>
        <v>1</v>
      </c>
      <c r="L501">
        <f>IF(COUNTIFS(GiftData[Constituent_ID], GiftData[[#This Row],[Constituent_ID]], GiftData[Fiscal_Year], "FY25")&gt;0, 1, 0)</f>
        <v>1</v>
      </c>
      <c r="M501">
        <f>IF(COUNTIFS(GiftData[Constituent_ID], GiftData[[#This Row],[Constituent_ID]], GiftData[Fiscal_Year], "FY26")&gt;0, 1, 0)</f>
        <v>1</v>
      </c>
      <c r="N501" t="str" cm="1">
        <f t="array" ref="N5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2" spans="1:14" x14ac:dyDescent="0.2">
      <c r="A502" t="s">
        <v>798</v>
      </c>
      <c r="B502" t="s">
        <v>799</v>
      </c>
      <c r="C502" t="s">
        <v>18</v>
      </c>
      <c r="D502" s="1">
        <v>45267</v>
      </c>
      <c r="E502">
        <v>52.21</v>
      </c>
      <c r="F502" t="s">
        <v>12</v>
      </c>
      <c r="G502" t="s">
        <v>13</v>
      </c>
      <c r="H502" t="s">
        <v>41</v>
      </c>
      <c r="I502" t="s">
        <v>15</v>
      </c>
      <c r="J502" t="str">
        <f>"FY" &amp; IF(MONTH(GiftData[[#This Row],[Gift_Date]])&gt;=7, RIGHT(YEAR(GiftData[[#This Row],[Gift_Date]])+1, 2), RIGHT(YEAR(GiftData[[#This Row],[Gift_Date]]), 2))</f>
        <v>FY24</v>
      </c>
      <c r="K502">
        <f>IF(COUNTIFS(GiftData[Constituent_ID], GiftData[[#This Row],[Constituent_ID]], GiftData[Fiscal_Year], "FY24")&gt;0, 1, 0)</f>
        <v>1</v>
      </c>
      <c r="L502">
        <f>IF(COUNTIFS(GiftData[Constituent_ID], GiftData[[#This Row],[Constituent_ID]], GiftData[Fiscal_Year], "FY25")&gt;0, 1, 0)</f>
        <v>0</v>
      </c>
      <c r="M502">
        <f>IF(COUNTIFS(GiftData[Constituent_ID], GiftData[[#This Row],[Constituent_ID]], GiftData[Fiscal_Year], "FY26")&gt;0, 1, 0)</f>
        <v>0</v>
      </c>
      <c r="N502" t="str" cm="1">
        <f t="array" ref="N5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03" spans="1:14" x14ac:dyDescent="0.2">
      <c r="A503" t="s">
        <v>800</v>
      </c>
      <c r="B503" t="s">
        <v>132</v>
      </c>
      <c r="C503" t="s">
        <v>18</v>
      </c>
      <c r="D503" s="1">
        <v>45256</v>
      </c>
      <c r="E503">
        <v>144.63</v>
      </c>
      <c r="F503" t="s">
        <v>12</v>
      </c>
      <c r="G503" t="s">
        <v>29</v>
      </c>
      <c r="H503" t="s">
        <v>41</v>
      </c>
      <c r="I503" t="s">
        <v>15</v>
      </c>
      <c r="J503" t="str">
        <f>"FY" &amp; IF(MONTH(GiftData[[#This Row],[Gift_Date]])&gt;=7, RIGHT(YEAR(GiftData[[#This Row],[Gift_Date]])+1, 2), RIGHT(YEAR(GiftData[[#This Row],[Gift_Date]]), 2))</f>
        <v>FY24</v>
      </c>
      <c r="K503">
        <f>IF(COUNTIFS(GiftData[Constituent_ID], GiftData[[#This Row],[Constituent_ID]], GiftData[Fiscal_Year], "FY24")&gt;0, 1, 0)</f>
        <v>1</v>
      </c>
      <c r="L503">
        <f>IF(COUNTIFS(GiftData[Constituent_ID], GiftData[[#This Row],[Constituent_ID]], GiftData[Fiscal_Year], "FY25")&gt;0, 1, 0)</f>
        <v>0</v>
      </c>
      <c r="M503">
        <f>IF(COUNTIFS(GiftData[Constituent_ID], GiftData[[#This Row],[Constituent_ID]], GiftData[Fiscal_Year], "FY26")&gt;0, 1, 0)</f>
        <v>1</v>
      </c>
      <c r="N503" t="str" cm="1">
        <f t="array" ref="N5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4" spans="1:14" x14ac:dyDescent="0.2">
      <c r="A504" t="s">
        <v>801</v>
      </c>
      <c r="B504" t="s">
        <v>802</v>
      </c>
      <c r="C504" t="s">
        <v>18</v>
      </c>
      <c r="D504" s="1">
        <v>45883</v>
      </c>
      <c r="E504">
        <v>718.3</v>
      </c>
      <c r="F504" t="s">
        <v>25</v>
      </c>
      <c r="G504" t="s">
        <v>13</v>
      </c>
      <c r="H504" t="s">
        <v>20</v>
      </c>
      <c r="I504" t="s">
        <v>15</v>
      </c>
      <c r="J504" t="str">
        <f>"FY" &amp; IF(MONTH(GiftData[[#This Row],[Gift_Date]])&gt;=7, RIGHT(YEAR(GiftData[[#This Row],[Gift_Date]])+1, 2), RIGHT(YEAR(GiftData[[#This Row],[Gift_Date]]), 2))</f>
        <v>FY26</v>
      </c>
      <c r="K504">
        <f>IF(COUNTIFS(GiftData[Constituent_ID], GiftData[[#This Row],[Constituent_ID]], GiftData[Fiscal_Year], "FY24")&gt;0, 1, 0)</f>
        <v>1</v>
      </c>
      <c r="L504">
        <f>IF(COUNTIFS(GiftData[Constituent_ID], GiftData[[#This Row],[Constituent_ID]], GiftData[Fiscal_Year], "FY25")&gt;0, 1, 0)</f>
        <v>1</v>
      </c>
      <c r="M504">
        <f>IF(COUNTIFS(GiftData[Constituent_ID], GiftData[[#This Row],[Constituent_ID]], GiftData[Fiscal_Year], "FY26")&gt;0, 1, 0)</f>
        <v>1</v>
      </c>
      <c r="N504" t="str" cm="1">
        <f t="array" ref="N5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5" spans="1:14" x14ac:dyDescent="0.2">
      <c r="A505" t="s">
        <v>803</v>
      </c>
      <c r="B505" t="s">
        <v>314</v>
      </c>
      <c r="C505" t="s">
        <v>11</v>
      </c>
      <c r="D505" s="1">
        <v>45174</v>
      </c>
      <c r="E505">
        <v>40.549999999999997</v>
      </c>
      <c r="F505" t="s">
        <v>19</v>
      </c>
      <c r="G505" t="s">
        <v>29</v>
      </c>
      <c r="H505" t="s">
        <v>41</v>
      </c>
      <c r="I505" t="s">
        <v>38</v>
      </c>
      <c r="J505" t="str">
        <f>"FY" &amp; IF(MONTH(GiftData[[#This Row],[Gift_Date]])&gt;=7, RIGHT(YEAR(GiftData[[#This Row],[Gift_Date]])+1, 2), RIGHT(YEAR(GiftData[[#This Row],[Gift_Date]]), 2))</f>
        <v>FY24</v>
      </c>
      <c r="K505">
        <f>IF(COUNTIFS(GiftData[Constituent_ID], GiftData[[#This Row],[Constituent_ID]], GiftData[Fiscal_Year], "FY24")&gt;0, 1, 0)</f>
        <v>1</v>
      </c>
      <c r="L505">
        <f>IF(COUNTIFS(GiftData[Constituent_ID], GiftData[[#This Row],[Constituent_ID]], GiftData[Fiscal_Year], "FY25")&gt;0, 1, 0)</f>
        <v>0</v>
      </c>
      <c r="M505">
        <f>IF(COUNTIFS(GiftData[Constituent_ID], GiftData[[#This Row],[Constituent_ID]], GiftData[Fiscal_Year], "FY26")&gt;0, 1, 0)</f>
        <v>0</v>
      </c>
      <c r="N505" t="str" cm="1">
        <f t="array" ref="N5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06" spans="1:14" x14ac:dyDescent="0.2">
      <c r="A506" t="s">
        <v>804</v>
      </c>
      <c r="B506" t="s">
        <v>567</v>
      </c>
      <c r="C506" t="s">
        <v>11</v>
      </c>
      <c r="D506" s="1">
        <v>46121</v>
      </c>
      <c r="E506">
        <v>57.01</v>
      </c>
      <c r="F506" t="s">
        <v>25</v>
      </c>
      <c r="G506" t="s">
        <v>13</v>
      </c>
      <c r="H506" t="s">
        <v>51</v>
      </c>
      <c r="I506" t="s">
        <v>56</v>
      </c>
      <c r="J506" t="str">
        <f>"FY" &amp; IF(MONTH(GiftData[[#This Row],[Gift_Date]])&gt;=7, RIGHT(YEAR(GiftData[[#This Row],[Gift_Date]])+1, 2), RIGHT(YEAR(GiftData[[#This Row],[Gift_Date]]), 2))</f>
        <v>FY26</v>
      </c>
      <c r="K506">
        <f>IF(COUNTIFS(GiftData[Constituent_ID], GiftData[[#This Row],[Constituent_ID]], GiftData[Fiscal_Year], "FY24")&gt;0, 1, 0)</f>
        <v>1</v>
      </c>
      <c r="L506">
        <f>IF(COUNTIFS(GiftData[Constituent_ID], GiftData[[#This Row],[Constituent_ID]], GiftData[Fiscal_Year], "FY25")&gt;0, 1, 0)</f>
        <v>0</v>
      </c>
      <c r="M506">
        <f>IF(COUNTIFS(GiftData[Constituent_ID], GiftData[[#This Row],[Constituent_ID]], GiftData[Fiscal_Year], "FY26")&gt;0, 1, 0)</f>
        <v>1</v>
      </c>
      <c r="N506" t="str" cm="1">
        <f t="array" ref="N5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7" spans="1:14" x14ac:dyDescent="0.2">
      <c r="A507" t="s">
        <v>805</v>
      </c>
      <c r="B507" t="s">
        <v>27</v>
      </c>
      <c r="C507" t="s">
        <v>18</v>
      </c>
      <c r="D507" s="1">
        <v>45488</v>
      </c>
      <c r="E507">
        <v>56.57</v>
      </c>
      <c r="F507" t="s">
        <v>12</v>
      </c>
      <c r="G507" t="s">
        <v>13</v>
      </c>
      <c r="H507" t="s">
        <v>20</v>
      </c>
      <c r="I507" t="s">
        <v>38</v>
      </c>
      <c r="J507" t="str">
        <f>"FY" &amp; IF(MONTH(GiftData[[#This Row],[Gift_Date]])&gt;=7, RIGHT(YEAR(GiftData[[#This Row],[Gift_Date]])+1, 2), RIGHT(YEAR(GiftData[[#This Row],[Gift_Date]]), 2))</f>
        <v>FY25</v>
      </c>
      <c r="K507">
        <f>IF(COUNTIFS(GiftData[Constituent_ID], GiftData[[#This Row],[Constituent_ID]], GiftData[Fiscal_Year], "FY24")&gt;0, 1, 0)</f>
        <v>1</v>
      </c>
      <c r="L507">
        <f>IF(COUNTIFS(GiftData[Constituent_ID], GiftData[[#This Row],[Constituent_ID]], GiftData[Fiscal_Year], "FY25")&gt;0, 1, 0)</f>
        <v>1</v>
      </c>
      <c r="M507">
        <f>IF(COUNTIFS(GiftData[Constituent_ID], GiftData[[#This Row],[Constituent_ID]], GiftData[Fiscal_Year], "FY26")&gt;0, 1, 0)</f>
        <v>1</v>
      </c>
      <c r="N507" t="str" cm="1">
        <f t="array" ref="N5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8" spans="1:14" x14ac:dyDescent="0.2">
      <c r="A508" t="s">
        <v>806</v>
      </c>
      <c r="B508" t="s">
        <v>695</v>
      </c>
      <c r="C508" t="s">
        <v>35</v>
      </c>
      <c r="D508" s="1">
        <v>45165</v>
      </c>
      <c r="E508">
        <v>117.15</v>
      </c>
      <c r="F508" t="s">
        <v>12</v>
      </c>
      <c r="G508" t="s">
        <v>13</v>
      </c>
      <c r="H508" t="s">
        <v>14</v>
      </c>
      <c r="I508" t="s">
        <v>15</v>
      </c>
      <c r="J508" t="str">
        <f>"FY" &amp; IF(MONTH(GiftData[[#This Row],[Gift_Date]])&gt;=7, RIGHT(YEAR(GiftData[[#This Row],[Gift_Date]])+1, 2), RIGHT(YEAR(GiftData[[#This Row],[Gift_Date]]), 2))</f>
        <v>FY24</v>
      </c>
      <c r="K508">
        <f>IF(COUNTIFS(GiftData[Constituent_ID], GiftData[[#This Row],[Constituent_ID]], GiftData[Fiscal_Year], "FY24")&gt;0, 1, 0)</f>
        <v>1</v>
      </c>
      <c r="L508">
        <f>IF(COUNTIFS(GiftData[Constituent_ID], GiftData[[#This Row],[Constituent_ID]], GiftData[Fiscal_Year], "FY25")&gt;0, 1, 0)</f>
        <v>0</v>
      </c>
      <c r="M508">
        <f>IF(COUNTIFS(GiftData[Constituent_ID], GiftData[[#This Row],[Constituent_ID]], GiftData[Fiscal_Year], "FY26")&gt;0, 1, 0)</f>
        <v>1</v>
      </c>
      <c r="N508" t="str" cm="1">
        <f t="array" ref="N5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09" spans="1:14" x14ac:dyDescent="0.2">
      <c r="A509" t="s">
        <v>807</v>
      </c>
      <c r="B509" t="s">
        <v>259</v>
      </c>
      <c r="C509" t="s">
        <v>11</v>
      </c>
      <c r="D509" s="1">
        <v>45449</v>
      </c>
      <c r="E509">
        <v>91.27</v>
      </c>
      <c r="F509" t="s">
        <v>59</v>
      </c>
      <c r="G509" t="s">
        <v>29</v>
      </c>
      <c r="H509" t="s">
        <v>20</v>
      </c>
      <c r="I509" t="s">
        <v>15</v>
      </c>
      <c r="J509" t="str">
        <f>"FY" &amp; IF(MONTH(GiftData[[#This Row],[Gift_Date]])&gt;=7, RIGHT(YEAR(GiftData[[#This Row],[Gift_Date]])+1, 2), RIGHT(YEAR(GiftData[[#This Row],[Gift_Date]]), 2))</f>
        <v>FY24</v>
      </c>
      <c r="K509">
        <f>IF(COUNTIFS(GiftData[Constituent_ID], GiftData[[#This Row],[Constituent_ID]], GiftData[Fiscal_Year], "FY24")&gt;0, 1, 0)</f>
        <v>1</v>
      </c>
      <c r="L509">
        <f>IF(COUNTIFS(GiftData[Constituent_ID], GiftData[[#This Row],[Constituent_ID]], GiftData[Fiscal_Year], "FY25")&gt;0, 1, 0)</f>
        <v>1</v>
      </c>
      <c r="M509">
        <f>IF(COUNTIFS(GiftData[Constituent_ID], GiftData[[#This Row],[Constituent_ID]], GiftData[Fiscal_Year], "FY26")&gt;0, 1, 0)</f>
        <v>0</v>
      </c>
      <c r="N509" t="str" cm="1">
        <f t="array" ref="N5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10" spans="1:14" x14ac:dyDescent="0.2">
      <c r="A510" t="s">
        <v>808</v>
      </c>
      <c r="B510" t="s">
        <v>809</v>
      </c>
      <c r="C510" t="s">
        <v>18</v>
      </c>
      <c r="D510" s="1">
        <v>45834</v>
      </c>
      <c r="E510">
        <v>56.15</v>
      </c>
      <c r="F510" t="s">
        <v>12</v>
      </c>
      <c r="G510" t="s">
        <v>13</v>
      </c>
      <c r="H510" t="s">
        <v>14</v>
      </c>
      <c r="I510" t="s">
        <v>56</v>
      </c>
      <c r="J510" t="str">
        <f>"FY" &amp; IF(MONTH(GiftData[[#This Row],[Gift_Date]])&gt;=7, RIGHT(YEAR(GiftData[[#This Row],[Gift_Date]])+1, 2), RIGHT(YEAR(GiftData[[#This Row],[Gift_Date]]), 2))</f>
        <v>FY25</v>
      </c>
      <c r="K510">
        <f>IF(COUNTIFS(GiftData[Constituent_ID], GiftData[[#This Row],[Constituent_ID]], GiftData[Fiscal_Year], "FY24")&gt;0, 1, 0)</f>
        <v>1</v>
      </c>
      <c r="L510">
        <f>IF(COUNTIFS(GiftData[Constituent_ID], GiftData[[#This Row],[Constituent_ID]], GiftData[Fiscal_Year], "FY25")&gt;0, 1, 0)</f>
        <v>1</v>
      </c>
      <c r="M510">
        <f>IF(COUNTIFS(GiftData[Constituent_ID], GiftData[[#This Row],[Constituent_ID]], GiftData[Fiscal_Year], "FY26")&gt;0, 1, 0)</f>
        <v>1</v>
      </c>
      <c r="N510" t="str" cm="1">
        <f t="array" ref="N5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1" spans="1:14" x14ac:dyDescent="0.2">
      <c r="A511" t="s">
        <v>810</v>
      </c>
      <c r="B511" t="s">
        <v>695</v>
      </c>
      <c r="C511" t="s">
        <v>28</v>
      </c>
      <c r="D511" s="1">
        <v>45877</v>
      </c>
      <c r="E511">
        <v>34.619999999999997</v>
      </c>
      <c r="F511" t="s">
        <v>12</v>
      </c>
      <c r="G511" t="s">
        <v>13</v>
      </c>
      <c r="H511" t="s">
        <v>14</v>
      </c>
      <c r="I511" t="s">
        <v>38</v>
      </c>
      <c r="J511" t="str">
        <f>"FY" &amp; IF(MONTH(GiftData[[#This Row],[Gift_Date]])&gt;=7, RIGHT(YEAR(GiftData[[#This Row],[Gift_Date]])+1, 2), RIGHT(YEAR(GiftData[[#This Row],[Gift_Date]]), 2))</f>
        <v>FY26</v>
      </c>
      <c r="K511">
        <f>IF(COUNTIFS(GiftData[Constituent_ID], GiftData[[#This Row],[Constituent_ID]], GiftData[Fiscal_Year], "FY24")&gt;0, 1, 0)</f>
        <v>1</v>
      </c>
      <c r="L511">
        <f>IF(COUNTIFS(GiftData[Constituent_ID], GiftData[[#This Row],[Constituent_ID]], GiftData[Fiscal_Year], "FY25")&gt;0, 1, 0)</f>
        <v>0</v>
      </c>
      <c r="M511">
        <f>IF(COUNTIFS(GiftData[Constituent_ID], GiftData[[#This Row],[Constituent_ID]], GiftData[Fiscal_Year], "FY26")&gt;0, 1, 0)</f>
        <v>1</v>
      </c>
      <c r="N511" t="str" cm="1">
        <f t="array" ref="N5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2" spans="1:14" x14ac:dyDescent="0.2">
      <c r="A512" t="s">
        <v>811</v>
      </c>
      <c r="B512" t="s">
        <v>91</v>
      </c>
      <c r="C512" t="s">
        <v>18</v>
      </c>
      <c r="D512" s="1">
        <v>45721</v>
      </c>
      <c r="E512">
        <v>349.16</v>
      </c>
      <c r="F512" t="s">
        <v>59</v>
      </c>
      <c r="G512" t="s">
        <v>29</v>
      </c>
      <c r="H512" t="s">
        <v>41</v>
      </c>
      <c r="I512" t="s">
        <v>38</v>
      </c>
      <c r="J512" t="str">
        <f>"FY" &amp; IF(MONTH(GiftData[[#This Row],[Gift_Date]])&gt;=7, RIGHT(YEAR(GiftData[[#This Row],[Gift_Date]])+1, 2), RIGHT(YEAR(GiftData[[#This Row],[Gift_Date]]), 2))</f>
        <v>FY25</v>
      </c>
      <c r="K512">
        <f>IF(COUNTIFS(GiftData[Constituent_ID], GiftData[[#This Row],[Constituent_ID]], GiftData[Fiscal_Year], "FY24")&gt;0, 1, 0)</f>
        <v>0</v>
      </c>
      <c r="L512">
        <f>IF(COUNTIFS(GiftData[Constituent_ID], GiftData[[#This Row],[Constituent_ID]], GiftData[Fiscal_Year], "FY25")&gt;0, 1, 0)</f>
        <v>1</v>
      </c>
      <c r="M512">
        <f>IF(COUNTIFS(GiftData[Constituent_ID], GiftData[[#This Row],[Constituent_ID]], GiftData[Fiscal_Year], "FY26")&gt;0, 1, 0)</f>
        <v>1</v>
      </c>
      <c r="N512" t="str" cm="1">
        <f t="array" ref="N5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3" spans="1:14" x14ac:dyDescent="0.2">
      <c r="A513" t="s">
        <v>812</v>
      </c>
      <c r="B513" t="s">
        <v>53</v>
      </c>
      <c r="C513" t="s">
        <v>28</v>
      </c>
      <c r="D513" s="1">
        <v>45461</v>
      </c>
      <c r="E513">
        <v>691.72</v>
      </c>
      <c r="F513" t="s">
        <v>59</v>
      </c>
      <c r="G513" t="s">
        <v>13</v>
      </c>
      <c r="H513" t="s">
        <v>20</v>
      </c>
      <c r="I513" t="s">
        <v>38</v>
      </c>
      <c r="J513" t="str">
        <f>"FY" &amp; IF(MONTH(GiftData[[#This Row],[Gift_Date]])&gt;=7, RIGHT(YEAR(GiftData[[#This Row],[Gift_Date]])+1, 2), RIGHT(YEAR(GiftData[[#This Row],[Gift_Date]]), 2))</f>
        <v>FY24</v>
      </c>
      <c r="K513">
        <f>IF(COUNTIFS(GiftData[Constituent_ID], GiftData[[#This Row],[Constituent_ID]], GiftData[Fiscal_Year], "FY24")&gt;0, 1, 0)</f>
        <v>1</v>
      </c>
      <c r="L513">
        <f>IF(COUNTIFS(GiftData[Constituent_ID], GiftData[[#This Row],[Constituent_ID]], GiftData[Fiscal_Year], "FY25")&gt;0, 1, 0)</f>
        <v>1</v>
      </c>
      <c r="M513">
        <f>IF(COUNTIFS(GiftData[Constituent_ID], GiftData[[#This Row],[Constituent_ID]], GiftData[Fiscal_Year], "FY26")&gt;0, 1, 0)</f>
        <v>1</v>
      </c>
      <c r="N513" t="str" cm="1">
        <f t="array" ref="N5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4" spans="1:14" x14ac:dyDescent="0.2">
      <c r="A514" t="s">
        <v>813</v>
      </c>
      <c r="B514" t="s">
        <v>502</v>
      </c>
      <c r="C514" t="s">
        <v>28</v>
      </c>
      <c r="D514" s="1">
        <v>45223</v>
      </c>
      <c r="E514">
        <v>835.08</v>
      </c>
      <c r="F514" t="s">
        <v>19</v>
      </c>
      <c r="G514" t="s">
        <v>13</v>
      </c>
      <c r="H514" t="s">
        <v>14</v>
      </c>
      <c r="I514" t="s">
        <v>38</v>
      </c>
      <c r="J514" t="str">
        <f>"FY" &amp; IF(MONTH(GiftData[[#This Row],[Gift_Date]])&gt;=7, RIGHT(YEAR(GiftData[[#This Row],[Gift_Date]])+1, 2), RIGHT(YEAR(GiftData[[#This Row],[Gift_Date]]), 2))</f>
        <v>FY24</v>
      </c>
      <c r="K514">
        <f>IF(COUNTIFS(GiftData[Constituent_ID], GiftData[[#This Row],[Constituent_ID]], GiftData[Fiscal_Year], "FY24")&gt;0, 1, 0)</f>
        <v>1</v>
      </c>
      <c r="L514">
        <f>IF(COUNTIFS(GiftData[Constituent_ID], GiftData[[#This Row],[Constituent_ID]], GiftData[Fiscal_Year], "FY25")&gt;0, 1, 0)</f>
        <v>1</v>
      </c>
      <c r="M514">
        <f>IF(COUNTIFS(GiftData[Constituent_ID], GiftData[[#This Row],[Constituent_ID]], GiftData[Fiscal_Year], "FY26")&gt;0, 1, 0)</f>
        <v>1</v>
      </c>
      <c r="N514" t="str" cm="1">
        <f t="array" ref="N5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5" spans="1:14" x14ac:dyDescent="0.2">
      <c r="A515" t="s">
        <v>814</v>
      </c>
      <c r="B515" t="s">
        <v>815</v>
      </c>
      <c r="C515" t="s">
        <v>18</v>
      </c>
      <c r="D515" s="1">
        <v>45769</v>
      </c>
      <c r="E515">
        <v>65.010000000000005</v>
      </c>
      <c r="F515" t="s">
        <v>59</v>
      </c>
      <c r="G515" t="s">
        <v>13</v>
      </c>
      <c r="H515" t="s">
        <v>14</v>
      </c>
      <c r="I515" t="s">
        <v>15</v>
      </c>
      <c r="J515" t="str">
        <f>"FY" &amp; IF(MONTH(GiftData[[#This Row],[Gift_Date]])&gt;=7, RIGHT(YEAR(GiftData[[#This Row],[Gift_Date]])+1, 2), RIGHT(YEAR(GiftData[[#This Row],[Gift_Date]]), 2))</f>
        <v>FY25</v>
      </c>
      <c r="K515">
        <f>IF(COUNTIFS(GiftData[Constituent_ID], GiftData[[#This Row],[Constituent_ID]], GiftData[Fiscal_Year], "FY24")&gt;0, 1, 0)</f>
        <v>1</v>
      </c>
      <c r="L515">
        <f>IF(COUNTIFS(GiftData[Constituent_ID], GiftData[[#This Row],[Constituent_ID]], GiftData[Fiscal_Year], "FY25")&gt;0, 1, 0)</f>
        <v>1</v>
      </c>
      <c r="M515">
        <f>IF(COUNTIFS(GiftData[Constituent_ID], GiftData[[#This Row],[Constituent_ID]], GiftData[Fiscal_Year], "FY26")&gt;0, 1, 0)</f>
        <v>1</v>
      </c>
      <c r="N515" t="str" cm="1">
        <f t="array" ref="N5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6" spans="1:14" x14ac:dyDescent="0.2">
      <c r="A516" t="s">
        <v>816</v>
      </c>
      <c r="B516" t="s">
        <v>40</v>
      </c>
      <c r="C516" t="s">
        <v>18</v>
      </c>
      <c r="D516" s="1">
        <v>45560</v>
      </c>
      <c r="E516">
        <v>368.65</v>
      </c>
      <c r="F516" t="s">
        <v>59</v>
      </c>
      <c r="G516" t="s">
        <v>13</v>
      </c>
      <c r="H516" t="s">
        <v>14</v>
      </c>
      <c r="I516" t="s">
        <v>38</v>
      </c>
      <c r="J516" t="str">
        <f>"FY" &amp; IF(MONTH(GiftData[[#This Row],[Gift_Date]])&gt;=7, RIGHT(YEAR(GiftData[[#This Row],[Gift_Date]])+1, 2), RIGHT(YEAR(GiftData[[#This Row],[Gift_Date]]), 2))</f>
        <v>FY25</v>
      </c>
      <c r="K516">
        <f>IF(COUNTIFS(GiftData[Constituent_ID], GiftData[[#This Row],[Constituent_ID]], GiftData[Fiscal_Year], "FY24")&gt;0, 1, 0)</f>
        <v>0</v>
      </c>
      <c r="L516">
        <f>IF(COUNTIFS(GiftData[Constituent_ID], GiftData[[#This Row],[Constituent_ID]], GiftData[Fiscal_Year], "FY25")&gt;0, 1, 0)</f>
        <v>1</v>
      </c>
      <c r="M516">
        <f>IF(COUNTIFS(GiftData[Constituent_ID], GiftData[[#This Row],[Constituent_ID]], GiftData[Fiscal_Year], "FY26")&gt;0, 1, 0)</f>
        <v>1</v>
      </c>
      <c r="N516" t="str" cm="1">
        <f t="array" ref="N5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7" spans="1:14" x14ac:dyDescent="0.2">
      <c r="A517" t="s">
        <v>817</v>
      </c>
      <c r="B517" t="s">
        <v>353</v>
      </c>
      <c r="C517" t="s">
        <v>11</v>
      </c>
      <c r="D517" s="1">
        <v>45394</v>
      </c>
      <c r="E517">
        <v>165.21</v>
      </c>
      <c r="F517" t="s">
        <v>12</v>
      </c>
      <c r="G517" t="s">
        <v>13</v>
      </c>
      <c r="H517" t="s">
        <v>41</v>
      </c>
      <c r="I517" t="s">
        <v>38</v>
      </c>
      <c r="J517" t="str">
        <f>"FY" &amp; IF(MONTH(GiftData[[#This Row],[Gift_Date]])&gt;=7, RIGHT(YEAR(GiftData[[#This Row],[Gift_Date]])+1, 2), RIGHT(YEAR(GiftData[[#This Row],[Gift_Date]]), 2))</f>
        <v>FY24</v>
      </c>
      <c r="K517">
        <f>IF(COUNTIFS(GiftData[Constituent_ID], GiftData[[#This Row],[Constituent_ID]], GiftData[Fiscal_Year], "FY24")&gt;0, 1, 0)</f>
        <v>1</v>
      </c>
      <c r="L517">
        <f>IF(COUNTIFS(GiftData[Constituent_ID], GiftData[[#This Row],[Constituent_ID]], GiftData[Fiscal_Year], "FY25")&gt;0, 1, 0)</f>
        <v>0</v>
      </c>
      <c r="M517">
        <f>IF(COUNTIFS(GiftData[Constituent_ID], GiftData[[#This Row],[Constituent_ID]], GiftData[Fiscal_Year], "FY26")&gt;0, 1, 0)</f>
        <v>1</v>
      </c>
      <c r="N517" t="str" cm="1">
        <f t="array" ref="N5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8" spans="1:14" x14ac:dyDescent="0.2">
      <c r="A518" t="s">
        <v>818</v>
      </c>
      <c r="B518" t="s">
        <v>819</v>
      </c>
      <c r="C518" t="s">
        <v>18</v>
      </c>
      <c r="D518" s="1">
        <v>46124</v>
      </c>
      <c r="E518">
        <v>57.87</v>
      </c>
      <c r="F518" t="s">
        <v>12</v>
      </c>
      <c r="G518" t="s">
        <v>13</v>
      </c>
      <c r="H518" t="s">
        <v>14</v>
      </c>
      <c r="I518" t="s">
        <v>56</v>
      </c>
      <c r="J518" t="str">
        <f>"FY" &amp; IF(MONTH(GiftData[[#This Row],[Gift_Date]])&gt;=7, RIGHT(YEAR(GiftData[[#This Row],[Gift_Date]])+1, 2), RIGHT(YEAR(GiftData[[#This Row],[Gift_Date]]), 2))</f>
        <v>FY26</v>
      </c>
      <c r="K518">
        <f>IF(COUNTIFS(GiftData[Constituent_ID], GiftData[[#This Row],[Constituent_ID]], GiftData[Fiscal_Year], "FY24")&gt;0, 1, 0)</f>
        <v>0</v>
      </c>
      <c r="L518">
        <f>IF(COUNTIFS(GiftData[Constituent_ID], GiftData[[#This Row],[Constituent_ID]], GiftData[Fiscal_Year], "FY25")&gt;0, 1, 0)</f>
        <v>1</v>
      </c>
      <c r="M518">
        <f>IF(COUNTIFS(GiftData[Constituent_ID], GiftData[[#This Row],[Constituent_ID]], GiftData[Fiscal_Year], "FY26")&gt;0, 1, 0)</f>
        <v>1</v>
      </c>
      <c r="N518" t="str" cm="1">
        <f t="array" ref="N5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19" spans="1:14" x14ac:dyDescent="0.2">
      <c r="A519" t="s">
        <v>820</v>
      </c>
      <c r="B519" t="s">
        <v>821</v>
      </c>
      <c r="C519" t="s">
        <v>18</v>
      </c>
      <c r="D519" s="1">
        <v>45418</v>
      </c>
      <c r="E519">
        <v>315.60000000000002</v>
      </c>
      <c r="F519" t="s">
        <v>12</v>
      </c>
      <c r="G519" t="s">
        <v>13</v>
      </c>
      <c r="H519" t="s">
        <v>164</v>
      </c>
      <c r="I519" t="s">
        <v>56</v>
      </c>
      <c r="J519" t="str">
        <f>"FY" &amp; IF(MONTH(GiftData[[#This Row],[Gift_Date]])&gt;=7, RIGHT(YEAR(GiftData[[#This Row],[Gift_Date]])+1, 2), RIGHT(YEAR(GiftData[[#This Row],[Gift_Date]]), 2))</f>
        <v>FY24</v>
      </c>
      <c r="K519">
        <f>IF(COUNTIFS(GiftData[Constituent_ID], GiftData[[#This Row],[Constituent_ID]], GiftData[Fiscal_Year], "FY24")&gt;0, 1, 0)</f>
        <v>1</v>
      </c>
      <c r="L519">
        <f>IF(COUNTIFS(GiftData[Constituent_ID], GiftData[[#This Row],[Constituent_ID]], GiftData[Fiscal_Year], "FY25")&gt;0, 1, 0)</f>
        <v>0</v>
      </c>
      <c r="M519">
        <f>IF(COUNTIFS(GiftData[Constituent_ID], GiftData[[#This Row],[Constituent_ID]], GiftData[Fiscal_Year], "FY26")&gt;0, 1, 0)</f>
        <v>0</v>
      </c>
      <c r="N519" t="str" cm="1">
        <f t="array" ref="N5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20" spans="1:14" x14ac:dyDescent="0.2">
      <c r="A520" t="s">
        <v>822</v>
      </c>
      <c r="B520" t="s">
        <v>823</v>
      </c>
      <c r="C520" t="s">
        <v>11</v>
      </c>
      <c r="D520" s="1">
        <v>45315</v>
      </c>
      <c r="E520">
        <v>54.51</v>
      </c>
      <c r="F520" t="s">
        <v>12</v>
      </c>
      <c r="G520" t="s">
        <v>13</v>
      </c>
      <c r="H520" t="s">
        <v>14</v>
      </c>
      <c r="I520" t="s">
        <v>15</v>
      </c>
      <c r="J520" t="str">
        <f>"FY" &amp; IF(MONTH(GiftData[[#This Row],[Gift_Date]])&gt;=7, RIGHT(YEAR(GiftData[[#This Row],[Gift_Date]])+1, 2), RIGHT(YEAR(GiftData[[#This Row],[Gift_Date]]), 2))</f>
        <v>FY24</v>
      </c>
      <c r="K520">
        <f>IF(COUNTIFS(GiftData[Constituent_ID], GiftData[[#This Row],[Constituent_ID]], GiftData[Fiscal_Year], "FY24")&gt;0, 1, 0)</f>
        <v>1</v>
      </c>
      <c r="L520">
        <f>IF(COUNTIFS(GiftData[Constituent_ID], GiftData[[#This Row],[Constituent_ID]], GiftData[Fiscal_Year], "FY25")&gt;0, 1, 0)</f>
        <v>0</v>
      </c>
      <c r="M520">
        <f>IF(COUNTIFS(GiftData[Constituent_ID], GiftData[[#This Row],[Constituent_ID]], GiftData[Fiscal_Year], "FY26")&gt;0, 1, 0)</f>
        <v>1</v>
      </c>
      <c r="N520" t="str" cm="1">
        <f t="array" ref="N5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1" spans="1:14" x14ac:dyDescent="0.2">
      <c r="A521" t="s">
        <v>824</v>
      </c>
      <c r="B521" t="s">
        <v>386</v>
      </c>
      <c r="C521" t="s">
        <v>11</v>
      </c>
      <c r="D521" s="1">
        <v>45725</v>
      </c>
      <c r="E521">
        <v>74.510000000000005</v>
      </c>
      <c r="F521" t="s">
        <v>12</v>
      </c>
      <c r="G521" t="s">
        <v>13</v>
      </c>
      <c r="H521" t="s">
        <v>14</v>
      </c>
      <c r="I521" t="s">
        <v>15</v>
      </c>
      <c r="J521" t="str">
        <f>"FY" &amp; IF(MONTH(GiftData[[#This Row],[Gift_Date]])&gt;=7, RIGHT(YEAR(GiftData[[#This Row],[Gift_Date]])+1, 2), RIGHT(YEAR(GiftData[[#This Row],[Gift_Date]]), 2))</f>
        <v>FY25</v>
      </c>
      <c r="K521">
        <f>IF(COUNTIFS(GiftData[Constituent_ID], GiftData[[#This Row],[Constituent_ID]], GiftData[Fiscal_Year], "FY24")&gt;0, 1, 0)</f>
        <v>0</v>
      </c>
      <c r="L521">
        <f>IF(COUNTIFS(GiftData[Constituent_ID], GiftData[[#This Row],[Constituent_ID]], GiftData[Fiscal_Year], "FY25")&gt;0, 1, 0)</f>
        <v>1</v>
      </c>
      <c r="M521">
        <f>IF(COUNTIFS(GiftData[Constituent_ID], GiftData[[#This Row],[Constituent_ID]], GiftData[Fiscal_Year], "FY26")&gt;0, 1, 0)</f>
        <v>1</v>
      </c>
      <c r="N521" t="str" cm="1">
        <f t="array" ref="N5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2" spans="1:14" x14ac:dyDescent="0.2">
      <c r="A522" t="s">
        <v>825</v>
      </c>
      <c r="B522" t="s">
        <v>150</v>
      </c>
      <c r="C522" t="s">
        <v>11</v>
      </c>
      <c r="D522" s="1">
        <v>45553</v>
      </c>
      <c r="E522">
        <v>20.29</v>
      </c>
      <c r="F522" t="s">
        <v>12</v>
      </c>
      <c r="G522" t="s">
        <v>13</v>
      </c>
      <c r="H522" t="s">
        <v>51</v>
      </c>
      <c r="I522" t="s">
        <v>15</v>
      </c>
      <c r="J522" t="str">
        <f>"FY" &amp; IF(MONTH(GiftData[[#This Row],[Gift_Date]])&gt;=7, RIGHT(YEAR(GiftData[[#This Row],[Gift_Date]])+1, 2), RIGHT(YEAR(GiftData[[#This Row],[Gift_Date]]), 2))</f>
        <v>FY25</v>
      </c>
      <c r="K522">
        <f>IF(COUNTIFS(GiftData[Constituent_ID], GiftData[[#This Row],[Constituent_ID]], GiftData[Fiscal_Year], "FY24")&gt;0, 1, 0)</f>
        <v>1</v>
      </c>
      <c r="L522">
        <f>IF(COUNTIFS(GiftData[Constituent_ID], GiftData[[#This Row],[Constituent_ID]], GiftData[Fiscal_Year], "FY25")&gt;0, 1, 0)</f>
        <v>1</v>
      </c>
      <c r="M522">
        <f>IF(COUNTIFS(GiftData[Constituent_ID], GiftData[[#This Row],[Constituent_ID]], GiftData[Fiscal_Year], "FY26")&gt;0, 1, 0)</f>
        <v>0</v>
      </c>
      <c r="N522" t="str" cm="1">
        <f t="array" ref="N5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23" spans="1:14" x14ac:dyDescent="0.2">
      <c r="A523" t="s">
        <v>826</v>
      </c>
      <c r="B523" t="s">
        <v>209</v>
      </c>
      <c r="C523" t="s">
        <v>28</v>
      </c>
      <c r="D523" s="1">
        <v>45777</v>
      </c>
      <c r="E523">
        <v>66.45</v>
      </c>
      <c r="F523" t="s">
        <v>12</v>
      </c>
      <c r="G523" t="s">
        <v>13</v>
      </c>
      <c r="H523" t="s">
        <v>20</v>
      </c>
      <c r="I523" t="s">
        <v>15</v>
      </c>
      <c r="J523" t="str">
        <f>"FY" &amp; IF(MONTH(GiftData[[#This Row],[Gift_Date]])&gt;=7, RIGHT(YEAR(GiftData[[#This Row],[Gift_Date]])+1, 2), RIGHT(YEAR(GiftData[[#This Row],[Gift_Date]]), 2))</f>
        <v>FY25</v>
      </c>
      <c r="K523">
        <f>IF(COUNTIFS(GiftData[Constituent_ID], GiftData[[#This Row],[Constituent_ID]], GiftData[Fiscal_Year], "FY24")&gt;0, 1, 0)</f>
        <v>1</v>
      </c>
      <c r="L523">
        <f>IF(COUNTIFS(GiftData[Constituent_ID], GiftData[[#This Row],[Constituent_ID]], GiftData[Fiscal_Year], "FY25")&gt;0, 1, 0)</f>
        <v>1</v>
      </c>
      <c r="M523">
        <f>IF(COUNTIFS(GiftData[Constituent_ID], GiftData[[#This Row],[Constituent_ID]], GiftData[Fiscal_Year], "FY26")&gt;0, 1, 0)</f>
        <v>1</v>
      </c>
      <c r="N523" t="str" cm="1">
        <f t="array" ref="N5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4" spans="1:14" x14ac:dyDescent="0.2">
      <c r="A524" t="s">
        <v>827</v>
      </c>
      <c r="B524" t="s">
        <v>504</v>
      </c>
      <c r="C524" t="s">
        <v>28</v>
      </c>
      <c r="D524" s="1">
        <v>45740</v>
      </c>
      <c r="E524">
        <v>169.02</v>
      </c>
      <c r="F524" t="s">
        <v>12</v>
      </c>
      <c r="G524" t="s">
        <v>13</v>
      </c>
      <c r="H524" t="s">
        <v>20</v>
      </c>
      <c r="I524" t="s">
        <v>38</v>
      </c>
      <c r="J524" t="str">
        <f>"FY" &amp; IF(MONTH(GiftData[[#This Row],[Gift_Date]])&gt;=7, RIGHT(YEAR(GiftData[[#This Row],[Gift_Date]])+1, 2), RIGHT(YEAR(GiftData[[#This Row],[Gift_Date]]), 2))</f>
        <v>FY25</v>
      </c>
      <c r="K524">
        <f>IF(COUNTIFS(GiftData[Constituent_ID], GiftData[[#This Row],[Constituent_ID]], GiftData[Fiscal_Year], "FY24")&gt;0, 1, 0)</f>
        <v>1</v>
      </c>
      <c r="L524">
        <f>IF(COUNTIFS(GiftData[Constituent_ID], GiftData[[#This Row],[Constituent_ID]], GiftData[Fiscal_Year], "FY25")&gt;0, 1, 0)</f>
        <v>1</v>
      </c>
      <c r="M524">
        <f>IF(COUNTIFS(GiftData[Constituent_ID], GiftData[[#This Row],[Constituent_ID]], GiftData[Fiscal_Year], "FY26")&gt;0, 1, 0)</f>
        <v>0</v>
      </c>
      <c r="N524" t="str" cm="1">
        <f t="array" ref="N5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25" spans="1:14" x14ac:dyDescent="0.2">
      <c r="A525" t="s">
        <v>828</v>
      </c>
      <c r="B525" t="s">
        <v>829</v>
      </c>
      <c r="C525" t="s">
        <v>18</v>
      </c>
      <c r="D525" s="1">
        <v>45162</v>
      </c>
      <c r="E525">
        <v>934.13</v>
      </c>
      <c r="F525" t="s">
        <v>12</v>
      </c>
      <c r="G525" t="s">
        <v>13</v>
      </c>
      <c r="H525" t="s">
        <v>41</v>
      </c>
      <c r="I525" t="s">
        <v>56</v>
      </c>
      <c r="J525" t="str">
        <f>"FY" &amp; IF(MONTH(GiftData[[#This Row],[Gift_Date]])&gt;=7, RIGHT(YEAR(GiftData[[#This Row],[Gift_Date]])+1, 2), RIGHT(YEAR(GiftData[[#This Row],[Gift_Date]]), 2))</f>
        <v>FY24</v>
      </c>
      <c r="K525">
        <f>IF(COUNTIFS(GiftData[Constituent_ID], GiftData[[#This Row],[Constituent_ID]], GiftData[Fiscal_Year], "FY24")&gt;0, 1, 0)</f>
        <v>1</v>
      </c>
      <c r="L525">
        <f>IF(COUNTIFS(GiftData[Constituent_ID], GiftData[[#This Row],[Constituent_ID]], GiftData[Fiscal_Year], "FY25")&gt;0, 1, 0)</f>
        <v>1</v>
      </c>
      <c r="M525">
        <f>IF(COUNTIFS(GiftData[Constituent_ID], GiftData[[#This Row],[Constituent_ID]], GiftData[Fiscal_Year], "FY26")&gt;0, 1, 0)</f>
        <v>0</v>
      </c>
      <c r="N525" t="str" cm="1">
        <f t="array" ref="N5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26" spans="1:14" x14ac:dyDescent="0.2">
      <c r="A526" t="s">
        <v>830</v>
      </c>
      <c r="B526" t="s">
        <v>339</v>
      </c>
      <c r="C526" t="s">
        <v>18</v>
      </c>
      <c r="D526" s="1">
        <v>46019</v>
      </c>
      <c r="E526">
        <v>76.739999999999995</v>
      </c>
      <c r="F526" t="s">
        <v>12</v>
      </c>
      <c r="G526" t="s">
        <v>13</v>
      </c>
      <c r="H526" t="s">
        <v>14</v>
      </c>
      <c r="I526" t="s">
        <v>15</v>
      </c>
      <c r="J526" t="str">
        <f>"FY" &amp; IF(MONTH(GiftData[[#This Row],[Gift_Date]])&gt;=7, RIGHT(YEAR(GiftData[[#This Row],[Gift_Date]])+1, 2), RIGHT(YEAR(GiftData[[#This Row],[Gift_Date]]), 2))</f>
        <v>FY26</v>
      </c>
      <c r="K526">
        <f>IF(COUNTIFS(GiftData[Constituent_ID], GiftData[[#This Row],[Constituent_ID]], GiftData[Fiscal_Year], "FY24")&gt;0, 1, 0)</f>
        <v>1</v>
      </c>
      <c r="L526">
        <f>IF(COUNTIFS(GiftData[Constituent_ID], GiftData[[#This Row],[Constituent_ID]], GiftData[Fiscal_Year], "FY25")&gt;0, 1, 0)</f>
        <v>1</v>
      </c>
      <c r="M526">
        <f>IF(COUNTIFS(GiftData[Constituent_ID], GiftData[[#This Row],[Constituent_ID]], GiftData[Fiscal_Year], "FY26")&gt;0, 1, 0)</f>
        <v>1</v>
      </c>
      <c r="N526" t="str" cm="1">
        <f t="array" ref="N5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7" spans="1:14" x14ac:dyDescent="0.2">
      <c r="A527" t="s">
        <v>831</v>
      </c>
      <c r="B527" t="s">
        <v>126</v>
      </c>
      <c r="C527" t="s">
        <v>35</v>
      </c>
      <c r="D527" s="1">
        <v>46143</v>
      </c>
      <c r="E527">
        <v>31.51</v>
      </c>
      <c r="F527" t="s">
        <v>12</v>
      </c>
      <c r="G527" t="s">
        <v>13</v>
      </c>
      <c r="H527" t="s">
        <v>51</v>
      </c>
      <c r="I527" t="s">
        <v>15</v>
      </c>
      <c r="J527" t="str">
        <f>"FY" &amp; IF(MONTH(GiftData[[#This Row],[Gift_Date]])&gt;=7, RIGHT(YEAR(GiftData[[#This Row],[Gift_Date]])+1, 2), RIGHT(YEAR(GiftData[[#This Row],[Gift_Date]]), 2))</f>
        <v>FY26</v>
      </c>
      <c r="K527">
        <f>IF(COUNTIFS(GiftData[Constituent_ID], GiftData[[#This Row],[Constituent_ID]], GiftData[Fiscal_Year], "FY24")&gt;0, 1, 0)</f>
        <v>1</v>
      </c>
      <c r="L527">
        <f>IF(COUNTIFS(GiftData[Constituent_ID], GiftData[[#This Row],[Constituent_ID]], GiftData[Fiscal_Year], "FY25")&gt;0, 1, 0)</f>
        <v>1</v>
      </c>
      <c r="M527">
        <f>IF(COUNTIFS(GiftData[Constituent_ID], GiftData[[#This Row],[Constituent_ID]], GiftData[Fiscal_Year], "FY26")&gt;0, 1, 0)</f>
        <v>1</v>
      </c>
      <c r="N527" t="str" cm="1">
        <f t="array" ref="N5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8" spans="1:14" x14ac:dyDescent="0.2">
      <c r="A528" t="s">
        <v>832</v>
      </c>
      <c r="B528" t="s">
        <v>27</v>
      </c>
      <c r="C528" t="s">
        <v>28</v>
      </c>
      <c r="D528" s="1">
        <v>45764</v>
      </c>
      <c r="E528">
        <v>851.14</v>
      </c>
      <c r="F528" t="s">
        <v>25</v>
      </c>
      <c r="G528" t="s">
        <v>13</v>
      </c>
      <c r="H528" t="s">
        <v>164</v>
      </c>
      <c r="I528" t="s">
        <v>56</v>
      </c>
      <c r="J528" t="str">
        <f>"FY" &amp; IF(MONTH(GiftData[[#This Row],[Gift_Date]])&gt;=7, RIGHT(YEAR(GiftData[[#This Row],[Gift_Date]])+1, 2), RIGHT(YEAR(GiftData[[#This Row],[Gift_Date]]), 2))</f>
        <v>FY25</v>
      </c>
      <c r="K528">
        <f>IF(COUNTIFS(GiftData[Constituent_ID], GiftData[[#This Row],[Constituent_ID]], GiftData[Fiscal_Year], "FY24")&gt;0, 1, 0)</f>
        <v>1</v>
      </c>
      <c r="L528">
        <f>IF(COUNTIFS(GiftData[Constituent_ID], GiftData[[#This Row],[Constituent_ID]], GiftData[Fiscal_Year], "FY25")&gt;0, 1, 0)</f>
        <v>1</v>
      </c>
      <c r="M528">
        <f>IF(COUNTIFS(GiftData[Constituent_ID], GiftData[[#This Row],[Constituent_ID]], GiftData[Fiscal_Year], "FY26")&gt;0, 1, 0)</f>
        <v>1</v>
      </c>
      <c r="N528" t="str" cm="1">
        <f t="array" ref="N5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29" spans="1:14" x14ac:dyDescent="0.2">
      <c r="A529" t="s">
        <v>833</v>
      </c>
      <c r="B529" t="s">
        <v>593</v>
      </c>
      <c r="C529" t="s">
        <v>35</v>
      </c>
      <c r="D529" s="1">
        <v>46087</v>
      </c>
      <c r="E529">
        <v>63.06</v>
      </c>
      <c r="F529" t="s">
        <v>12</v>
      </c>
      <c r="G529" t="s">
        <v>13</v>
      </c>
      <c r="H529" t="s">
        <v>14</v>
      </c>
      <c r="I529" t="s">
        <v>56</v>
      </c>
      <c r="J529" t="str">
        <f>"FY" &amp; IF(MONTH(GiftData[[#This Row],[Gift_Date]])&gt;=7, RIGHT(YEAR(GiftData[[#This Row],[Gift_Date]])+1, 2), RIGHT(YEAR(GiftData[[#This Row],[Gift_Date]]), 2))</f>
        <v>FY26</v>
      </c>
      <c r="K529">
        <f>IF(COUNTIFS(GiftData[Constituent_ID], GiftData[[#This Row],[Constituent_ID]], GiftData[Fiscal_Year], "FY24")&gt;0, 1, 0)</f>
        <v>1</v>
      </c>
      <c r="L529">
        <f>IF(COUNTIFS(GiftData[Constituent_ID], GiftData[[#This Row],[Constituent_ID]], GiftData[Fiscal_Year], "FY25")&gt;0, 1, 0)</f>
        <v>1</v>
      </c>
      <c r="M529">
        <f>IF(COUNTIFS(GiftData[Constituent_ID], GiftData[[#This Row],[Constituent_ID]], GiftData[Fiscal_Year], "FY26")&gt;0, 1, 0)</f>
        <v>1</v>
      </c>
      <c r="N529" t="str" cm="1">
        <f t="array" ref="N5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0" spans="1:14" x14ac:dyDescent="0.2">
      <c r="A530" t="s">
        <v>834</v>
      </c>
      <c r="B530" t="s">
        <v>365</v>
      </c>
      <c r="C530" t="s">
        <v>11</v>
      </c>
      <c r="D530" s="1">
        <v>45622</v>
      </c>
      <c r="E530">
        <v>15</v>
      </c>
      <c r="F530" t="s">
        <v>12</v>
      </c>
      <c r="G530" t="s">
        <v>13</v>
      </c>
      <c r="H530" t="s">
        <v>14</v>
      </c>
      <c r="I530" t="s">
        <v>15</v>
      </c>
      <c r="J530" t="str">
        <f>"FY" &amp; IF(MONTH(GiftData[[#This Row],[Gift_Date]])&gt;=7, RIGHT(YEAR(GiftData[[#This Row],[Gift_Date]])+1, 2), RIGHT(YEAR(GiftData[[#This Row],[Gift_Date]]), 2))</f>
        <v>FY25</v>
      </c>
      <c r="K530">
        <f>IF(COUNTIFS(GiftData[Constituent_ID], GiftData[[#This Row],[Constituent_ID]], GiftData[Fiscal_Year], "FY24")&gt;0, 1, 0)</f>
        <v>1</v>
      </c>
      <c r="L530">
        <f>IF(COUNTIFS(GiftData[Constituent_ID], GiftData[[#This Row],[Constituent_ID]], GiftData[Fiscal_Year], "FY25")&gt;0, 1, 0)</f>
        <v>1</v>
      </c>
      <c r="M530">
        <f>IF(COUNTIFS(GiftData[Constituent_ID], GiftData[[#This Row],[Constituent_ID]], GiftData[Fiscal_Year], "FY26")&gt;0, 1, 0)</f>
        <v>1</v>
      </c>
      <c r="N530" t="str" cm="1">
        <f t="array" ref="N5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1" spans="1:14" x14ac:dyDescent="0.2">
      <c r="A531" t="s">
        <v>835</v>
      </c>
      <c r="B531" t="s">
        <v>550</v>
      </c>
      <c r="C531" t="s">
        <v>28</v>
      </c>
      <c r="D531" s="1">
        <v>45344</v>
      </c>
      <c r="E531">
        <v>144.46</v>
      </c>
      <c r="F531" t="s">
        <v>25</v>
      </c>
      <c r="G531" t="s">
        <v>13</v>
      </c>
      <c r="H531" t="s">
        <v>14</v>
      </c>
      <c r="I531" t="s">
        <v>38</v>
      </c>
      <c r="J531" t="str">
        <f>"FY" &amp; IF(MONTH(GiftData[[#This Row],[Gift_Date]])&gt;=7, RIGHT(YEAR(GiftData[[#This Row],[Gift_Date]])+1, 2), RIGHT(YEAR(GiftData[[#This Row],[Gift_Date]]), 2))</f>
        <v>FY24</v>
      </c>
      <c r="K531">
        <f>IF(COUNTIFS(GiftData[Constituent_ID], GiftData[[#This Row],[Constituent_ID]], GiftData[Fiscal_Year], "FY24")&gt;0, 1, 0)</f>
        <v>1</v>
      </c>
      <c r="L531">
        <f>IF(COUNTIFS(GiftData[Constituent_ID], GiftData[[#This Row],[Constituent_ID]], GiftData[Fiscal_Year], "FY25")&gt;0, 1, 0)</f>
        <v>1</v>
      </c>
      <c r="M531">
        <f>IF(COUNTIFS(GiftData[Constituent_ID], GiftData[[#This Row],[Constituent_ID]], GiftData[Fiscal_Year], "FY26")&gt;0, 1, 0)</f>
        <v>1</v>
      </c>
      <c r="N531" t="str" cm="1">
        <f t="array" ref="N5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2" spans="1:14" x14ac:dyDescent="0.2">
      <c r="A532" t="s">
        <v>836</v>
      </c>
      <c r="B532" t="s">
        <v>163</v>
      </c>
      <c r="C532" t="s">
        <v>11</v>
      </c>
      <c r="D532" s="1">
        <v>45455</v>
      </c>
      <c r="E532">
        <v>79.66</v>
      </c>
      <c r="F532" t="s">
        <v>12</v>
      </c>
      <c r="G532" t="s">
        <v>13</v>
      </c>
      <c r="H532" t="s">
        <v>20</v>
      </c>
      <c r="I532" t="s">
        <v>15</v>
      </c>
      <c r="J532" t="str">
        <f>"FY" &amp; IF(MONTH(GiftData[[#This Row],[Gift_Date]])&gt;=7, RIGHT(YEAR(GiftData[[#This Row],[Gift_Date]])+1, 2), RIGHT(YEAR(GiftData[[#This Row],[Gift_Date]]), 2))</f>
        <v>FY24</v>
      </c>
      <c r="K532">
        <f>IF(COUNTIFS(GiftData[Constituent_ID], GiftData[[#This Row],[Constituent_ID]], GiftData[Fiscal_Year], "FY24")&gt;0, 1, 0)</f>
        <v>1</v>
      </c>
      <c r="L532">
        <f>IF(COUNTIFS(GiftData[Constituent_ID], GiftData[[#This Row],[Constituent_ID]], GiftData[Fiscal_Year], "FY25")&gt;0, 1, 0)</f>
        <v>1</v>
      </c>
      <c r="M532">
        <f>IF(COUNTIFS(GiftData[Constituent_ID], GiftData[[#This Row],[Constituent_ID]], GiftData[Fiscal_Year], "FY26")&gt;0, 1, 0)</f>
        <v>1</v>
      </c>
      <c r="N532" t="str" cm="1">
        <f t="array" ref="N5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3" spans="1:14" x14ac:dyDescent="0.2">
      <c r="A533" t="s">
        <v>837</v>
      </c>
      <c r="B533" t="s">
        <v>838</v>
      </c>
      <c r="C533" t="s">
        <v>11</v>
      </c>
      <c r="D533" s="1">
        <v>45734</v>
      </c>
      <c r="E533">
        <v>2417.56</v>
      </c>
      <c r="F533" t="s">
        <v>12</v>
      </c>
      <c r="G533" t="s">
        <v>13</v>
      </c>
      <c r="H533" t="s">
        <v>41</v>
      </c>
      <c r="I533" t="s">
        <v>15</v>
      </c>
      <c r="J533" t="str">
        <f>"FY" &amp; IF(MONTH(GiftData[[#This Row],[Gift_Date]])&gt;=7, RIGHT(YEAR(GiftData[[#This Row],[Gift_Date]])+1, 2), RIGHT(YEAR(GiftData[[#This Row],[Gift_Date]]), 2))</f>
        <v>FY25</v>
      </c>
      <c r="K533">
        <f>IF(COUNTIFS(GiftData[Constituent_ID], GiftData[[#This Row],[Constituent_ID]], GiftData[Fiscal_Year], "FY24")&gt;0, 1, 0)</f>
        <v>1</v>
      </c>
      <c r="L533">
        <f>IF(COUNTIFS(GiftData[Constituent_ID], GiftData[[#This Row],[Constituent_ID]], GiftData[Fiscal_Year], "FY25")&gt;0, 1, 0)</f>
        <v>1</v>
      </c>
      <c r="M533">
        <f>IF(COUNTIFS(GiftData[Constituent_ID], GiftData[[#This Row],[Constituent_ID]], GiftData[Fiscal_Year], "FY26")&gt;0, 1, 0)</f>
        <v>0</v>
      </c>
      <c r="N533" t="str" cm="1">
        <f t="array" ref="N5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34" spans="1:14" x14ac:dyDescent="0.2">
      <c r="A534" t="s">
        <v>839</v>
      </c>
      <c r="B534" t="s">
        <v>182</v>
      </c>
      <c r="C534" t="s">
        <v>11</v>
      </c>
      <c r="D534" s="1">
        <v>45737</v>
      </c>
      <c r="E534">
        <v>225.42</v>
      </c>
      <c r="F534" t="s">
        <v>12</v>
      </c>
      <c r="G534" t="s">
        <v>13</v>
      </c>
      <c r="H534" t="s">
        <v>41</v>
      </c>
      <c r="I534" t="s">
        <v>15</v>
      </c>
      <c r="J534" t="str">
        <f>"FY" &amp; IF(MONTH(GiftData[[#This Row],[Gift_Date]])&gt;=7, RIGHT(YEAR(GiftData[[#This Row],[Gift_Date]])+1, 2), RIGHT(YEAR(GiftData[[#This Row],[Gift_Date]]), 2))</f>
        <v>FY25</v>
      </c>
      <c r="K534">
        <f>IF(COUNTIFS(GiftData[Constituent_ID], GiftData[[#This Row],[Constituent_ID]], GiftData[Fiscal_Year], "FY24")&gt;0, 1, 0)</f>
        <v>1</v>
      </c>
      <c r="L534">
        <f>IF(COUNTIFS(GiftData[Constituent_ID], GiftData[[#This Row],[Constituent_ID]], GiftData[Fiscal_Year], "FY25")&gt;0, 1, 0)</f>
        <v>1</v>
      </c>
      <c r="M534">
        <f>IF(COUNTIFS(GiftData[Constituent_ID], GiftData[[#This Row],[Constituent_ID]], GiftData[Fiscal_Year], "FY26")&gt;0, 1, 0)</f>
        <v>0</v>
      </c>
      <c r="N534" t="str" cm="1">
        <f t="array" ref="N5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35" spans="1:14" x14ac:dyDescent="0.2">
      <c r="A535" t="s">
        <v>840</v>
      </c>
      <c r="B535" t="s">
        <v>287</v>
      </c>
      <c r="C535" t="s">
        <v>11</v>
      </c>
      <c r="D535" s="1">
        <v>45471</v>
      </c>
      <c r="E535">
        <v>100.46</v>
      </c>
      <c r="F535" t="s">
        <v>12</v>
      </c>
      <c r="G535" t="s">
        <v>13</v>
      </c>
      <c r="H535" t="s">
        <v>14</v>
      </c>
      <c r="I535" t="s">
        <v>15</v>
      </c>
      <c r="J535" t="str">
        <f>"FY" &amp; IF(MONTH(GiftData[[#This Row],[Gift_Date]])&gt;=7, RIGHT(YEAR(GiftData[[#This Row],[Gift_Date]])+1, 2), RIGHT(YEAR(GiftData[[#This Row],[Gift_Date]]), 2))</f>
        <v>FY24</v>
      </c>
      <c r="K535">
        <f>IF(COUNTIFS(GiftData[Constituent_ID], GiftData[[#This Row],[Constituent_ID]], GiftData[Fiscal_Year], "FY24")&gt;0, 1, 0)</f>
        <v>1</v>
      </c>
      <c r="L535">
        <f>IF(COUNTIFS(GiftData[Constituent_ID], GiftData[[#This Row],[Constituent_ID]], GiftData[Fiscal_Year], "FY25")&gt;0, 1, 0)</f>
        <v>1</v>
      </c>
      <c r="M535">
        <f>IF(COUNTIFS(GiftData[Constituent_ID], GiftData[[#This Row],[Constituent_ID]], GiftData[Fiscal_Year], "FY26")&gt;0, 1, 0)</f>
        <v>1</v>
      </c>
      <c r="N535" t="str" cm="1">
        <f t="array" ref="N5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6" spans="1:14" x14ac:dyDescent="0.2">
      <c r="A536" t="s">
        <v>841</v>
      </c>
      <c r="B536" t="s">
        <v>593</v>
      </c>
      <c r="C536" t="s">
        <v>18</v>
      </c>
      <c r="D536" s="1">
        <v>45428</v>
      </c>
      <c r="E536">
        <v>36.53</v>
      </c>
      <c r="F536" t="s">
        <v>59</v>
      </c>
      <c r="G536" t="s">
        <v>29</v>
      </c>
      <c r="H536" t="s">
        <v>20</v>
      </c>
      <c r="I536" t="s">
        <v>15</v>
      </c>
      <c r="J536" t="str">
        <f>"FY" &amp; IF(MONTH(GiftData[[#This Row],[Gift_Date]])&gt;=7, RIGHT(YEAR(GiftData[[#This Row],[Gift_Date]])+1, 2), RIGHT(YEAR(GiftData[[#This Row],[Gift_Date]]), 2))</f>
        <v>FY24</v>
      </c>
      <c r="K536">
        <f>IF(COUNTIFS(GiftData[Constituent_ID], GiftData[[#This Row],[Constituent_ID]], GiftData[Fiscal_Year], "FY24")&gt;0, 1, 0)</f>
        <v>1</v>
      </c>
      <c r="L536">
        <f>IF(COUNTIFS(GiftData[Constituent_ID], GiftData[[#This Row],[Constituent_ID]], GiftData[Fiscal_Year], "FY25")&gt;0, 1, 0)</f>
        <v>1</v>
      </c>
      <c r="M536">
        <f>IF(COUNTIFS(GiftData[Constituent_ID], GiftData[[#This Row],[Constituent_ID]], GiftData[Fiscal_Year], "FY26")&gt;0, 1, 0)</f>
        <v>1</v>
      </c>
      <c r="N536" t="str" cm="1">
        <f t="array" ref="N5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37" spans="1:14" x14ac:dyDescent="0.2">
      <c r="A537" t="s">
        <v>842</v>
      </c>
      <c r="B537" t="s">
        <v>383</v>
      </c>
      <c r="C537" t="s">
        <v>11</v>
      </c>
      <c r="D537" s="1">
        <v>45393</v>
      </c>
      <c r="E537">
        <v>186.65</v>
      </c>
      <c r="F537" t="s">
        <v>12</v>
      </c>
      <c r="G537" t="s">
        <v>13</v>
      </c>
      <c r="H537" t="s">
        <v>20</v>
      </c>
      <c r="I537" t="s">
        <v>56</v>
      </c>
      <c r="J537" t="str">
        <f>"FY" &amp; IF(MONTH(GiftData[[#This Row],[Gift_Date]])&gt;=7, RIGHT(YEAR(GiftData[[#This Row],[Gift_Date]])+1, 2), RIGHT(YEAR(GiftData[[#This Row],[Gift_Date]]), 2))</f>
        <v>FY24</v>
      </c>
      <c r="K537">
        <f>IF(COUNTIFS(GiftData[Constituent_ID], GiftData[[#This Row],[Constituent_ID]], GiftData[Fiscal_Year], "FY24")&gt;0, 1, 0)</f>
        <v>1</v>
      </c>
      <c r="L537">
        <f>IF(COUNTIFS(GiftData[Constituent_ID], GiftData[[#This Row],[Constituent_ID]], GiftData[Fiscal_Year], "FY25")&gt;0, 1, 0)</f>
        <v>1</v>
      </c>
      <c r="M537">
        <f>IF(COUNTIFS(GiftData[Constituent_ID], GiftData[[#This Row],[Constituent_ID]], GiftData[Fiscal_Year], "FY26")&gt;0, 1, 0)</f>
        <v>0</v>
      </c>
      <c r="N537" t="str" cm="1">
        <f t="array" ref="N5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38" spans="1:14" x14ac:dyDescent="0.2">
      <c r="A538" t="s">
        <v>843</v>
      </c>
      <c r="B538" t="s">
        <v>844</v>
      </c>
      <c r="C538" t="s">
        <v>35</v>
      </c>
      <c r="D538" s="1">
        <v>45256</v>
      </c>
      <c r="E538">
        <v>807.32</v>
      </c>
      <c r="F538" t="s">
        <v>25</v>
      </c>
      <c r="G538" t="s">
        <v>13</v>
      </c>
      <c r="H538" t="s">
        <v>20</v>
      </c>
      <c r="I538" t="s">
        <v>38</v>
      </c>
      <c r="J538" t="str">
        <f>"FY" &amp; IF(MONTH(GiftData[[#This Row],[Gift_Date]])&gt;=7, RIGHT(YEAR(GiftData[[#This Row],[Gift_Date]])+1, 2), RIGHT(YEAR(GiftData[[#This Row],[Gift_Date]]), 2))</f>
        <v>FY24</v>
      </c>
      <c r="K538">
        <f>IF(COUNTIFS(GiftData[Constituent_ID], GiftData[[#This Row],[Constituent_ID]], GiftData[Fiscal_Year], "FY24")&gt;0, 1, 0)</f>
        <v>1</v>
      </c>
      <c r="L538">
        <f>IF(COUNTIFS(GiftData[Constituent_ID], GiftData[[#This Row],[Constituent_ID]], GiftData[Fiscal_Year], "FY25")&gt;0, 1, 0)</f>
        <v>0</v>
      </c>
      <c r="M538">
        <f>IF(COUNTIFS(GiftData[Constituent_ID], GiftData[[#This Row],[Constituent_ID]], GiftData[Fiscal_Year], "FY26")&gt;0, 1, 0)</f>
        <v>0</v>
      </c>
      <c r="N538" t="str" cm="1">
        <f t="array" ref="N5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39" spans="1:14" x14ac:dyDescent="0.2">
      <c r="A539" t="s">
        <v>845</v>
      </c>
      <c r="B539" t="s">
        <v>705</v>
      </c>
      <c r="C539" t="s">
        <v>48</v>
      </c>
      <c r="D539" s="1">
        <v>45513</v>
      </c>
      <c r="E539">
        <v>182.25</v>
      </c>
      <c r="F539" t="s">
        <v>12</v>
      </c>
      <c r="G539" t="s">
        <v>13</v>
      </c>
      <c r="H539" t="s">
        <v>51</v>
      </c>
      <c r="I539" t="s">
        <v>15</v>
      </c>
      <c r="J539" t="str">
        <f>"FY" &amp; IF(MONTH(GiftData[[#This Row],[Gift_Date]])&gt;=7, RIGHT(YEAR(GiftData[[#This Row],[Gift_Date]])+1, 2), RIGHT(YEAR(GiftData[[#This Row],[Gift_Date]]), 2))</f>
        <v>FY25</v>
      </c>
      <c r="K539">
        <f>IF(COUNTIFS(GiftData[Constituent_ID], GiftData[[#This Row],[Constituent_ID]], GiftData[Fiscal_Year], "FY24")&gt;0, 1, 0)</f>
        <v>0</v>
      </c>
      <c r="L539">
        <f>IF(COUNTIFS(GiftData[Constituent_ID], GiftData[[#This Row],[Constituent_ID]], GiftData[Fiscal_Year], "FY25")&gt;0, 1, 0)</f>
        <v>1</v>
      </c>
      <c r="M539">
        <f>IF(COUNTIFS(GiftData[Constituent_ID], GiftData[[#This Row],[Constituent_ID]], GiftData[Fiscal_Year], "FY26")&gt;0, 1, 0)</f>
        <v>1</v>
      </c>
      <c r="N539" t="str" cm="1">
        <f t="array" ref="N5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0" spans="1:14" x14ac:dyDescent="0.2">
      <c r="A540" t="s">
        <v>846</v>
      </c>
      <c r="B540" t="s">
        <v>335</v>
      </c>
      <c r="C540" t="s">
        <v>11</v>
      </c>
      <c r="D540" s="1">
        <v>46085</v>
      </c>
      <c r="E540">
        <v>40.380000000000003</v>
      </c>
      <c r="F540" t="s">
        <v>12</v>
      </c>
      <c r="G540" t="s">
        <v>13</v>
      </c>
      <c r="H540" t="s">
        <v>20</v>
      </c>
      <c r="I540" t="s">
        <v>15</v>
      </c>
      <c r="J540" t="str">
        <f>"FY" &amp; IF(MONTH(GiftData[[#This Row],[Gift_Date]])&gt;=7, RIGHT(YEAR(GiftData[[#This Row],[Gift_Date]])+1, 2), RIGHT(YEAR(GiftData[[#This Row],[Gift_Date]]), 2))</f>
        <v>FY26</v>
      </c>
      <c r="K540">
        <f>IF(COUNTIFS(GiftData[Constituent_ID], GiftData[[#This Row],[Constituent_ID]], GiftData[Fiscal_Year], "FY24")&gt;0, 1, 0)</f>
        <v>1</v>
      </c>
      <c r="L540">
        <f>IF(COUNTIFS(GiftData[Constituent_ID], GiftData[[#This Row],[Constituent_ID]], GiftData[Fiscal_Year], "FY25")&gt;0, 1, 0)</f>
        <v>1</v>
      </c>
      <c r="M540">
        <f>IF(COUNTIFS(GiftData[Constituent_ID], GiftData[[#This Row],[Constituent_ID]], GiftData[Fiscal_Year], "FY26")&gt;0, 1, 0)</f>
        <v>1</v>
      </c>
      <c r="N540" t="str" cm="1">
        <f t="array" ref="N5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1" spans="1:14" x14ac:dyDescent="0.2">
      <c r="A541" t="s">
        <v>847</v>
      </c>
      <c r="B541" t="s">
        <v>761</v>
      </c>
      <c r="C541" t="s">
        <v>11</v>
      </c>
      <c r="D541" s="1">
        <v>45563</v>
      </c>
      <c r="E541">
        <v>244.8</v>
      </c>
      <c r="F541" t="s">
        <v>12</v>
      </c>
      <c r="G541" t="s">
        <v>13</v>
      </c>
      <c r="H541" t="s">
        <v>51</v>
      </c>
      <c r="I541" t="s">
        <v>15</v>
      </c>
      <c r="J541" t="str">
        <f>"FY" &amp; IF(MONTH(GiftData[[#This Row],[Gift_Date]])&gt;=7, RIGHT(YEAR(GiftData[[#This Row],[Gift_Date]])+1, 2), RIGHT(YEAR(GiftData[[#This Row],[Gift_Date]]), 2))</f>
        <v>FY25</v>
      </c>
      <c r="K541">
        <f>IF(COUNTIFS(GiftData[Constituent_ID], GiftData[[#This Row],[Constituent_ID]], GiftData[Fiscal_Year], "FY24")&gt;0, 1, 0)</f>
        <v>0</v>
      </c>
      <c r="L541">
        <f>IF(COUNTIFS(GiftData[Constituent_ID], GiftData[[#This Row],[Constituent_ID]], GiftData[Fiscal_Year], "FY25")&gt;0, 1, 0)</f>
        <v>1</v>
      </c>
      <c r="M541">
        <f>IF(COUNTIFS(GiftData[Constituent_ID], GiftData[[#This Row],[Constituent_ID]], GiftData[Fiscal_Year], "FY26")&gt;0, 1, 0)</f>
        <v>1</v>
      </c>
      <c r="N541" t="str" cm="1">
        <f t="array" ref="N5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2" spans="1:14" x14ac:dyDescent="0.2">
      <c r="A542" t="s">
        <v>848</v>
      </c>
      <c r="B542" t="s">
        <v>251</v>
      </c>
      <c r="C542" t="s">
        <v>18</v>
      </c>
      <c r="D542" s="1">
        <v>45907</v>
      </c>
      <c r="E542">
        <v>114.07</v>
      </c>
      <c r="F542" t="s">
        <v>12</v>
      </c>
      <c r="G542" t="s">
        <v>13</v>
      </c>
      <c r="H542" t="s">
        <v>41</v>
      </c>
      <c r="I542" t="s">
        <v>38</v>
      </c>
      <c r="J542" t="str">
        <f>"FY" &amp; IF(MONTH(GiftData[[#This Row],[Gift_Date]])&gt;=7, RIGHT(YEAR(GiftData[[#This Row],[Gift_Date]])+1, 2), RIGHT(YEAR(GiftData[[#This Row],[Gift_Date]]), 2))</f>
        <v>FY26</v>
      </c>
      <c r="K542">
        <f>IF(COUNTIFS(GiftData[Constituent_ID], GiftData[[#This Row],[Constituent_ID]], GiftData[Fiscal_Year], "FY24")&gt;0, 1, 0)</f>
        <v>1</v>
      </c>
      <c r="L542">
        <f>IF(COUNTIFS(GiftData[Constituent_ID], GiftData[[#This Row],[Constituent_ID]], GiftData[Fiscal_Year], "FY25")&gt;0, 1, 0)</f>
        <v>1</v>
      </c>
      <c r="M542">
        <f>IF(COUNTIFS(GiftData[Constituent_ID], GiftData[[#This Row],[Constituent_ID]], GiftData[Fiscal_Year], "FY26")&gt;0, 1, 0)</f>
        <v>1</v>
      </c>
      <c r="N542" t="str" cm="1">
        <f t="array" ref="N5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3" spans="1:14" x14ac:dyDescent="0.2">
      <c r="A543" t="s">
        <v>849</v>
      </c>
      <c r="B543" t="s">
        <v>670</v>
      </c>
      <c r="C543" t="s">
        <v>28</v>
      </c>
      <c r="D543" s="1">
        <v>46120</v>
      </c>
      <c r="E543">
        <v>217.72</v>
      </c>
      <c r="F543" t="s">
        <v>12</v>
      </c>
      <c r="G543" t="s">
        <v>13</v>
      </c>
      <c r="H543" t="s">
        <v>41</v>
      </c>
      <c r="I543" t="s">
        <v>56</v>
      </c>
      <c r="J543" t="str">
        <f>"FY" &amp; IF(MONTH(GiftData[[#This Row],[Gift_Date]])&gt;=7, RIGHT(YEAR(GiftData[[#This Row],[Gift_Date]])+1, 2), RIGHT(YEAR(GiftData[[#This Row],[Gift_Date]]), 2))</f>
        <v>FY26</v>
      </c>
      <c r="K543">
        <f>IF(COUNTIFS(GiftData[Constituent_ID], GiftData[[#This Row],[Constituent_ID]], GiftData[Fiscal_Year], "FY24")&gt;0, 1, 0)</f>
        <v>1</v>
      </c>
      <c r="L543">
        <f>IF(COUNTIFS(GiftData[Constituent_ID], GiftData[[#This Row],[Constituent_ID]], GiftData[Fiscal_Year], "FY25")&gt;0, 1, 0)</f>
        <v>0</v>
      </c>
      <c r="M543">
        <f>IF(COUNTIFS(GiftData[Constituent_ID], GiftData[[#This Row],[Constituent_ID]], GiftData[Fiscal_Year], "FY26")&gt;0, 1, 0)</f>
        <v>1</v>
      </c>
      <c r="N543" t="str" cm="1">
        <f t="array" ref="N5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4" spans="1:14" x14ac:dyDescent="0.2">
      <c r="A544" t="s">
        <v>850</v>
      </c>
      <c r="B544" t="s">
        <v>550</v>
      </c>
      <c r="C544" t="s">
        <v>11</v>
      </c>
      <c r="D544" s="1">
        <v>45891</v>
      </c>
      <c r="E544">
        <v>76.61</v>
      </c>
      <c r="F544" t="s">
        <v>12</v>
      </c>
      <c r="G544" t="s">
        <v>13</v>
      </c>
      <c r="H544" t="s">
        <v>14</v>
      </c>
      <c r="I544" t="s">
        <v>15</v>
      </c>
      <c r="J544" t="str">
        <f>"FY" &amp; IF(MONTH(GiftData[[#This Row],[Gift_Date]])&gt;=7, RIGHT(YEAR(GiftData[[#This Row],[Gift_Date]])+1, 2), RIGHT(YEAR(GiftData[[#This Row],[Gift_Date]]), 2))</f>
        <v>FY26</v>
      </c>
      <c r="K544">
        <f>IF(COUNTIFS(GiftData[Constituent_ID], GiftData[[#This Row],[Constituent_ID]], GiftData[Fiscal_Year], "FY24")&gt;0, 1, 0)</f>
        <v>1</v>
      </c>
      <c r="L544">
        <f>IF(COUNTIFS(GiftData[Constituent_ID], GiftData[[#This Row],[Constituent_ID]], GiftData[Fiscal_Year], "FY25")&gt;0, 1, 0)</f>
        <v>1</v>
      </c>
      <c r="M544">
        <f>IF(COUNTIFS(GiftData[Constituent_ID], GiftData[[#This Row],[Constituent_ID]], GiftData[Fiscal_Year], "FY26")&gt;0, 1, 0)</f>
        <v>1</v>
      </c>
      <c r="N544" t="str" cm="1">
        <f t="array" ref="N5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5" spans="1:14" x14ac:dyDescent="0.2">
      <c r="A545" t="s">
        <v>851</v>
      </c>
      <c r="B545" t="s">
        <v>852</v>
      </c>
      <c r="C545" t="s">
        <v>48</v>
      </c>
      <c r="D545" s="1">
        <v>45567</v>
      </c>
      <c r="E545">
        <v>74.31</v>
      </c>
      <c r="F545" t="s">
        <v>12</v>
      </c>
      <c r="G545" t="s">
        <v>13</v>
      </c>
      <c r="H545" t="s">
        <v>41</v>
      </c>
      <c r="I545" t="s">
        <v>15</v>
      </c>
      <c r="J545" t="str">
        <f>"FY" &amp; IF(MONTH(GiftData[[#This Row],[Gift_Date]])&gt;=7, RIGHT(YEAR(GiftData[[#This Row],[Gift_Date]])+1, 2), RIGHT(YEAR(GiftData[[#This Row],[Gift_Date]]), 2))</f>
        <v>FY25</v>
      </c>
      <c r="K545">
        <f>IF(COUNTIFS(GiftData[Constituent_ID], GiftData[[#This Row],[Constituent_ID]], GiftData[Fiscal_Year], "FY24")&gt;0, 1, 0)</f>
        <v>1</v>
      </c>
      <c r="L545">
        <f>IF(COUNTIFS(GiftData[Constituent_ID], GiftData[[#This Row],[Constituent_ID]], GiftData[Fiscal_Year], "FY25")&gt;0, 1, 0)</f>
        <v>1</v>
      </c>
      <c r="M545">
        <f>IF(COUNTIFS(GiftData[Constituent_ID], GiftData[[#This Row],[Constituent_ID]], GiftData[Fiscal_Year], "FY26")&gt;0, 1, 0)</f>
        <v>1</v>
      </c>
      <c r="N545" t="str" cm="1">
        <f t="array" ref="N5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6" spans="1:14" x14ac:dyDescent="0.2">
      <c r="A546" t="s">
        <v>853</v>
      </c>
      <c r="B546" t="s">
        <v>318</v>
      </c>
      <c r="C546" t="s">
        <v>11</v>
      </c>
      <c r="D546" s="1">
        <v>45845</v>
      </c>
      <c r="E546">
        <v>70.59</v>
      </c>
      <c r="F546" t="s">
        <v>25</v>
      </c>
      <c r="G546" t="s">
        <v>13</v>
      </c>
      <c r="H546" t="s">
        <v>41</v>
      </c>
      <c r="I546" t="s">
        <v>38</v>
      </c>
      <c r="J546" t="str">
        <f>"FY" &amp; IF(MONTH(GiftData[[#This Row],[Gift_Date]])&gt;=7, RIGHT(YEAR(GiftData[[#This Row],[Gift_Date]])+1, 2), RIGHT(YEAR(GiftData[[#This Row],[Gift_Date]]), 2))</f>
        <v>FY26</v>
      </c>
      <c r="K546">
        <f>IF(COUNTIFS(GiftData[Constituent_ID], GiftData[[#This Row],[Constituent_ID]], GiftData[Fiscal_Year], "FY24")&gt;0, 1, 0)</f>
        <v>1</v>
      </c>
      <c r="L546">
        <f>IF(COUNTIFS(GiftData[Constituent_ID], GiftData[[#This Row],[Constituent_ID]], GiftData[Fiscal_Year], "FY25")&gt;0, 1, 0)</f>
        <v>1</v>
      </c>
      <c r="M546">
        <f>IF(COUNTIFS(GiftData[Constituent_ID], GiftData[[#This Row],[Constituent_ID]], GiftData[Fiscal_Year], "FY26")&gt;0, 1, 0)</f>
        <v>1</v>
      </c>
      <c r="N546" t="str" cm="1">
        <f t="array" ref="N5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7" spans="1:14" x14ac:dyDescent="0.2">
      <c r="A547" t="s">
        <v>854</v>
      </c>
      <c r="B547" t="s">
        <v>442</v>
      </c>
      <c r="C547" t="s">
        <v>11</v>
      </c>
      <c r="D547" s="1">
        <v>45616</v>
      </c>
      <c r="E547">
        <v>413.6</v>
      </c>
      <c r="F547" t="s">
        <v>12</v>
      </c>
      <c r="G547" t="s">
        <v>13</v>
      </c>
      <c r="H547" t="s">
        <v>41</v>
      </c>
      <c r="I547" t="s">
        <v>38</v>
      </c>
      <c r="J547" t="str">
        <f>"FY" &amp; IF(MONTH(GiftData[[#This Row],[Gift_Date]])&gt;=7, RIGHT(YEAR(GiftData[[#This Row],[Gift_Date]])+1, 2), RIGHT(YEAR(GiftData[[#This Row],[Gift_Date]]), 2))</f>
        <v>FY25</v>
      </c>
      <c r="K547">
        <f>IF(COUNTIFS(GiftData[Constituent_ID], GiftData[[#This Row],[Constituent_ID]], GiftData[Fiscal_Year], "FY24")&gt;0, 1, 0)</f>
        <v>0</v>
      </c>
      <c r="L547">
        <f>IF(COUNTIFS(GiftData[Constituent_ID], GiftData[[#This Row],[Constituent_ID]], GiftData[Fiscal_Year], "FY25")&gt;0, 1, 0)</f>
        <v>1</v>
      </c>
      <c r="M547">
        <f>IF(COUNTIFS(GiftData[Constituent_ID], GiftData[[#This Row],[Constituent_ID]], GiftData[Fiscal_Year], "FY26")&gt;0, 1, 0)</f>
        <v>1</v>
      </c>
      <c r="N547" t="str" cm="1">
        <f t="array" ref="N5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8" spans="1:14" x14ac:dyDescent="0.2">
      <c r="A548" t="s">
        <v>855</v>
      </c>
      <c r="B548" t="s">
        <v>856</v>
      </c>
      <c r="C548" t="s">
        <v>28</v>
      </c>
      <c r="D548" s="1">
        <v>45588</v>
      </c>
      <c r="E548">
        <v>75.290000000000006</v>
      </c>
      <c r="F548" t="s">
        <v>59</v>
      </c>
      <c r="G548" t="s">
        <v>13</v>
      </c>
      <c r="H548" t="s">
        <v>14</v>
      </c>
      <c r="I548" t="s">
        <v>15</v>
      </c>
      <c r="J548" t="str">
        <f>"FY" &amp; IF(MONTH(GiftData[[#This Row],[Gift_Date]])&gt;=7, RIGHT(YEAR(GiftData[[#This Row],[Gift_Date]])+1, 2), RIGHT(YEAR(GiftData[[#This Row],[Gift_Date]]), 2))</f>
        <v>FY25</v>
      </c>
      <c r="K548">
        <f>IF(COUNTIFS(GiftData[Constituent_ID], GiftData[[#This Row],[Constituent_ID]], GiftData[Fiscal_Year], "FY24")&gt;0, 1, 0)</f>
        <v>0</v>
      </c>
      <c r="L548">
        <f>IF(COUNTIFS(GiftData[Constituent_ID], GiftData[[#This Row],[Constituent_ID]], GiftData[Fiscal_Year], "FY25")&gt;0, 1, 0)</f>
        <v>1</v>
      </c>
      <c r="M548">
        <f>IF(COUNTIFS(GiftData[Constituent_ID], GiftData[[#This Row],[Constituent_ID]], GiftData[Fiscal_Year], "FY26")&gt;0, 1, 0)</f>
        <v>1</v>
      </c>
      <c r="N548" t="str" cm="1">
        <f t="array" ref="N5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49" spans="1:14" x14ac:dyDescent="0.2">
      <c r="A549" t="s">
        <v>857</v>
      </c>
      <c r="B549" t="s">
        <v>391</v>
      </c>
      <c r="C549" t="s">
        <v>35</v>
      </c>
      <c r="D549" s="1">
        <v>45221</v>
      </c>
      <c r="E549">
        <v>66.84</v>
      </c>
      <c r="F549" t="s">
        <v>25</v>
      </c>
      <c r="G549" t="s">
        <v>13</v>
      </c>
      <c r="H549" t="s">
        <v>14</v>
      </c>
      <c r="I549" t="s">
        <v>38</v>
      </c>
      <c r="J549" t="str">
        <f>"FY" &amp; IF(MONTH(GiftData[[#This Row],[Gift_Date]])&gt;=7, RIGHT(YEAR(GiftData[[#This Row],[Gift_Date]])+1, 2), RIGHT(YEAR(GiftData[[#This Row],[Gift_Date]]), 2))</f>
        <v>FY24</v>
      </c>
      <c r="K549">
        <f>IF(COUNTIFS(GiftData[Constituent_ID], GiftData[[#This Row],[Constituent_ID]], GiftData[Fiscal_Year], "FY24")&gt;0, 1, 0)</f>
        <v>1</v>
      </c>
      <c r="L549">
        <f>IF(COUNTIFS(GiftData[Constituent_ID], GiftData[[#This Row],[Constituent_ID]], GiftData[Fiscal_Year], "FY25")&gt;0, 1, 0)</f>
        <v>1</v>
      </c>
      <c r="M549">
        <f>IF(COUNTIFS(GiftData[Constituent_ID], GiftData[[#This Row],[Constituent_ID]], GiftData[Fiscal_Year], "FY26")&gt;0, 1, 0)</f>
        <v>0</v>
      </c>
      <c r="N549" t="str" cm="1">
        <f t="array" ref="N5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50" spans="1:14" x14ac:dyDescent="0.2">
      <c r="A550" t="s">
        <v>858</v>
      </c>
      <c r="B550" t="s">
        <v>710</v>
      </c>
      <c r="C550" t="s">
        <v>11</v>
      </c>
      <c r="D550" s="1">
        <v>45856</v>
      </c>
      <c r="E550">
        <v>35.71</v>
      </c>
      <c r="F550" t="s">
        <v>12</v>
      </c>
      <c r="G550" t="s">
        <v>13</v>
      </c>
      <c r="H550" t="s">
        <v>41</v>
      </c>
      <c r="I550" t="s">
        <v>38</v>
      </c>
      <c r="J550" t="str">
        <f>"FY" &amp; IF(MONTH(GiftData[[#This Row],[Gift_Date]])&gt;=7, RIGHT(YEAR(GiftData[[#This Row],[Gift_Date]])+1, 2), RIGHT(YEAR(GiftData[[#This Row],[Gift_Date]]), 2))</f>
        <v>FY26</v>
      </c>
      <c r="K550">
        <f>IF(COUNTIFS(GiftData[Constituent_ID], GiftData[[#This Row],[Constituent_ID]], GiftData[Fiscal_Year], "FY24")&gt;0, 1, 0)</f>
        <v>1</v>
      </c>
      <c r="L550">
        <f>IF(COUNTIFS(GiftData[Constituent_ID], GiftData[[#This Row],[Constituent_ID]], GiftData[Fiscal_Year], "FY25")&gt;0, 1, 0)</f>
        <v>0</v>
      </c>
      <c r="M550">
        <f>IF(COUNTIFS(GiftData[Constituent_ID], GiftData[[#This Row],[Constituent_ID]], GiftData[Fiscal_Year], "FY26")&gt;0, 1, 0)</f>
        <v>1</v>
      </c>
      <c r="N550" t="str" cm="1">
        <f t="array" ref="N5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1" spans="1:14" x14ac:dyDescent="0.2">
      <c r="A551" t="s">
        <v>859</v>
      </c>
      <c r="B551" t="s">
        <v>860</v>
      </c>
      <c r="C551" t="s">
        <v>11</v>
      </c>
      <c r="D551" s="1">
        <v>45468</v>
      </c>
      <c r="E551">
        <v>219.25</v>
      </c>
      <c r="F551" t="s">
        <v>12</v>
      </c>
      <c r="G551" t="s">
        <v>13</v>
      </c>
      <c r="H551" t="s">
        <v>20</v>
      </c>
      <c r="I551" t="s">
        <v>15</v>
      </c>
      <c r="J551" t="str">
        <f>"FY" &amp; IF(MONTH(GiftData[[#This Row],[Gift_Date]])&gt;=7, RIGHT(YEAR(GiftData[[#This Row],[Gift_Date]])+1, 2), RIGHT(YEAR(GiftData[[#This Row],[Gift_Date]]), 2))</f>
        <v>FY24</v>
      </c>
      <c r="K551">
        <f>IF(COUNTIFS(GiftData[Constituent_ID], GiftData[[#This Row],[Constituent_ID]], GiftData[Fiscal_Year], "FY24")&gt;0, 1, 0)</f>
        <v>1</v>
      </c>
      <c r="L551">
        <f>IF(COUNTIFS(GiftData[Constituent_ID], GiftData[[#This Row],[Constituent_ID]], GiftData[Fiscal_Year], "FY25")&gt;0, 1, 0)</f>
        <v>1</v>
      </c>
      <c r="M551">
        <f>IF(COUNTIFS(GiftData[Constituent_ID], GiftData[[#This Row],[Constituent_ID]], GiftData[Fiscal_Year], "FY26")&gt;0, 1, 0)</f>
        <v>0</v>
      </c>
      <c r="N551" t="str" cm="1">
        <f t="array" ref="N5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52" spans="1:14" x14ac:dyDescent="0.2">
      <c r="A552" t="s">
        <v>861</v>
      </c>
      <c r="B552" t="s">
        <v>393</v>
      </c>
      <c r="C552" t="s">
        <v>48</v>
      </c>
      <c r="D552" s="1">
        <v>45448</v>
      </c>
      <c r="E552">
        <v>182.22</v>
      </c>
      <c r="F552" t="s">
        <v>12</v>
      </c>
      <c r="G552" t="s">
        <v>29</v>
      </c>
      <c r="H552" t="s">
        <v>14</v>
      </c>
      <c r="I552" t="s">
        <v>15</v>
      </c>
      <c r="J552" t="str">
        <f>"FY" &amp; IF(MONTH(GiftData[[#This Row],[Gift_Date]])&gt;=7, RIGHT(YEAR(GiftData[[#This Row],[Gift_Date]])+1, 2), RIGHT(YEAR(GiftData[[#This Row],[Gift_Date]]), 2))</f>
        <v>FY24</v>
      </c>
      <c r="K552">
        <f>IF(COUNTIFS(GiftData[Constituent_ID], GiftData[[#This Row],[Constituent_ID]], GiftData[Fiscal_Year], "FY24")&gt;0, 1, 0)</f>
        <v>1</v>
      </c>
      <c r="L552">
        <f>IF(COUNTIFS(GiftData[Constituent_ID], GiftData[[#This Row],[Constituent_ID]], GiftData[Fiscal_Year], "FY25")&gt;0, 1, 0)</f>
        <v>1</v>
      </c>
      <c r="M552">
        <f>IF(COUNTIFS(GiftData[Constituent_ID], GiftData[[#This Row],[Constituent_ID]], GiftData[Fiscal_Year], "FY26")&gt;0, 1, 0)</f>
        <v>1</v>
      </c>
      <c r="N552" t="str" cm="1">
        <f t="array" ref="N5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3" spans="1:14" x14ac:dyDescent="0.2">
      <c r="A553" t="s">
        <v>862</v>
      </c>
      <c r="B553" t="s">
        <v>351</v>
      </c>
      <c r="C553" t="s">
        <v>18</v>
      </c>
      <c r="D553" s="1">
        <v>45877</v>
      </c>
      <c r="E553">
        <v>67.8</v>
      </c>
      <c r="F553" t="s">
        <v>25</v>
      </c>
      <c r="G553" t="s">
        <v>29</v>
      </c>
      <c r="H553" t="s">
        <v>164</v>
      </c>
      <c r="I553" t="s">
        <v>15</v>
      </c>
      <c r="J553" t="str">
        <f>"FY" &amp; IF(MONTH(GiftData[[#This Row],[Gift_Date]])&gt;=7, RIGHT(YEAR(GiftData[[#This Row],[Gift_Date]])+1, 2), RIGHT(YEAR(GiftData[[#This Row],[Gift_Date]]), 2))</f>
        <v>FY26</v>
      </c>
      <c r="K553">
        <f>IF(COUNTIFS(GiftData[Constituent_ID], GiftData[[#This Row],[Constituent_ID]], GiftData[Fiscal_Year], "FY24")&gt;0, 1, 0)</f>
        <v>1</v>
      </c>
      <c r="L553">
        <f>IF(COUNTIFS(GiftData[Constituent_ID], GiftData[[#This Row],[Constituent_ID]], GiftData[Fiscal_Year], "FY25")&gt;0, 1, 0)</f>
        <v>1</v>
      </c>
      <c r="M553">
        <f>IF(COUNTIFS(GiftData[Constituent_ID], GiftData[[#This Row],[Constituent_ID]], GiftData[Fiscal_Year], "FY26")&gt;0, 1, 0)</f>
        <v>1</v>
      </c>
      <c r="N553" t="str" cm="1">
        <f t="array" ref="N5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4" spans="1:14" x14ac:dyDescent="0.2">
      <c r="A554" t="s">
        <v>863</v>
      </c>
      <c r="B554" t="s">
        <v>107</v>
      </c>
      <c r="C554" t="s">
        <v>35</v>
      </c>
      <c r="D554" s="1">
        <v>45868</v>
      </c>
      <c r="E554">
        <v>48.32</v>
      </c>
      <c r="F554" t="s">
        <v>12</v>
      </c>
      <c r="G554" t="s">
        <v>13</v>
      </c>
      <c r="H554" t="s">
        <v>20</v>
      </c>
      <c r="I554" t="s">
        <v>56</v>
      </c>
      <c r="J554" t="str">
        <f>"FY" &amp; IF(MONTH(GiftData[[#This Row],[Gift_Date]])&gt;=7, RIGHT(YEAR(GiftData[[#This Row],[Gift_Date]])+1, 2), RIGHT(YEAR(GiftData[[#This Row],[Gift_Date]]), 2))</f>
        <v>FY26</v>
      </c>
      <c r="K554">
        <f>IF(COUNTIFS(GiftData[Constituent_ID], GiftData[[#This Row],[Constituent_ID]], GiftData[Fiscal_Year], "FY24")&gt;0, 1, 0)</f>
        <v>1</v>
      </c>
      <c r="L554">
        <f>IF(COUNTIFS(GiftData[Constituent_ID], GiftData[[#This Row],[Constituent_ID]], GiftData[Fiscal_Year], "FY25")&gt;0, 1, 0)</f>
        <v>1</v>
      </c>
      <c r="M554">
        <f>IF(COUNTIFS(GiftData[Constituent_ID], GiftData[[#This Row],[Constituent_ID]], GiftData[Fiscal_Year], "FY26")&gt;0, 1, 0)</f>
        <v>1</v>
      </c>
      <c r="N554" t="str" cm="1">
        <f t="array" ref="N5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5" spans="1:14" x14ac:dyDescent="0.2">
      <c r="A555" t="s">
        <v>864</v>
      </c>
      <c r="B555" t="s">
        <v>865</v>
      </c>
      <c r="C555" t="s">
        <v>18</v>
      </c>
      <c r="D555" s="1">
        <v>46076</v>
      </c>
      <c r="E555">
        <v>1392.74</v>
      </c>
      <c r="F555" t="s">
        <v>59</v>
      </c>
      <c r="G555" t="s">
        <v>13</v>
      </c>
      <c r="H555" t="s">
        <v>20</v>
      </c>
      <c r="I555" t="s">
        <v>30</v>
      </c>
      <c r="J555" t="str">
        <f>"FY" &amp; IF(MONTH(GiftData[[#This Row],[Gift_Date]])&gt;=7, RIGHT(YEAR(GiftData[[#This Row],[Gift_Date]])+1, 2), RIGHT(YEAR(GiftData[[#This Row],[Gift_Date]]), 2))</f>
        <v>FY26</v>
      </c>
      <c r="K555">
        <f>IF(COUNTIFS(GiftData[Constituent_ID], GiftData[[#This Row],[Constituent_ID]], GiftData[Fiscal_Year], "FY24")&gt;0, 1, 0)</f>
        <v>0</v>
      </c>
      <c r="L555">
        <f>IF(COUNTIFS(GiftData[Constituent_ID], GiftData[[#This Row],[Constituent_ID]], GiftData[Fiscal_Year], "FY25")&gt;0, 1, 0)</f>
        <v>1</v>
      </c>
      <c r="M555">
        <f>IF(COUNTIFS(GiftData[Constituent_ID], GiftData[[#This Row],[Constituent_ID]], GiftData[Fiscal_Year], "FY26")&gt;0, 1, 0)</f>
        <v>1</v>
      </c>
      <c r="N555" t="str" cm="1">
        <f t="array" ref="N5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6" spans="1:14" x14ac:dyDescent="0.2">
      <c r="A556" t="s">
        <v>866</v>
      </c>
      <c r="B556" t="s">
        <v>790</v>
      </c>
      <c r="C556" t="s">
        <v>35</v>
      </c>
      <c r="D556" s="1">
        <v>45556</v>
      </c>
      <c r="E556">
        <v>15</v>
      </c>
      <c r="F556" t="s">
        <v>12</v>
      </c>
      <c r="G556" t="s">
        <v>13</v>
      </c>
      <c r="H556" t="s">
        <v>20</v>
      </c>
      <c r="I556" t="s">
        <v>56</v>
      </c>
      <c r="J556" t="str">
        <f>"FY" &amp; IF(MONTH(GiftData[[#This Row],[Gift_Date]])&gt;=7, RIGHT(YEAR(GiftData[[#This Row],[Gift_Date]])+1, 2), RIGHT(YEAR(GiftData[[#This Row],[Gift_Date]]), 2))</f>
        <v>FY25</v>
      </c>
      <c r="K556">
        <f>IF(COUNTIFS(GiftData[Constituent_ID], GiftData[[#This Row],[Constituent_ID]], GiftData[Fiscal_Year], "FY24")&gt;0, 1, 0)</f>
        <v>1</v>
      </c>
      <c r="L556">
        <f>IF(COUNTIFS(GiftData[Constituent_ID], GiftData[[#This Row],[Constituent_ID]], GiftData[Fiscal_Year], "FY25")&gt;0, 1, 0)</f>
        <v>1</v>
      </c>
      <c r="M556">
        <f>IF(COUNTIFS(GiftData[Constituent_ID], GiftData[[#This Row],[Constituent_ID]], GiftData[Fiscal_Year], "FY26")&gt;0, 1, 0)</f>
        <v>1</v>
      </c>
      <c r="N556" t="str" cm="1">
        <f t="array" ref="N5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7" spans="1:14" x14ac:dyDescent="0.2">
      <c r="A557" t="s">
        <v>867</v>
      </c>
      <c r="B557" t="s">
        <v>868</v>
      </c>
      <c r="C557" t="s">
        <v>28</v>
      </c>
      <c r="D557" s="1">
        <v>45942</v>
      </c>
      <c r="E557">
        <v>230.7</v>
      </c>
      <c r="F557" t="s">
        <v>59</v>
      </c>
      <c r="G557" t="s">
        <v>13</v>
      </c>
      <c r="H557" t="s">
        <v>41</v>
      </c>
      <c r="I557" t="s">
        <v>38</v>
      </c>
      <c r="J557" t="str">
        <f>"FY" &amp; IF(MONTH(GiftData[[#This Row],[Gift_Date]])&gt;=7, RIGHT(YEAR(GiftData[[#This Row],[Gift_Date]])+1, 2), RIGHT(YEAR(GiftData[[#This Row],[Gift_Date]]), 2))</f>
        <v>FY26</v>
      </c>
      <c r="K557">
        <f>IF(COUNTIFS(GiftData[Constituent_ID], GiftData[[#This Row],[Constituent_ID]], GiftData[Fiscal_Year], "FY24")&gt;0, 1, 0)</f>
        <v>1</v>
      </c>
      <c r="L557">
        <f>IF(COUNTIFS(GiftData[Constituent_ID], GiftData[[#This Row],[Constituent_ID]], GiftData[Fiscal_Year], "FY25")&gt;0, 1, 0)</f>
        <v>0</v>
      </c>
      <c r="M557">
        <f>IF(COUNTIFS(GiftData[Constituent_ID], GiftData[[#This Row],[Constituent_ID]], GiftData[Fiscal_Year], "FY26")&gt;0, 1, 0)</f>
        <v>1</v>
      </c>
      <c r="N557" t="str" cm="1">
        <f t="array" ref="N5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58" spans="1:14" x14ac:dyDescent="0.2">
      <c r="A558" t="s">
        <v>869</v>
      </c>
      <c r="B558" t="s">
        <v>870</v>
      </c>
      <c r="C558" t="s">
        <v>11</v>
      </c>
      <c r="D558" s="1">
        <v>45418</v>
      </c>
      <c r="E558">
        <v>651.21</v>
      </c>
      <c r="F558" t="s">
        <v>12</v>
      </c>
      <c r="G558" t="s">
        <v>13</v>
      </c>
      <c r="H558" t="s">
        <v>20</v>
      </c>
      <c r="I558" t="s">
        <v>38</v>
      </c>
      <c r="J558" t="str">
        <f>"FY" &amp; IF(MONTH(GiftData[[#This Row],[Gift_Date]])&gt;=7, RIGHT(YEAR(GiftData[[#This Row],[Gift_Date]])+1, 2), RIGHT(YEAR(GiftData[[#This Row],[Gift_Date]]), 2))</f>
        <v>FY24</v>
      </c>
      <c r="K558">
        <f>IF(COUNTIFS(GiftData[Constituent_ID], GiftData[[#This Row],[Constituent_ID]], GiftData[Fiscal_Year], "FY24")&gt;0, 1, 0)</f>
        <v>1</v>
      </c>
      <c r="L558">
        <f>IF(COUNTIFS(GiftData[Constituent_ID], GiftData[[#This Row],[Constituent_ID]], GiftData[Fiscal_Year], "FY25")&gt;0, 1, 0)</f>
        <v>1</v>
      </c>
      <c r="M558">
        <f>IF(COUNTIFS(GiftData[Constituent_ID], GiftData[[#This Row],[Constituent_ID]], GiftData[Fiscal_Year], "FY26")&gt;0, 1, 0)</f>
        <v>0</v>
      </c>
      <c r="N558" t="str" cm="1">
        <f t="array" ref="N5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59" spans="1:14" x14ac:dyDescent="0.2">
      <c r="A559" t="s">
        <v>871</v>
      </c>
      <c r="B559" t="s">
        <v>872</v>
      </c>
      <c r="C559" t="s">
        <v>35</v>
      </c>
      <c r="D559" s="1">
        <v>45369</v>
      </c>
      <c r="E559">
        <v>15</v>
      </c>
      <c r="F559" t="s">
        <v>59</v>
      </c>
      <c r="G559" t="s">
        <v>13</v>
      </c>
      <c r="H559" t="s">
        <v>41</v>
      </c>
      <c r="I559" t="s">
        <v>38</v>
      </c>
      <c r="J559" t="str">
        <f>"FY" &amp; IF(MONTH(GiftData[[#This Row],[Gift_Date]])&gt;=7, RIGHT(YEAR(GiftData[[#This Row],[Gift_Date]])+1, 2), RIGHT(YEAR(GiftData[[#This Row],[Gift_Date]]), 2))</f>
        <v>FY24</v>
      </c>
      <c r="K559">
        <f>IF(COUNTIFS(GiftData[Constituent_ID], GiftData[[#This Row],[Constituent_ID]], GiftData[Fiscal_Year], "FY24")&gt;0, 1, 0)</f>
        <v>1</v>
      </c>
      <c r="L559">
        <f>IF(COUNTIFS(GiftData[Constituent_ID], GiftData[[#This Row],[Constituent_ID]], GiftData[Fiscal_Year], "FY25")&gt;0, 1, 0)</f>
        <v>0</v>
      </c>
      <c r="M559">
        <f>IF(COUNTIFS(GiftData[Constituent_ID], GiftData[[#This Row],[Constituent_ID]], GiftData[Fiscal_Year], "FY26")&gt;0, 1, 0)</f>
        <v>1</v>
      </c>
      <c r="N559" t="str" cm="1">
        <f t="array" ref="N5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0" spans="1:14" x14ac:dyDescent="0.2">
      <c r="A560" t="s">
        <v>873</v>
      </c>
      <c r="B560" t="s">
        <v>874</v>
      </c>
      <c r="C560" t="s">
        <v>18</v>
      </c>
      <c r="D560" s="1">
        <v>45513</v>
      </c>
      <c r="E560">
        <v>341.17</v>
      </c>
      <c r="F560" t="s">
        <v>12</v>
      </c>
      <c r="G560" t="s">
        <v>29</v>
      </c>
      <c r="H560" t="s">
        <v>20</v>
      </c>
      <c r="I560" t="s">
        <v>56</v>
      </c>
      <c r="J560" t="str">
        <f>"FY" &amp; IF(MONTH(GiftData[[#This Row],[Gift_Date]])&gt;=7, RIGHT(YEAR(GiftData[[#This Row],[Gift_Date]])+1, 2), RIGHT(YEAR(GiftData[[#This Row],[Gift_Date]]), 2))</f>
        <v>FY25</v>
      </c>
      <c r="K560">
        <f>IF(COUNTIFS(GiftData[Constituent_ID], GiftData[[#This Row],[Constituent_ID]], GiftData[Fiscal_Year], "FY24")&gt;0, 1, 0)</f>
        <v>0</v>
      </c>
      <c r="L560">
        <f>IF(COUNTIFS(GiftData[Constituent_ID], GiftData[[#This Row],[Constituent_ID]], GiftData[Fiscal_Year], "FY25")&gt;0, 1, 0)</f>
        <v>1</v>
      </c>
      <c r="M560">
        <f>IF(COUNTIFS(GiftData[Constituent_ID], GiftData[[#This Row],[Constituent_ID]], GiftData[Fiscal_Year], "FY26")&gt;0, 1, 0)</f>
        <v>0</v>
      </c>
      <c r="N560" t="str" cm="1">
        <f t="array" ref="N5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61" spans="1:14" x14ac:dyDescent="0.2">
      <c r="A561" t="s">
        <v>875</v>
      </c>
      <c r="B561" t="s">
        <v>876</v>
      </c>
      <c r="C561" t="s">
        <v>18</v>
      </c>
      <c r="D561" s="1">
        <v>45250</v>
      </c>
      <c r="E561">
        <v>91.26</v>
      </c>
      <c r="F561" t="s">
        <v>12</v>
      </c>
      <c r="G561" t="s">
        <v>13</v>
      </c>
      <c r="H561" t="s">
        <v>20</v>
      </c>
      <c r="I561" t="s">
        <v>15</v>
      </c>
      <c r="J561" t="str">
        <f>"FY" &amp; IF(MONTH(GiftData[[#This Row],[Gift_Date]])&gt;=7, RIGHT(YEAR(GiftData[[#This Row],[Gift_Date]])+1, 2), RIGHT(YEAR(GiftData[[#This Row],[Gift_Date]]), 2))</f>
        <v>FY24</v>
      </c>
      <c r="K561">
        <f>IF(COUNTIFS(GiftData[Constituent_ID], GiftData[[#This Row],[Constituent_ID]], GiftData[Fiscal_Year], "FY24")&gt;0, 1, 0)</f>
        <v>1</v>
      </c>
      <c r="L561">
        <f>IF(COUNTIFS(GiftData[Constituent_ID], GiftData[[#This Row],[Constituent_ID]], GiftData[Fiscal_Year], "FY25")&gt;0, 1, 0)</f>
        <v>0</v>
      </c>
      <c r="M561">
        <f>IF(COUNTIFS(GiftData[Constituent_ID], GiftData[[#This Row],[Constituent_ID]], GiftData[Fiscal_Year], "FY26")&gt;0, 1, 0)</f>
        <v>1</v>
      </c>
      <c r="N561" t="str" cm="1">
        <f t="array" ref="N5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2" spans="1:14" x14ac:dyDescent="0.2">
      <c r="A562" t="s">
        <v>877</v>
      </c>
      <c r="B562" t="s">
        <v>878</v>
      </c>
      <c r="C562" t="s">
        <v>28</v>
      </c>
      <c r="D562" s="1">
        <v>45449</v>
      </c>
      <c r="E562">
        <v>169.5</v>
      </c>
      <c r="F562" t="s">
        <v>12</v>
      </c>
      <c r="G562" t="s">
        <v>13</v>
      </c>
      <c r="H562" t="s">
        <v>41</v>
      </c>
      <c r="I562" t="s">
        <v>15</v>
      </c>
      <c r="J562" t="str">
        <f>"FY" &amp; IF(MONTH(GiftData[[#This Row],[Gift_Date]])&gt;=7, RIGHT(YEAR(GiftData[[#This Row],[Gift_Date]])+1, 2), RIGHT(YEAR(GiftData[[#This Row],[Gift_Date]]), 2))</f>
        <v>FY24</v>
      </c>
      <c r="K562">
        <f>IF(COUNTIFS(GiftData[Constituent_ID], GiftData[[#This Row],[Constituent_ID]], GiftData[Fiscal_Year], "FY24")&gt;0, 1, 0)</f>
        <v>1</v>
      </c>
      <c r="L562">
        <f>IF(COUNTIFS(GiftData[Constituent_ID], GiftData[[#This Row],[Constituent_ID]], GiftData[Fiscal_Year], "FY25")&gt;0, 1, 0)</f>
        <v>0</v>
      </c>
      <c r="M562">
        <f>IF(COUNTIFS(GiftData[Constituent_ID], GiftData[[#This Row],[Constituent_ID]], GiftData[Fiscal_Year], "FY26")&gt;0, 1, 0)</f>
        <v>1</v>
      </c>
      <c r="N562" t="str" cm="1">
        <f t="array" ref="N5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3" spans="1:14" x14ac:dyDescent="0.2">
      <c r="A563" t="s">
        <v>879</v>
      </c>
      <c r="B563" t="s">
        <v>407</v>
      </c>
      <c r="C563" t="s">
        <v>11</v>
      </c>
      <c r="D563" s="1">
        <v>45351</v>
      </c>
      <c r="E563">
        <v>79.819999999999993</v>
      </c>
      <c r="F563" t="s">
        <v>12</v>
      </c>
      <c r="G563" t="s">
        <v>13</v>
      </c>
      <c r="H563" t="s">
        <v>20</v>
      </c>
      <c r="I563" t="s">
        <v>38</v>
      </c>
      <c r="J563" t="str">
        <f>"FY" &amp; IF(MONTH(GiftData[[#This Row],[Gift_Date]])&gt;=7, RIGHT(YEAR(GiftData[[#This Row],[Gift_Date]])+1, 2), RIGHT(YEAR(GiftData[[#This Row],[Gift_Date]]), 2))</f>
        <v>FY24</v>
      </c>
      <c r="K563">
        <f>IF(COUNTIFS(GiftData[Constituent_ID], GiftData[[#This Row],[Constituent_ID]], GiftData[Fiscal_Year], "FY24")&gt;0, 1, 0)</f>
        <v>1</v>
      </c>
      <c r="L563">
        <f>IF(COUNTIFS(GiftData[Constituent_ID], GiftData[[#This Row],[Constituent_ID]], GiftData[Fiscal_Year], "FY25")&gt;0, 1, 0)</f>
        <v>0</v>
      </c>
      <c r="M563">
        <f>IF(COUNTIFS(GiftData[Constituent_ID], GiftData[[#This Row],[Constituent_ID]], GiftData[Fiscal_Year], "FY26")&gt;0, 1, 0)</f>
        <v>1</v>
      </c>
      <c r="N563" t="str" cm="1">
        <f t="array" ref="N5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4" spans="1:14" x14ac:dyDescent="0.2">
      <c r="A564" t="s">
        <v>880</v>
      </c>
      <c r="B564" t="s">
        <v>881</v>
      </c>
      <c r="C564" t="s">
        <v>28</v>
      </c>
      <c r="D564" s="1">
        <v>45597</v>
      </c>
      <c r="E564">
        <v>491.77</v>
      </c>
      <c r="F564" t="s">
        <v>19</v>
      </c>
      <c r="G564" t="s">
        <v>13</v>
      </c>
      <c r="H564" t="s">
        <v>164</v>
      </c>
      <c r="I564" t="s">
        <v>38</v>
      </c>
      <c r="J564" t="str">
        <f>"FY" &amp; IF(MONTH(GiftData[[#This Row],[Gift_Date]])&gt;=7, RIGHT(YEAR(GiftData[[#This Row],[Gift_Date]])+1, 2), RIGHT(YEAR(GiftData[[#This Row],[Gift_Date]]), 2))</f>
        <v>FY25</v>
      </c>
      <c r="K564">
        <f>IF(COUNTIFS(GiftData[Constituent_ID], GiftData[[#This Row],[Constituent_ID]], GiftData[Fiscal_Year], "FY24")&gt;0, 1, 0)</f>
        <v>1</v>
      </c>
      <c r="L564">
        <f>IF(COUNTIFS(GiftData[Constituent_ID], GiftData[[#This Row],[Constituent_ID]], GiftData[Fiscal_Year], "FY25")&gt;0, 1, 0)</f>
        <v>1</v>
      </c>
      <c r="M564">
        <f>IF(COUNTIFS(GiftData[Constituent_ID], GiftData[[#This Row],[Constituent_ID]], GiftData[Fiscal_Year], "FY26")&gt;0, 1, 0)</f>
        <v>1</v>
      </c>
      <c r="N564" t="str" cm="1">
        <f t="array" ref="N5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5" spans="1:14" x14ac:dyDescent="0.2">
      <c r="A565" t="s">
        <v>882</v>
      </c>
      <c r="B565" t="s">
        <v>452</v>
      </c>
      <c r="C565" t="s">
        <v>18</v>
      </c>
      <c r="D565" s="1">
        <v>45119</v>
      </c>
      <c r="E565">
        <v>194.82</v>
      </c>
      <c r="F565" t="s">
        <v>12</v>
      </c>
      <c r="G565" t="s">
        <v>13</v>
      </c>
      <c r="H565" t="s">
        <v>20</v>
      </c>
      <c r="I565" t="s">
        <v>15</v>
      </c>
      <c r="J565" t="str">
        <f>"FY" &amp; IF(MONTH(GiftData[[#This Row],[Gift_Date]])&gt;=7, RIGHT(YEAR(GiftData[[#This Row],[Gift_Date]])+1, 2), RIGHT(YEAR(GiftData[[#This Row],[Gift_Date]]), 2))</f>
        <v>FY24</v>
      </c>
      <c r="K565">
        <f>IF(COUNTIFS(GiftData[Constituent_ID], GiftData[[#This Row],[Constituent_ID]], GiftData[Fiscal_Year], "FY24")&gt;0, 1, 0)</f>
        <v>1</v>
      </c>
      <c r="L565">
        <f>IF(COUNTIFS(GiftData[Constituent_ID], GiftData[[#This Row],[Constituent_ID]], GiftData[Fiscal_Year], "FY25")&gt;0, 1, 0)</f>
        <v>0</v>
      </c>
      <c r="M565">
        <f>IF(COUNTIFS(GiftData[Constituent_ID], GiftData[[#This Row],[Constituent_ID]], GiftData[Fiscal_Year], "FY26")&gt;0, 1, 0)</f>
        <v>1</v>
      </c>
      <c r="N565" t="str" cm="1">
        <f t="array" ref="N5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6" spans="1:14" x14ac:dyDescent="0.2">
      <c r="A566" t="s">
        <v>883</v>
      </c>
      <c r="B566" t="s">
        <v>58</v>
      </c>
      <c r="C566" t="s">
        <v>18</v>
      </c>
      <c r="D566" s="1">
        <v>45668</v>
      </c>
      <c r="E566">
        <v>144.19999999999999</v>
      </c>
      <c r="F566" t="s">
        <v>12</v>
      </c>
      <c r="G566" t="s">
        <v>13</v>
      </c>
      <c r="H566" t="s">
        <v>14</v>
      </c>
      <c r="I566" t="s">
        <v>38</v>
      </c>
      <c r="J566" t="str">
        <f>"FY" &amp; IF(MONTH(GiftData[[#This Row],[Gift_Date]])&gt;=7, RIGHT(YEAR(GiftData[[#This Row],[Gift_Date]])+1, 2), RIGHT(YEAR(GiftData[[#This Row],[Gift_Date]]), 2))</f>
        <v>FY25</v>
      </c>
      <c r="K566">
        <f>IF(COUNTIFS(GiftData[Constituent_ID], GiftData[[#This Row],[Constituent_ID]], GiftData[Fiscal_Year], "FY24")&gt;0, 1, 0)</f>
        <v>1</v>
      </c>
      <c r="L566">
        <f>IF(COUNTIFS(GiftData[Constituent_ID], GiftData[[#This Row],[Constituent_ID]], GiftData[Fiscal_Year], "FY25")&gt;0, 1, 0)</f>
        <v>1</v>
      </c>
      <c r="M566">
        <f>IF(COUNTIFS(GiftData[Constituent_ID], GiftData[[#This Row],[Constituent_ID]], GiftData[Fiscal_Year], "FY26")&gt;0, 1, 0)</f>
        <v>0</v>
      </c>
      <c r="N566" t="str" cm="1">
        <f t="array" ref="N5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67" spans="1:14" x14ac:dyDescent="0.2">
      <c r="A567" t="s">
        <v>884</v>
      </c>
      <c r="B567" t="s">
        <v>463</v>
      </c>
      <c r="C567" t="s">
        <v>18</v>
      </c>
      <c r="D567" s="1">
        <v>45149</v>
      </c>
      <c r="E567">
        <v>37.770000000000003</v>
      </c>
      <c r="F567" t="s">
        <v>12</v>
      </c>
      <c r="G567" t="s">
        <v>13</v>
      </c>
      <c r="H567" t="s">
        <v>20</v>
      </c>
      <c r="I567" t="s">
        <v>38</v>
      </c>
      <c r="J567" t="str">
        <f>"FY" &amp; IF(MONTH(GiftData[[#This Row],[Gift_Date]])&gt;=7, RIGHT(YEAR(GiftData[[#This Row],[Gift_Date]])+1, 2), RIGHT(YEAR(GiftData[[#This Row],[Gift_Date]]), 2))</f>
        <v>FY24</v>
      </c>
      <c r="K567">
        <f>IF(COUNTIFS(GiftData[Constituent_ID], GiftData[[#This Row],[Constituent_ID]], GiftData[Fiscal_Year], "FY24")&gt;0, 1, 0)</f>
        <v>1</v>
      </c>
      <c r="L567">
        <f>IF(COUNTIFS(GiftData[Constituent_ID], GiftData[[#This Row],[Constituent_ID]], GiftData[Fiscal_Year], "FY25")&gt;0, 1, 0)</f>
        <v>0</v>
      </c>
      <c r="M567">
        <f>IF(COUNTIFS(GiftData[Constituent_ID], GiftData[[#This Row],[Constituent_ID]], GiftData[Fiscal_Year], "FY26")&gt;0, 1, 0)</f>
        <v>0</v>
      </c>
      <c r="N567" t="str" cm="1">
        <f t="array" ref="N5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568" spans="1:14" x14ac:dyDescent="0.2">
      <c r="A568" t="s">
        <v>885</v>
      </c>
      <c r="B568" t="s">
        <v>886</v>
      </c>
      <c r="C568" t="s">
        <v>18</v>
      </c>
      <c r="D568" s="1">
        <v>45785</v>
      </c>
      <c r="E568">
        <v>1403.86</v>
      </c>
      <c r="F568" t="s">
        <v>12</v>
      </c>
      <c r="G568" t="s">
        <v>13</v>
      </c>
      <c r="H568" t="s">
        <v>14</v>
      </c>
      <c r="I568" t="s">
        <v>15</v>
      </c>
      <c r="J568" t="str">
        <f>"FY" &amp; IF(MONTH(GiftData[[#This Row],[Gift_Date]])&gt;=7, RIGHT(YEAR(GiftData[[#This Row],[Gift_Date]])+1, 2), RIGHT(YEAR(GiftData[[#This Row],[Gift_Date]]), 2))</f>
        <v>FY25</v>
      </c>
      <c r="K568">
        <f>IF(COUNTIFS(GiftData[Constituent_ID], GiftData[[#This Row],[Constituent_ID]], GiftData[Fiscal_Year], "FY24")&gt;0, 1, 0)</f>
        <v>1</v>
      </c>
      <c r="L568">
        <f>IF(COUNTIFS(GiftData[Constituent_ID], GiftData[[#This Row],[Constituent_ID]], GiftData[Fiscal_Year], "FY25")&gt;0, 1, 0)</f>
        <v>1</v>
      </c>
      <c r="M568">
        <f>IF(COUNTIFS(GiftData[Constituent_ID], GiftData[[#This Row],[Constituent_ID]], GiftData[Fiscal_Year], "FY26")&gt;0, 1, 0)</f>
        <v>1</v>
      </c>
      <c r="N568" t="str" cm="1">
        <f t="array" ref="N5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69" spans="1:14" x14ac:dyDescent="0.2">
      <c r="A569" t="s">
        <v>887</v>
      </c>
      <c r="B569" t="s">
        <v>257</v>
      </c>
      <c r="C569" t="s">
        <v>11</v>
      </c>
      <c r="D569" s="1">
        <v>45701</v>
      </c>
      <c r="E569">
        <v>123.09</v>
      </c>
      <c r="F569" t="s">
        <v>12</v>
      </c>
      <c r="G569" t="s">
        <v>29</v>
      </c>
      <c r="H569" t="s">
        <v>164</v>
      </c>
      <c r="I569" t="s">
        <v>38</v>
      </c>
      <c r="J569" t="str">
        <f>"FY" &amp; IF(MONTH(GiftData[[#This Row],[Gift_Date]])&gt;=7, RIGHT(YEAR(GiftData[[#This Row],[Gift_Date]])+1, 2), RIGHT(YEAR(GiftData[[#This Row],[Gift_Date]]), 2))</f>
        <v>FY25</v>
      </c>
      <c r="K569">
        <f>IF(COUNTIFS(GiftData[Constituent_ID], GiftData[[#This Row],[Constituent_ID]], GiftData[Fiscal_Year], "FY24")&gt;0, 1, 0)</f>
        <v>1</v>
      </c>
      <c r="L569">
        <f>IF(COUNTIFS(GiftData[Constituent_ID], GiftData[[#This Row],[Constituent_ID]], GiftData[Fiscal_Year], "FY25")&gt;0, 1, 0)</f>
        <v>1</v>
      </c>
      <c r="M569">
        <f>IF(COUNTIFS(GiftData[Constituent_ID], GiftData[[#This Row],[Constituent_ID]], GiftData[Fiscal_Year], "FY26")&gt;0, 1, 0)</f>
        <v>1</v>
      </c>
      <c r="N569" t="str" cm="1">
        <f t="array" ref="N5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0" spans="1:14" x14ac:dyDescent="0.2">
      <c r="A570" t="s">
        <v>888</v>
      </c>
      <c r="B570" t="s">
        <v>889</v>
      </c>
      <c r="C570" t="s">
        <v>35</v>
      </c>
      <c r="D570" s="1">
        <v>45241</v>
      </c>
      <c r="E570">
        <v>2384.5100000000002</v>
      </c>
      <c r="F570" t="s">
        <v>25</v>
      </c>
      <c r="G570" t="s">
        <v>13</v>
      </c>
      <c r="H570" t="s">
        <v>51</v>
      </c>
      <c r="I570" t="s">
        <v>15</v>
      </c>
      <c r="J570" t="str">
        <f>"FY" &amp; IF(MONTH(GiftData[[#This Row],[Gift_Date]])&gt;=7, RIGHT(YEAR(GiftData[[#This Row],[Gift_Date]])+1, 2), RIGHT(YEAR(GiftData[[#This Row],[Gift_Date]]), 2))</f>
        <v>FY24</v>
      </c>
      <c r="K570">
        <f>IF(COUNTIFS(GiftData[Constituent_ID], GiftData[[#This Row],[Constituent_ID]], GiftData[Fiscal_Year], "FY24")&gt;0, 1, 0)</f>
        <v>1</v>
      </c>
      <c r="L570">
        <f>IF(COUNTIFS(GiftData[Constituent_ID], GiftData[[#This Row],[Constituent_ID]], GiftData[Fiscal_Year], "FY25")&gt;0, 1, 0)</f>
        <v>1</v>
      </c>
      <c r="M570">
        <f>IF(COUNTIFS(GiftData[Constituent_ID], GiftData[[#This Row],[Constituent_ID]], GiftData[Fiscal_Year], "FY26")&gt;0, 1, 0)</f>
        <v>0</v>
      </c>
      <c r="N570" t="str" cm="1">
        <f t="array" ref="N5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71" spans="1:14" x14ac:dyDescent="0.2">
      <c r="A571" t="s">
        <v>890</v>
      </c>
      <c r="B571" t="s">
        <v>95</v>
      </c>
      <c r="C571" t="s">
        <v>48</v>
      </c>
      <c r="D571" s="1">
        <v>46138</v>
      </c>
      <c r="E571">
        <v>1488.97</v>
      </c>
      <c r="F571" t="s">
        <v>12</v>
      </c>
      <c r="G571" t="s">
        <v>13</v>
      </c>
      <c r="H571" t="s">
        <v>20</v>
      </c>
      <c r="I571" t="s">
        <v>56</v>
      </c>
      <c r="J571" t="str">
        <f>"FY" &amp; IF(MONTH(GiftData[[#This Row],[Gift_Date]])&gt;=7, RIGHT(YEAR(GiftData[[#This Row],[Gift_Date]])+1, 2), RIGHT(YEAR(GiftData[[#This Row],[Gift_Date]]), 2))</f>
        <v>FY26</v>
      </c>
      <c r="K571">
        <f>IF(COUNTIFS(GiftData[Constituent_ID], GiftData[[#This Row],[Constituent_ID]], GiftData[Fiscal_Year], "FY24")&gt;0, 1, 0)</f>
        <v>1</v>
      </c>
      <c r="L571">
        <f>IF(COUNTIFS(GiftData[Constituent_ID], GiftData[[#This Row],[Constituent_ID]], GiftData[Fiscal_Year], "FY25")&gt;0, 1, 0)</f>
        <v>0</v>
      </c>
      <c r="M571">
        <f>IF(COUNTIFS(GiftData[Constituent_ID], GiftData[[#This Row],[Constituent_ID]], GiftData[Fiscal_Year], "FY26")&gt;0, 1, 0)</f>
        <v>1</v>
      </c>
      <c r="N571" t="str" cm="1">
        <f t="array" ref="N5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2" spans="1:14" x14ac:dyDescent="0.2">
      <c r="A572" t="s">
        <v>891</v>
      </c>
      <c r="B572" t="s">
        <v>168</v>
      </c>
      <c r="C572" t="s">
        <v>35</v>
      </c>
      <c r="D572" s="1">
        <v>46055</v>
      </c>
      <c r="E572">
        <v>15</v>
      </c>
      <c r="F572" t="s">
        <v>59</v>
      </c>
      <c r="G572" t="s">
        <v>13</v>
      </c>
      <c r="H572" t="s">
        <v>14</v>
      </c>
      <c r="I572" t="s">
        <v>15</v>
      </c>
      <c r="J572" t="str">
        <f>"FY" &amp; IF(MONTH(GiftData[[#This Row],[Gift_Date]])&gt;=7, RIGHT(YEAR(GiftData[[#This Row],[Gift_Date]])+1, 2), RIGHT(YEAR(GiftData[[#This Row],[Gift_Date]]), 2))</f>
        <v>FY26</v>
      </c>
      <c r="K572">
        <f>IF(COUNTIFS(GiftData[Constituent_ID], GiftData[[#This Row],[Constituent_ID]], GiftData[Fiscal_Year], "FY24")&gt;0, 1, 0)</f>
        <v>0</v>
      </c>
      <c r="L572">
        <f>IF(COUNTIFS(GiftData[Constituent_ID], GiftData[[#This Row],[Constituent_ID]], GiftData[Fiscal_Year], "FY25")&gt;0, 1, 0)</f>
        <v>1</v>
      </c>
      <c r="M572">
        <f>IF(COUNTIFS(GiftData[Constituent_ID], GiftData[[#This Row],[Constituent_ID]], GiftData[Fiscal_Year], "FY26")&gt;0, 1, 0)</f>
        <v>1</v>
      </c>
      <c r="N572" t="str" cm="1">
        <f t="array" ref="N5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3" spans="1:14" x14ac:dyDescent="0.2">
      <c r="A573" t="s">
        <v>892</v>
      </c>
      <c r="B573" t="s">
        <v>77</v>
      </c>
      <c r="C573" t="s">
        <v>18</v>
      </c>
      <c r="D573" s="1">
        <v>45180</v>
      </c>
      <c r="E573">
        <v>51.86</v>
      </c>
      <c r="F573" t="s">
        <v>12</v>
      </c>
      <c r="G573" t="s">
        <v>13</v>
      </c>
      <c r="H573" t="s">
        <v>41</v>
      </c>
      <c r="I573" t="s">
        <v>38</v>
      </c>
      <c r="J573" t="str">
        <f>"FY" &amp; IF(MONTH(GiftData[[#This Row],[Gift_Date]])&gt;=7, RIGHT(YEAR(GiftData[[#This Row],[Gift_Date]])+1, 2), RIGHT(YEAR(GiftData[[#This Row],[Gift_Date]]), 2))</f>
        <v>FY24</v>
      </c>
      <c r="K573">
        <f>IF(COUNTIFS(GiftData[Constituent_ID], GiftData[[#This Row],[Constituent_ID]], GiftData[Fiscal_Year], "FY24")&gt;0, 1, 0)</f>
        <v>1</v>
      </c>
      <c r="L573">
        <f>IF(COUNTIFS(GiftData[Constituent_ID], GiftData[[#This Row],[Constituent_ID]], GiftData[Fiscal_Year], "FY25")&gt;0, 1, 0)</f>
        <v>1</v>
      </c>
      <c r="M573">
        <f>IF(COUNTIFS(GiftData[Constituent_ID], GiftData[[#This Row],[Constituent_ID]], GiftData[Fiscal_Year], "FY26")&gt;0, 1, 0)</f>
        <v>1</v>
      </c>
      <c r="N573" t="str" cm="1">
        <f t="array" ref="N5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4" spans="1:14" x14ac:dyDescent="0.2">
      <c r="A574" t="s">
        <v>893</v>
      </c>
      <c r="B574" t="s">
        <v>894</v>
      </c>
      <c r="C574" t="s">
        <v>11</v>
      </c>
      <c r="D574" s="1">
        <v>45506</v>
      </c>
      <c r="E574">
        <v>31.56</v>
      </c>
      <c r="F574" t="s">
        <v>12</v>
      </c>
      <c r="G574" t="s">
        <v>13</v>
      </c>
      <c r="H574" t="s">
        <v>20</v>
      </c>
      <c r="I574" t="s">
        <v>15</v>
      </c>
      <c r="J574" t="str">
        <f>"FY" &amp; IF(MONTH(GiftData[[#This Row],[Gift_Date]])&gt;=7, RIGHT(YEAR(GiftData[[#This Row],[Gift_Date]])+1, 2), RIGHT(YEAR(GiftData[[#This Row],[Gift_Date]]), 2))</f>
        <v>FY25</v>
      </c>
      <c r="K574">
        <f>IF(COUNTIFS(GiftData[Constituent_ID], GiftData[[#This Row],[Constituent_ID]], GiftData[Fiscal_Year], "FY24")&gt;0, 1, 0)</f>
        <v>0</v>
      </c>
      <c r="L574">
        <f>IF(COUNTIFS(GiftData[Constituent_ID], GiftData[[#This Row],[Constituent_ID]], GiftData[Fiscal_Year], "FY25")&gt;0, 1, 0)</f>
        <v>1</v>
      </c>
      <c r="M574">
        <f>IF(COUNTIFS(GiftData[Constituent_ID], GiftData[[#This Row],[Constituent_ID]], GiftData[Fiscal_Year], "FY26")&gt;0, 1, 0)</f>
        <v>1</v>
      </c>
      <c r="N574" t="str" cm="1">
        <f t="array" ref="N5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5" spans="1:14" x14ac:dyDescent="0.2">
      <c r="A575" t="s">
        <v>895</v>
      </c>
      <c r="B575" t="s">
        <v>184</v>
      </c>
      <c r="C575" t="s">
        <v>18</v>
      </c>
      <c r="D575" s="1">
        <v>45685</v>
      </c>
      <c r="E575">
        <v>114.13</v>
      </c>
      <c r="F575" t="s">
        <v>25</v>
      </c>
      <c r="G575" t="s">
        <v>29</v>
      </c>
      <c r="H575" t="s">
        <v>20</v>
      </c>
      <c r="I575" t="s">
        <v>15</v>
      </c>
      <c r="J575" t="str">
        <f>"FY" &amp; IF(MONTH(GiftData[[#This Row],[Gift_Date]])&gt;=7, RIGHT(YEAR(GiftData[[#This Row],[Gift_Date]])+1, 2), RIGHT(YEAR(GiftData[[#This Row],[Gift_Date]]), 2))</f>
        <v>FY25</v>
      </c>
      <c r="K575">
        <f>IF(COUNTIFS(GiftData[Constituent_ID], GiftData[[#This Row],[Constituent_ID]], GiftData[Fiscal_Year], "FY24")&gt;0, 1, 0)</f>
        <v>1</v>
      </c>
      <c r="L575">
        <f>IF(COUNTIFS(GiftData[Constituent_ID], GiftData[[#This Row],[Constituent_ID]], GiftData[Fiscal_Year], "FY25")&gt;0, 1, 0)</f>
        <v>1</v>
      </c>
      <c r="M575">
        <f>IF(COUNTIFS(GiftData[Constituent_ID], GiftData[[#This Row],[Constituent_ID]], GiftData[Fiscal_Year], "FY26")&gt;0, 1, 0)</f>
        <v>0</v>
      </c>
      <c r="N575" t="str" cm="1">
        <f t="array" ref="N5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76" spans="1:14" x14ac:dyDescent="0.2">
      <c r="A576" t="s">
        <v>896</v>
      </c>
      <c r="B576" t="s">
        <v>300</v>
      </c>
      <c r="C576" t="s">
        <v>11</v>
      </c>
      <c r="D576" s="1">
        <v>45966</v>
      </c>
      <c r="E576">
        <v>154.97999999999999</v>
      </c>
      <c r="F576" t="s">
        <v>25</v>
      </c>
      <c r="G576" t="s">
        <v>13</v>
      </c>
      <c r="H576" t="s">
        <v>164</v>
      </c>
      <c r="I576" t="s">
        <v>38</v>
      </c>
      <c r="J576" t="str">
        <f>"FY" &amp; IF(MONTH(GiftData[[#This Row],[Gift_Date]])&gt;=7, RIGHT(YEAR(GiftData[[#This Row],[Gift_Date]])+1, 2), RIGHT(YEAR(GiftData[[#This Row],[Gift_Date]]), 2))</f>
        <v>FY26</v>
      </c>
      <c r="K576">
        <f>IF(COUNTIFS(GiftData[Constituent_ID], GiftData[[#This Row],[Constituent_ID]], GiftData[Fiscal_Year], "FY24")&gt;0, 1, 0)</f>
        <v>0</v>
      </c>
      <c r="L576">
        <f>IF(COUNTIFS(GiftData[Constituent_ID], GiftData[[#This Row],[Constituent_ID]], GiftData[Fiscal_Year], "FY25")&gt;0, 1, 0)</f>
        <v>1</v>
      </c>
      <c r="M576">
        <f>IF(COUNTIFS(GiftData[Constituent_ID], GiftData[[#This Row],[Constituent_ID]], GiftData[Fiscal_Year], "FY26")&gt;0, 1, 0)</f>
        <v>1</v>
      </c>
      <c r="N576" t="str" cm="1">
        <f t="array" ref="N5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7" spans="1:14" x14ac:dyDescent="0.2">
      <c r="A577" t="s">
        <v>897</v>
      </c>
      <c r="B577" t="s">
        <v>699</v>
      </c>
      <c r="C577" t="s">
        <v>11</v>
      </c>
      <c r="D577" s="1">
        <v>45237</v>
      </c>
      <c r="E577">
        <v>163.84</v>
      </c>
      <c r="F577" t="s">
        <v>12</v>
      </c>
      <c r="G577" t="s">
        <v>29</v>
      </c>
      <c r="H577" t="s">
        <v>164</v>
      </c>
      <c r="I577" t="s">
        <v>15</v>
      </c>
      <c r="J577" t="str">
        <f>"FY" &amp; IF(MONTH(GiftData[[#This Row],[Gift_Date]])&gt;=7, RIGHT(YEAR(GiftData[[#This Row],[Gift_Date]])+1, 2), RIGHT(YEAR(GiftData[[#This Row],[Gift_Date]]), 2))</f>
        <v>FY24</v>
      </c>
      <c r="K577">
        <f>IF(COUNTIFS(GiftData[Constituent_ID], GiftData[[#This Row],[Constituent_ID]], GiftData[Fiscal_Year], "FY24")&gt;0, 1, 0)</f>
        <v>1</v>
      </c>
      <c r="L577">
        <f>IF(COUNTIFS(GiftData[Constituent_ID], GiftData[[#This Row],[Constituent_ID]], GiftData[Fiscal_Year], "FY25")&gt;0, 1, 0)</f>
        <v>1</v>
      </c>
      <c r="M577">
        <f>IF(COUNTIFS(GiftData[Constituent_ID], GiftData[[#This Row],[Constituent_ID]], GiftData[Fiscal_Year], "FY26")&gt;0, 1, 0)</f>
        <v>1</v>
      </c>
      <c r="N577" t="str" cm="1">
        <f t="array" ref="N5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8" spans="1:14" x14ac:dyDescent="0.2">
      <c r="A578" t="s">
        <v>898</v>
      </c>
      <c r="B578" t="s">
        <v>69</v>
      </c>
      <c r="C578" t="s">
        <v>18</v>
      </c>
      <c r="D578" s="1">
        <v>46038</v>
      </c>
      <c r="E578">
        <v>478.36</v>
      </c>
      <c r="F578" t="s">
        <v>25</v>
      </c>
      <c r="G578" t="s">
        <v>13</v>
      </c>
      <c r="H578" t="s">
        <v>164</v>
      </c>
      <c r="I578" t="s">
        <v>15</v>
      </c>
      <c r="J578" t="str">
        <f>"FY" &amp; IF(MONTH(GiftData[[#This Row],[Gift_Date]])&gt;=7, RIGHT(YEAR(GiftData[[#This Row],[Gift_Date]])+1, 2), RIGHT(YEAR(GiftData[[#This Row],[Gift_Date]]), 2))</f>
        <v>FY26</v>
      </c>
      <c r="K578">
        <f>IF(COUNTIFS(GiftData[Constituent_ID], GiftData[[#This Row],[Constituent_ID]], GiftData[Fiscal_Year], "FY24")&gt;0, 1, 0)</f>
        <v>1</v>
      </c>
      <c r="L578">
        <f>IF(COUNTIFS(GiftData[Constituent_ID], GiftData[[#This Row],[Constituent_ID]], GiftData[Fiscal_Year], "FY25")&gt;0, 1, 0)</f>
        <v>0</v>
      </c>
      <c r="M578">
        <f>IF(COUNTIFS(GiftData[Constituent_ID], GiftData[[#This Row],[Constituent_ID]], GiftData[Fiscal_Year], "FY26")&gt;0, 1, 0)</f>
        <v>1</v>
      </c>
      <c r="N578" t="str" cm="1">
        <f t="array" ref="N5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79" spans="1:14" x14ac:dyDescent="0.2">
      <c r="A579" t="s">
        <v>899</v>
      </c>
      <c r="B579" t="s">
        <v>900</v>
      </c>
      <c r="C579" t="s">
        <v>18</v>
      </c>
      <c r="D579" s="1">
        <v>45373</v>
      </c>
      <c r="E579">
        <v>846.96</v>
      </c>
      <c r="F579" t="s">
        <v>12</v>
      </c>
      <c r="G579" t="s">
        <v>13</v>
      </c>
      <c r="H579" t="s">
        <v>41</v>
      </c>
      <c r="I579" t="s">
        <v>15</v>
      </c>
      <c r="J579" t="str">
        <f>"FY" &amp; IF(MONTH(GiftData[[#This Row],[Gift_Date]])&gt;=7, RIGHT(YEAR(GiftData[[#This Row],[Gift_Date]])+1, 2), RIGHT(YEAR(GiftData[[#This Row],[Gift_Date]]), 2))</f>
        <v>FY24</v>
      </c>
      <c r="K579">
        <f>IF(COUNTIFS(GiftData[Constituent_ID], GiftData[[#This Row],[Constituent_ID]], GiftData[Fiscal_Year], "FY24")&gt;0, 1, 0)</f>
        <v>1</v>
      </c>
      <c r="L579">
        <f>IF(COUNTIFS(GiftData[Constituent_ID], GiftData[[#This Row],[Constituent_ID]], GiftData[Fiscal_Year], "FY25")&gt;0, 1, 0)</f>
        <v>1</v>
      </c>
      <c r="M579">
        <f>IF(COUNTIFS(GiftData[Constituent_ID], GiftData[[#This Row],[Constituent_ID]], GiftData[Fiscal_Year], "FY26")&gt;0, 1, 0)</f>
        <v>0</v>
      </c>
      <c r="N579" t="str" cm="1">
        <f t="array" ref="N5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80" spans="1:14" x14ac:dyDescent="0.2">
      <c r="A580" t="s">
        <v>901</v>
      </c>
      <c r="B580" t="s">
        <v>179</v>
      </c>
      <c r="C580" t="s">
        <v>48</v>
      </c>
      <c r="D580" s="1">
        <v>45900</v>
      </c>
      <c r="E580">
        <v>427.41</v>
      </c>
      <c r="F580" t="s">
        <v>12</v>
      </c>
      <c r="G580" t="s">
        <v>29</v>
      </c>
      <c r="H580" t="s">
        <v>41</v>
      </c>
      <c r="I580" t="s">
        <v>56</v>
      </c>
      <c r="J580" t="str">
        <f>"FY" &amp; IF(MONTH(GiftData[[#This Row],[Gift_Date]])&gt;=7, RIGHT(YEAR(GiftData[[#This Row],[Gift_Date]])+1, 2), RIGHT(YEAR(GiftData[[#This Row],[Gift_Date]]), 2))</f>
        <v>FY26</v>
      </c>
      <c r="K580">
        <f>IF(COUNTIFS(GiftData[Constituent_ID], GiftData[[#This Row],[Constituent_ID]], GiftData[Fiscal_Year], "FY24")&gt;0, 1, 0)</f>
        <v>0</v>
      </c>
      <c r="L580">
        <f>IF(COUNTIFS(GiftData[Constituent_ID], GiftData[[#This Row],[Constituent_ID]], GiftData[Fiscal_Year], "FY25")&gt;0, 1, 0)</f>
        <v>1</v>
      </c>
      <c r="M580">
        <f>IF(COUNTIFS(GiftData[Constituent_ID], GiftData[[#This Row],[Constituent_ID]], GiftData[Fiscal_Year], "FY26")&gt;0, 1, 0)</f>
        <v>1</v>
      </c>
      <c r="N580" t="str" cm="1">
        <f t="array" ref="N5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1" spans="1:14" x14ac:dyDescent="0.2">
      <c r="A581" t="s">
        <v>902</v>
      </c>
      <c r="B581" t="s">
        <v>203</v>
      </c>
      <c r="C581" t="s">
        <v>11</v>
      </c>
      <c r="D581" s="1">
        <v>45360</v>
      </c>
      <c r="E581">
        <v>58.6</v>
      </c>
      <c r="F581" t="s">
        <v>59</v>
      </c>
      <c r="G581" t="s">
        <v>13</v>
      </c>
      <c r="H581" t="s">
        <v>20</v>
      </c>
      <c r="I581" t="s">
        <v>38</v>
      </c>
      <c r="J581" t="str">
        <f>"FY" &amp; IF(MONTH(GiftData[[#This Row],[Gift_Date]])&gt;=7, RIGHT(YEAR(GiftData[[#This Row],[Gift_Date]])+1, 2), RIGHT(YEAR(GiftData[[#This Row],[Gift_Date]]), 2))</f>
        <v>FY24</v>
      </c>
      <c r="K581">
        <f>IF(COUNTIFS(GiftData[Constituent_ID], GiftData[[#This Row],[Constituent_ID]], GiftData[Fiscal_Year], "FY24")&gt;0, 1, 0)</f>
        <v>1</v>
      </c>
      <c r="L581">
        <f>IF(COUNTIFS(GiftData[Constituent_ID], GiftData[[#This Row],[Constituent_ID]], GiftData[Fiscal_Year], "FY25")&gt;0, 1, 0)</f>
        <v>0</v>
      </c>
      <c r="M581">
        <f>IF(COUNTIFS(GiftData[Constituent_ID], GiftData[[#This Row],[Constituent_ID]], GiftData[Fiscal_Year], "FY26")&gt;0, 1, 0)</f>
        <v>1</v>
      </c>
      <c r="N581" t="str" cm="1">
        <f t="array" ref="N5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2" spans="1:14" x14ac:dyDescent="0.2">
      <c r="A582" t="s">
        <v>903</v>
      </c>
      <c r="B582" t="s">
        <v>904</v>
      </c>
      <c r="C582" t="s">
        <v>11</v>
      </c>
      <c r="D582" s="1">
        <v>45929</v>
      </c>
      <c r="E582">
        <v>43.96</v>
      </c>
      <c r="F582" t="s">
        <v>12</v>
      </c>
      <c r="G582" t="s">
        <v>13</v>
      </c>
      <c r="H582" t="s">
        <v>20</v>
      </c>
      <c r="I582" t="s">
        <v>15</v>
      </c>
      <c r="J582" t="str">
        <f>"FY" &amp; IF(MONTH(GiftData[[#This Row],[Gift_Date]])&gt;=7, RIGHT(YEAR(GiftData[[#This Row],[Gift_Date]])+1, 2), RIGHT(YEAR(GiftData[[#This Row],[Gift_Date]]), 2))</f>
        <v>FY26</v>
      </c>
      <c r="K582">
        <f>IF(COUNTIFS(GiftData[Constituent_ID], GiftData[[#This Row],[Constituent_ID]], GiftData[Fiscal_Year], "FY24")&gt;0, 1, 0)</f>
        <v>1</v>
      </c>
      <c r="L582">
        <f>IF(COUNTIFS(GiftData[Constituent_ID], GiftData[[#This Row],[Constituent_ID]], GiftData[Fiscal_Year], "FY25")&gt;0, 1, 0)</f>
        <v>0</v>
      </c>
      <c r="M582">
        <f>IF(COUNTIFS(GiftData[Constituent_ID], GiftData[[#This Row],[Constituent_ID]], GiftData[Fiscal_Year], "FY26")&gt;0, 1, 0)</f>
        <v>1</v>
      </c>
      <c r="N582" t="str" cm="1">
        <f t="array" ref="N5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3" spans="1:14" x14ac:dyDescent="0.2">
      <c r="A583" t="s">
        <v>905</v>
      </c>
      <c r="B583" t="s">
        <v>868</v>
      </c>
      <c r="C583" t="s">
        <v>18</v>
      </c>
      <c r="D583" s="1">
        <v>45271</v>
      </c>
      <c r="E583">
        <v>121.95</v>
      </c>
      <c r="F583" t="s">
        <v>12</v>
      </c>
      <c r="G583" t="s">
        <v>13</v>
      </c>
      <c r="H583" t="s">
        <v>20</v>
      </c>
      <c r="I583" t="s">
        <v>38</v>
      </c>
      <c r="J583" t="str">
        <f>"FY" &amp; IF(MONTH(GiftData[[#This Row],[Gift_Date]])&gt;=7, RIGHT(YEAR(GiftData[[#This Row],[Gift_Date]])+1, 2), RIGHT(YEAR(GiftData[[#This Row],[Gift_Date]]), 2))</f>
        <v>FY24</v>
      </c>
      <c r="K583">
        <f>IF(COUNTIFS(GiftData[Constituent_ID], GiftData[[#This Row],[Constituent_ID]], GiftData[Fiscal_Year], "FY24")&gt;0, 1, 0)</f>
        <v>1</v>
      </c>
      <c r="L583">
        <f>IF(COUNTIFS(GiftData[Constituent_ID], GiftData[[#This Row],[Constituent_ID]], GiftData[Fiscal_Year], "FY25")&gt;0, 1, 0)</f>
        <v>0</v>
      </c>
      <c r="M583">
        <f>IF(COUNTIFS(GiftData[Constituent_ID], GiftData[[#This Row],[Constituent_ID]], GiftData[Fiscal_Year], "FY26")&gt;0, 1, 0)</f>
        <v>1</v>
      </c>
      <c r="N583" t="str" cm="1">
        <f t="array" ref="N5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4" spans="1:14" x14ac:dyDescent="0.2">
      <c r="A584" t="s">
        <v>906</v>
      </c>
      <c r="B584" t="s">
        <v>838</v>
      </c>
      <c r="C584" t="s">
        <v>18</v>
      </c>
      <c r="D584" s="1">
        <v>45202</v>
      </c>
      <c r="E584">
        <v>211.44</v>
      </c>
      <c r="F584" t="s">
        <v>59</v>
      </c>
      <c r="G584" t="s">
        <v>13</v>
      </c>
      <c r="H584" t="s">
        <v>41</v>
      </c>
      <c r="I584" t="s">
        <v>56</v>
      </c>
      <c r="J584" t="str">
        <f>"FY" &amp; IF(MONTH(GiftData[[#This Row],[Gift_Date]])&gt;=7, RIGHT(YEAR(GiftData[[#This Row],[Gift_Date]])+1, 2), RIGHT(YEAR(GiftData[[#This Row],[Gift_Date]]), 2))</f>
        <v>FY24</v>
      </c>
      <c r="K584">
        <f>IF(COUNTIFS(GiftData[Constituent_ID], GiftData[[#This Row],[Constituent_ID]], GiftData[Fiscal_Year], "FY24")&gt;0, 1, 0)</f>
        <v>1</v>
      </c>
      <c r="L584">
        <f>IF(COUNTIFS(GiftData[Constituent_ID], GiftData[[#This Row],[Constituent_ID]], GiftData[Fiscal_Year], "FY25")&gt;0, 1, 0)</f>
        <v>1</v>
      </c>
      <c r="M584">
        <f>IF(COUNTIFS(GiftData[Constituent_ID], GiftData[[#This Row],[Constituent_ID]], GiftData[Fiscal_Year], "FY26")&gt;0, 1, 0)</f>
        <v>0</v>
      </c>
      <c r="N584" t="str" cm="1">
        <f t="array" ref="N5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85" spans="1:14" x14ac:dyDescent="0.2">
      <c r="A585" t="s">
        <v>907</v>
      </c>
      <c r="B585" t="s">
        <v>91</v>
      </c>
      <c r="C585" t="s">
        <v>35</v>
      </c>
      <c r="D585" s="1">
        <v>45940</v>
      </c>
      <c r="E585">
        <v>95.76</v>
      </c>
      <c r="F585" t="s">
        <v>19</v>
      </c>
      <c r="G585" t="s">
        <v>13</v>
      </c>
      <c r="H585" t="s">
        <v>41</v>
      </c>
      <c r="I585" t="s">
        <v>38</v>
      </c>
      <c r="J585" t="str">
        <f>"FY" &amp; IF(MONTH(GiftData[[#This Row],[Gift_Date]])&gt;=7, RIGHT(YEAR(GiftData[[#This Row],[Gift_Date]])+1, 2), RIGHT(YEAR(GiftData[[#This Row],[Gift_Date]]), 2))</f>
        <v>FY26</v>
      </c>
      <c r="K585">
        <f>IF(COUNTIFS(GiftData[Constituent_ID], GiftData[[#This Row],[Constituent_ID]], GiftData[Fiscal_Year], "FY24")&gt;0, 1, 0)</f>
        <v>0</v>
      </c>
      <c r="L585">
        <f>IF(COUNTIFS(GiftData[Constituent_ID], GiftData[[#This Row],[Constituent_ID]], GiftData[Fiscal_Year], "FY25")&gt;0, 1, 0)</f>
        <v>1</v>
      </c>
      <c r="M585">
        <f>IF(COUNTIFS(GiftData[Constituent_ID], GiftData[[#This Row],[Constituent_ID]], GiftData[Fiscal_Year], "FY26")&gt;0, 1, 0)</f>
        <v>1</v>
      </c>
      <c r="N585" t="str" cm="1">
        <f t="array" ref="N5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6" spans="1:14" x14ac:dyDescent="0.2">
      <c r="A586" t="s">
        <v>908</v>
      </c>
      <c r="B586" t="s">
        <v>396</v>
      </c>
      <c r="C586" t="s">
        <v>18</v>
      </c>
      <c r="D586" s="1">
        <v>45443</v>
      </c>
      <c r="E586">
        <v>21.13</v>
      </c>
      <c r="F586" t="s">
        <v>12</v>
      </c>
      <c r="G586" t="s">
        <v>29</v>
      </c>
      <c r="H586" t="s">
        <v>51</v>
      </c>
      <c r="I586" t="s">
        <v>15</v>
      </c>
      <c r="J586" t="str">
        <f>"FY" &amp; IF(MONTH(GiftData[[#This Row],[Gift_Date]])&gt;=7, RIGHT(YEAR(GiftData[[#This Row],[Gift_Date]])+1, 2), RIGHT(YEAR(GiftData[[#This Row],[Gift_Date]]), 2))</f>
        <v>FY24</v>
      </c>
      <c r="K586">
        <f>IF(COUNTIFS(GiftData[Constituent_ID], GiftData[[#This Row],[Constituent_ID]], GiftData[Fiscal_Year], "FY24")&gt;0, 1, 0)</f>
        <v>1</v>
      </c>
      <c r="L586">
        <f>IF(COUNTIFS(GiftData[Constituent_ID], GiftData[[#This Row],[Constituent_ID]], GiftData[Fiscal_Year], "FY25")&gt;0, 1, 0)</f>
        <v>1</v>
      </c>
      <c r="M586">
        <f>IF(COUNTIFS(GiftData[Constituent_ID], GiftData[[#This Row],[Constituent_ID]], GiftData[Fiscal_Year], "FY26")&gt;0, 1, 0)</f>
        <v>0</v>
      </c>
      <c r="N586" t="str" cm="1">
        <f t="array" ref="N5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87" spans="1:14" x14ac:dyDescent="0.2">
      <c r="A587" t="s">
        <v>909</v>
      </c>
      <c r="B587" t="s">
        <v>222</v>
      </c>
      <c r="C587" t="s">
        <v>11</v>
      </c>
      <c r="D587" s="1">
        <v>45929</v>
      </c>
      <c r="E587">
        <v>294.91000000000003</v>
      </c>
      <c r="F587" t="s">
        <v>12</v>
      </c>
      <c r="G587" t="s">
        <v>13</v>
      </c>
      <c r="H587" t="s">
        <v>164</v>
      </c>
      <c r="I587" t="s">
        <v>38</v>
      </c>
      <c r="J587" t="str">
        <f>"FY" &amp; IF(MONTH(GiftData[[#This Row],[Gift_Date]])&gt;=7, RIGHT(YEAR(GiftData[[#This Row],[Gift_Date]])+1, 2), RIGHT(YEAR(GiftData[[#This Row],[Gift_Date]]), 2))</f>
        <v>FY26</v>
      </c>
      <c r="K587">
        <f>IF(COUNTIFS(GiftData[Constituent_ID], GiftData[[#This Row],[Constituent_ID]], GiftData[Fiscal_Year], "FY24")&gt;0, 1, 0)</f>
        <v>0</v>
      </c>
      <c r="L587">
        <f>IF(COUNTIFS(GiftData[Constituent_ID], GiftData[[#This Row],[Constituent_ID]], GiftData[Fiscal_Year], "FY25")&gt;0, 1, 0)</f>
        <v>1</v>
      </c>
      <c r="M587">
        <f>IF(COUNTIFS(GiftData[Constituent_ID], GiftData[[#This Row],[Constituent_ID]], GiftData[Fiscal_Year], "FY26")&gt;0, 1, 0)</f>
        <v>1</v>
      </c>
      <c r="N587" t="str" cm="1">
        <f t="array" ref="N5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8" spans="1:14" x14ac:dyDescent="0.2">
      <c r="A588" t="s">
        <v>910</v>
      </c>
      <c r="B588" t="s">
        <v>809</v>
      </c>
      <c r="C588" t="s">
        <v>18</v>
      </c>
      <c r="D588" s="1">
        <v>45345</v>
      </c>
      <c r="E588">
        <v>72.97</v>
      </c>
      <c r="F588" t="s">
        <v>12</v>
      </c>
      <c r="G588" t="s">
        <v>13</v>
      </c>
      <c r="H588" t="s">
        <v>51</v>
      </c>
      <c r="I588" t="s">
        <v>15</v>
      </c>
      <c r="J588" t="str">
        <f>"FY" &amp; IF(MONTH(GiftData[[#This Row],[Gift_Date]])&gt;=7, RIGHT(YEAR(GiftData[[#This Row],[Gift_Date]])+1, 2), RIGHT(YEAR(GiftData[[#This Row],[Gift_Date]]), 2))</f>
        <v>FY24</v>
      </c>
      <c r="K588">
        <f>IF(COUNTIFS(GiftData[Constituent_ID], GiftData[[#This Row],[Constituent_ID]], GiftData[Fiscal_Year], "FY24")&gt;0, 1, 0)</f>
        <v>1</v>
      </c>
      <c r="L588">
        <f>IF(COUNTIFS(GiftData[Constituent_ID], GiftData[[#This Row],[Constituent_ID]], GiftData[Fiscal_Year], "FY25")&gt;0, 1, 0)</f>
        <v>1</v>
      </c>
      <c r="M588">
        <f>IF(COUNTIFS(GiftData[Constituent_ID], GiftData[[#This Row],[Constituent_ID]], GiftData[Fiscal_Year], "FY26")&gt;0, 1, 0)</f>
        <v>1</v>
      </c>
      <c r="N588" t="str" cm="1">
        <f t="array" ref="N5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89" spans="1:14" x14ac:dyDescent="0.2">
      <c r="A589" t="s">
        <v>911</v>
      </c>
      <c r="B589" t="s">
        <v>558</v>
      </c>
      <c r="C589" t="s">
        <v>11</v>
      </c>
      <c r="D589" s="1">
        <v>45488</v>
      </c>
      <c r="E589">
        <v>70.16</v>
      </c>
      <c r="F589" t="s">
        <v>59</v>
      </c>
      <c r="G589" t="s">
        <v>29</v>
      </c>
      <c r="H589" t="s">
        <v>164</v>
      </c>
      <c r="I589" t="s">
        <v>15</v>
      </c>
      <c r="J589" t="str">
        <f>"FY" &amp; IF(MONTH(GiftData[[#This Row],[Gift_Date]])&gt;=7, RIGHT(YEAR(GiftData[[#This Row],[Gift_Date]])+1, 2), RIGHT(YEAR(GiftData[[#This Row],[Gift_Date]]), 2))</f>
        <v>FY25</v>
      </c>
      <c r="K589">
        <f>IF(COUNTIFS(GiftData[Constituent_ID], GiftData[[#This Row],[Constituent_ID]], GiftData[Fiscal_Year], "FY24")&gt;0, 1, 0)</f>
        <v>0</v>
      </c>
      <c r="L589">
        <f>IF(COUNTIFS(GiftData[Constituent_ID], GiftData[[#This Row],[Constituent_ID]], GiftData[Fiscal_Year], "FY25")&gt;0, 1, 0)</f>
        <v>1</v>
      </c>
      <c r="M589">
        <f>IF(COUNTIFS(GiftData[Constituent_ID], GiftData[[#This Row],[Constituent_ID]], GiftData[Fiscal_Year], "FY26")&gt;0, 1, 0)</f>
        <v>1</v>
      </c>
      <c r="N589" t="str" cm="1">
        <f t="array" ref="N5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0" spans="1:14" x14ac:dyDescent="0.2">
      <c r="A590" t="s">
        <v>912</v>
      </c>
      <c r="B590" t="s">
        <v>913</v>
      </c>
      <c r="C590" t="s">
        <v>18</v>
      </c>
      <c r="D590" s="1">
        <v>46006</v>
      </c>
      <c r="E590">
        <v>113.18</v>
      </c>
      <c r="F590" t="s">
        <v>59</v>
      </c>
      <c r="G590" t="s">
        <v>13</v>
      </c>
      <c r="H590" t="s">
        <v>20</v>
      </c>
      <c r="I590" t="s">
        <v>15</v>
      </c>
      <c r="J590" t="str">
        <f>"FY" &amp; IF(MONTH(GiftData[[#This Row],[Gift_Date]])&gt;=7, RIGHT(YEAR(GiftData[[#This Row],[Gift_Date]])+1, 2), RIGHT(YEAR(GiftData[[#This Row],[Gift_Date]]), 2))</f>
        <v>FY26</v>
      </c>
      <c r="K590">
        <f>IF(COUNTIFS(GiftData[Constituent_ID], GiftData[[#This Row],[Constituent_ID]], GiftData[Fiscal_Year], "FY24")&gt;0, 1, 0)</f>
        <v>0</v>
      </c>
      <c r="L590">
        <f>IF(COUNTIFS(GiftData[Constituent_ID], GiftData[[#This Row],[Constituent_ID]], GiftData[Fiscal_Year], "FY25")&gt;0, 1, 0)</f>
        <v>0</v>
      </c>
      <c r="M590">
        <f>IF(COUNTIFS(GiftData[Constituent_ID], GiftData[[#This Row],[Constituent_ID]], GiftData[Fiscal_Year], "FY26")&gt;0, 1, 0)</f>
        <v>1</v>
      </c>
      <c r="N590" t="str" cm="1">
        <f t="array" ref="N5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1" spans="1:14" x14ac:dyDescent="0.2">
      <c r="A591" t="s">
        <v>914</v>
      </c>
      <c r="B591" t="s">
        <v>220</v>
      </c>
      <c r="C591" t="s">
        <v>35</v>
      </c>
      <c r="D591" s="1">
        <v>45590</v>
      </c>
      <c r="E591">
        <v>88.96</v>
      </c>
      <c r="F591" t="s">
        <v>12</v>
      </c>
      <c r="G591" t="s">
        <v>13</v>
      </c>
      <c r="H591" t="s">
        <v>41</v>
      </c>
      <c r="I591" t="s">
        <v>38</v>
      </c>
      <c r="J591" t="str">
        <f>"FY" &amp; IF(MONTH(GiftData[[#This Row],[Gift_Date]])&gt;=7, RIGHT(YEAR(GiftData[[#This Row],[Gift_Date]])+1, 2), RIGHT(YEAR(GiftData[[#This Row],[Gift_Date]]), 2))</f>
        <v>FY25</v>
      </c>
      <c r="K591">
        <f>IF(COUNTIFS(GiftData[Constituent_ID], GiftData[[#This Row],[Constituent_ID]], GiftData[Fiscal_Year], "FY24")&gt;0, 1, 0)</f>
        <v>1</v>
      </c>
      <c r="L591">
        <f>IF(COUNTIFS(GiftData[Constituent_ID], GiftData[[#This Row],[Constituent_ID]], GiftData[Fiscal_Year], "FY25")&gt;0, 1, 0)</f>
        <v>1</v>
      </c>
      <c r="M591">
        <f>IF(COUNTIFS(GiftData[Constituent_ID], GiftData[[#This Row],[Constituent_ID]], GiftData[Fiscal_Year], "FY26")&gt;0, 1, 0)</f>
        <v>1</v>
      </c>
      <c r="N591" t="str" cm="1">
        <f t="array" ref="N5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2" spans="1:14" x14ac:dyDescent="0.2">
      <c r="A592" t="s">
        <v>915</v>
      </c>
      <c r="B592" t="s">
        <v>128</v>
      </c>
      <c r="C592" t="s">
        <v>35</v>
      </c>
      <c r="D592" s="1">
        <v>46009</v>
      </c>
      <c r="E592">
        <v>75.459999999999994</v>
      </c>
      <c r="F592" t="s">
        <v>12</v>
      </c>
      <c r="G592" t="s">
        <v>13</v>
      </c>
      <c r="H592" t="s">
        <v>14</v>
      </c>
      <c r="I592" t="s">
        <v>15</v>
      </c>
      <c r="J592" t="str">
        <f>"FY" &amp; IF(MONTH(GiftData[[#This Row],[Gift_Date]])&gt;=7, RIGHT(YEAR(GiftData[[#This Row],[Gift_Date]])+1, 2), RIGHT(YEAR(GiftData[[#This Row],[Gift_Date]]), 2))</f>
        <v>FY26</v>
      </c>
      <c r="K592">
        <f>IF(COUNTIFS(GiftData[Constituent_ID], GiftData[[#This Row],[Constituent_ID]], GiftData[Fiscal_Year], "FY24")&gt;0, 1, 0)</f>
        <v>1</v>
      </c>
      <c r="L592">
        <f>IF(COUNTIFS(GiftData[Constituent_ID], GiftData[[#This Row],[Constituent_ID]], GiftData[Fiscal_Year], "FY25")&gt;0, 1, 0)</f>
        <v>1</v>
      </c>
      <c r="M592">
        <f>IF(COUNTIFS(GiftData[Constituent_ID], GiftData[[#This Row],[Constituent_ID]], GiftData[Fiscal_Year], "FY26")&gt;0, 1, 0)</f>
        <v>1</v>
      </c>
      <c r="N592" t="str" cm="1">
        <f t="array" ref="N5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3" spans="1:14" x14ac:dyDescent="0.2">
      <c r="A593" t="s">
        <v>916</v>
      </c>
      <c r="B593" t="s">
        <v>815</v>
      </c>
      <c r="C593" t="s">
        <v>35</v>
      </c>
      <c r="D593" s="1">
        <v>46156</v>
      </c>
      <c r="E593">
        <v>23.01</v>
      </c>
      <c r="F593" t="s">
        <v>12</v>
      </c>
      <c r="G593" t="s">
        <v>13</v>
      </c>
      <c r="H593" t="s">
        <v>20</v>
      </c>
      <c r="I593" t="s">
        <v>56</v>
      </c>
      <c r="J593" t="str">
        <f>"FY" &amp; IF(MONTH(GiftData[[#This Row],[Gift_Date]])&gt;=7, RIGHT(YEAR(GiftData[[#This Row],[Gift_Date]])+1, 2), RIGHT(YEAR(GiftData[[#This Row],[Gift_Date]]), 2))</f>
        <v>FY26</v>
      </c>
      <c r="K593">
        <f>IF(COUNTIFS(GiftData[Constituent_ID], GiftData[[#This Row],[Constituent_ID]], GiftData[Fiscal_Year], "FY24")&gt;0, 1, 0)</f>
        <v>1</v>
      </c>
      <c r="L593">
        <f>IF(COUNTIFS(GiftData[Constituent_ID], GiftData[[#This Row],[Constituent_ID]], GiftData[Fiscal_Year], "FY25")&gt;0, 1, 0)</f>
        <v>1</v>
      </c>
      <c r="M593">
        <f>IF(COUNTIFS(GiftData[Constituent_ID], GiftData[[#This Row],[Constituent_ID]], GiftData[Fiscal_Year], "FY26")&gt;0, 1, 0)</f>
        <v>1</v>
      </c>
      <c r="N593" t="str" cm="1">
        <f t="array" ref="N5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4" spans="1:14" x14ac:dyDescent="0.2">
      <c r="A594" t="s">
        <v>917</v>
      </c>
      <c r="B594" t="s">
        <v>201</v>
      </c>
      <c r="C594" t="s">
        <v>11</v>
      </c>
      <c r="D594" s="1">
        <v>45589</v>
      </c>
      <c r="E594">
        <v>105.01</v>
      </c>
      <c r="F594" t="s">
        <v>25</v>
      </c>
      <c r="G594" t="s">
        <v>13</v>
      </c>
      <c r="H594" t="s">
        <v>164</v>
      </c>
      <c r="I594" t="s">
        <v>15</v>
      </c>
      <c r="J594" t="str">
        <f>"FY" &amp; IF(MONTH(GiftData[[#This Row],[Gift_Date]])&gt;=7, RIGHT(YEAR(GiftData[[#This Row],[Gift_Date]])+1, 2), RIGHT(YEAR(GiftData[[#This Row],[Gift_Date]]), 2))</f>
        <v>FY25</v>
      </c>
      <c r="K594">
        <f>IF(COUNTIFS(GiftData[Constituent_ID], GiftData[[#This Row],[Constituent_ID]], GiftData[Fiscal_Year], "FY24")&gt;0, 1, 0)</f>
        <v>1</v>
      </c>
      <c r="L594">
        <f>IF(COUNTIFS(GiftData[Constituent_ID], GiftData[[#This Row],[Constituent_ID]], GiftData[Fiscal_Year], "FY25")&gt;0, 1, 0)</f>
        <v>1</v>
      </c>
      <c r="M594">
        <f>IF(COUNTIFS(GiftData[Constituent_ID], GiftData[[#This Row],[Constituent_ID]], GiftData[Fiscal_Year], "FY26")&gt;0, 1, 0)</f>
        <v>0</v>
      </c>
      <c r="N594" t="str" cm="1">
        <f t="array" ref="N5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595" spans="1:14" x14ac:dyDescent="0.2">
      <c r="A595" t="s">
        <v>918</v>
      </c>
      <c r="B595" t="s">
        <v>101</v>
      </c>
      <c r="C595" t="s">
        <v>35</v>
      </c>
      <c r="D595" s="1">
        <v>46024</v>
      </c>
      <c r="E595">
        <v>303.02999999999997</v>
      </c>
      <c r="F595" t="s">
        <v>25</v>
      </c>
      <c r="G595" t="s">
        <v>29</v>
      </c>
      <c r="H595" t="s">
        <v>51</v>
      </c>
      <c r="I595" t="s">
        <v>15</v>
      </c>
      <c r="J595" t="str">
        <f>"FY" &amp; IF(MONTH(GiftData[[#This Row],[Gift_Date]])&gt;=7, RIGHT(YEAR(GiftData[[#This Row],[Gift_Date]])+1, 2), RIGHT(YEAR(GiftData[[#This Row],[Gift_Date]]), 2))</f>
        <v>FY26</v>
      </c>
      <c r="K595">
        <f>IF(COUNTIFS(GiftData[Constituent_ID], GiftData[[#This Row],[Constituent_ID]], GiftData[Fiscal_Year], "FY24")&gt;0, 1, 0)</f>
        <v>1</v>
      </c>
      <c r="L595">
        <f>IF(COUNTIFS(GiftData[Constituent_ID], GiftData[[#This Row],[Constituent_ID]], GiftData[Fiscal_Year], "FY25")&gt;0, 1, 0)</f>
        <v>1</v>
      </c>
      <c r="M595">
        <f>IF(COUNTIFS(GiftData[Constituent_ID], GiftData[[#This Row],[Constituent_ID]], GiftData[Fiscal_Year], "FY26")&gt;0, 1, 0)</f>
        <v>1</v>
      </c>
      <c r="N595" t="str" cm="1">
        <f t="array" ref="N5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6" spans="1:14" x14ac:dyDescent="0.2">
      <c r="A596" t="s">
        <v>919</v>
      </c>
      <c r="B596" t="s">
        <v>351</v>
      </c>
      <c r="C596" t="s">
        <v>11</v>
      </c>
      <c r="D596" s="1">
        <v>46101</v>
      </c>
      <c r="E596">
        <v>171.41</v>
      </c>
      <c r="F596" t="s">
        <v>25</v>
      </c>
      <c r="G596" t="s">
        <v>13</v>
      </c>
      <c r="H596" t="s">
        <v>20</v>
      </c>
      <c r="I596" t="s">
        <v>15</v>
      </c>
      <c r="J596" t="str">
        <f>"FY" &amp; IF(MONTH(GiftData[[#This Row],[Gift_Date]])&gt;=7, RIGHT(YEAR(GiftData[[#This Row],[Gift_Date]])+1, 2), RIGHT(YEAR(GiftData[[#This Row],[Gift_Date]]), 2))</f>
        <v>FY26</v>
      </c>
      <c r="K596">
        <f>IF(COUNTIFS(GiftData[Constituent_ID], GiftData[[#This Row],[Constituent_ID]], GiftData[Fiscal_Year], "FY24")&gt;0, 1, 0)</f>
        <v>1</v>
      </c>
      <c r="L596">
        <f>IF(COUNTIFS(GiftData[Constituent_ID], GiftData[[#This Row],[Constituent_ID]], GiftData[Fiscal_Year], "FY25")&gt;0, 1, 0)</f>
        <v>1</v>
      </c>
      <c r="M596">
        <f>IF(COUNTIFS(GiftData[Constituent_ID], GiftData[[#This Row],[Constituent_ID]], GiftData[Fiscal_Year], "FY26")&gt;0, 1, 0)</f>
        <v>1</v>
      </c>
      <c r="N596" t="str" cm="1">
        <f t="array" ref="N5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7" spans="1:14" x14ac:dyDescent="0.2">
      <c r="A597" t="s">
        <v>920</v>
      </c>
      <c r="B597" t="s">
        <v>921</v>
      </c>
      <c r="C597" t="s">
        <v>11</v>
      </c>
      <c r="D597" s="1">
        <v>46071</v>
      </c>
      <c r="E597">
        <v>416.78</v>
      </c>
      <c r="F597" t="s">
        <v>19</v>
      </c>
      <c r="G597" t="s">
        <v>13</v>
      </c>
      <c r="H597" t="s">
        <v>20</v>
      </c>
      <c r="I597" t="s">
        <v>15</v>
      </c>
      <c r="J597" t="str">
        <f>"FY" &amp; IF(MONTH(GiftData[[#This Row],[Gift_Date]])&gt;=7, RIGHT(YEAR(GiftData[[#This Row],[Gift_Date]])+1, 2), RIGHT(YEAR(GiftData[[#This Row],[Gift_Date]]), 2))</f>
        <v>FY26</v>
      </c>
      <c r="K597">
        <f>IF(COUNTIFS(GiftData[Constituent_ID], GiftData[[#This Row],[Constituent_ID]], GiftData[Fiscal_Year], "FY24")&gt;0, 1, 0)</f>
        <v>1</v>
      </c>
      <c r="L597">
        <f>IF(COUNTIFS(GiftData[Constituent_ID], GiftData[[#This Row],[Constituent_ID]], GiftData[Fiscal_Year], "FY25")&gt;0, 1, 0)</f>
        <v>1</v>
      </c>
      <c r="M597">
        <f>IF(COUNTIFS(GiftData[Constituent_ID], GiftData[[#This Row],[Constituent_ID]], GiftData[Fiscal_Year], "FY26")&gt;0, 1, 0)</f>
        <v>1</v>
      </c>
      <c r="N597" t="str" cm="1">
        <f t="array" ref="N5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8" spans="1:14" x14ac:dyDescent="0.2">
      <c r="A598" t="s">
        <v>922</v>
      </c>
      <c r="B598" t="s">
        <v>790</v>
      </c>
      <c r="C598" t="s">
        <v>28</v>
      </c>
      <c r="D598" s="1">
        <v>45644</v>
      </c>
      <c r="E598">
        <v>47.13</v>
      </c>
      <c r="F598" t="s">
        <v>12</v>
      </c>
      <c r="G598" t="s">
        <v>13</v>
      </c>
      <c r="H598" t="s">
        <v>41</v>
      </c>
      <c r="I598" t="s">
        <v>15</v>
      </c>
      <c r="J598" t="str">
        <f>"FY" &amp; IF(MONTH(GiftData[[#This Row],[Gift_Date]])&gt;=7, RIGHT(YEAR(GiftData[[#This Row],[Gift_Date]])+1, 2), RIGHT(YEAR(GiftData[[#This Row],[Gift_Date]]), 2))</f>
        <v>FY25</v>
      </c>
      <c r="K598">
        <f>IF(COUNTIFS(GiftData[Constituent_ID], GiftData[[#This Row],[Constituent_ID]], GiftData[Fiscal_Year], "FY24")&gt;0, 1, 0)</f>
        <v>1</v>
      </c>
      <c r="L598">
        <f>IF(COUNTIFS(GiftData[Constituent_ID], GiftData[[#This Row],[Constituent_ID]], GiftData[Fiscal_Year], "FY25")&gt;0, 1, 0)</f>
        <v>1</v>
      </c>
      <c r="M598">
        <f>IF(COUNTIFS(GiftData[Constituent_ID], GiftData[[#This Row],[Constituent_ID]], GiftData[Fiscal_Year], "FY26")&gt;0, 1, 0)</f>
        <v>1</v>
      </c>
      <c r="N598" t="str" cm="1">
        <f t="array" ref="N5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599" spans="1:14" x14ac:dyDescent="0.2">
      <c r="A599" t="s">
        <v>923</v>
      </c>
      <c r="B599" t="s">
        <v>924</v>
      </c>
      <c r="C599" t="s">
        <v>18</v>
      </c>
      <c r="D599" s="1">
        <v>46143</v>
      </c>
      <c r="E599">
        <v>23.07</v>
      </c>
      <c r="F599" t="s">
        <v>12</v>
      </c>
      <c r="G599" t="s">
        <v>13</v>
      </c>
      <c r="H599" t="s">
        <v>41</v>
      </c>
      <c r="I599" t="s">
        <v>15</v>
      </c>
      <c r="J599" t="str">
        <f>"FY" &amp; IF(MONTH(GiftData[[#This Row],[Gift_Date]])&gt;=7, RIGHT(YEAR(GiftData[[#This Row],[Gift_Date]])+1, 2), RIGHT(YEAR(GiftData[[#This Row],[Gift_Date]]), 2))</f>
        <v>FY26</v>
      </c>
      <c r="K599">
        <f>IF(COUNTIFS(GiftData[Constituent_ID], GiftData[[#This Row],[Constituent_ID]], GiftData[Fiscal_Year], "FY24")&gt;0, 1, 0)</f>
        <v>0</v>
      </c>
      <c r="L599">
        <f>IF(COUNTIFS(GiftData[Constituent_ID], GiftData[[#This Row],[Constituent_ID]], GiftData[Fiscal_Year], "FY25")&gt;0, 1, 0)</f>
        <v>0</v>
      </c>
      <c r="M599">
        <f>IF(COUNTIFS(GiftData[Constituent_ID], GiftData[[#This Row],[Constituent_ID]], GiftData[Fiscal_Year], "FY26")&gt;0, 1, 0)</f>
        <v>1</v>
      </c>
      <c r="N599" t="str" cm="1">
        <f t="array" ref="N5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0" spans="1:14" x14ac:dyDescent="0.2">
      <c r="A600" t="s">
        <v>925</v>
      </c>
      <c r="B600" t="s">
        <v>790</v>
      </c>
      <c r="C600" t="s">
        <v>18</v>
      </c>
      <c r="D600" s="1">
        <v>45235</v>
      </c>
      <c r="E600">
        <v>88.27</v>
      </c>
      <c r="F600" t="s">
        <v>12</v>
      </c>
      <c r="G600" t="s">
        <v>13</v>
      </c>
      <c r="H600" t="s">
        <v>164</v>
      </c>
      <c r="I600" t="s">
        <v>15</v>
      </c>
      <c r="J600" t="str">
        <f>"FY" &amp; IF(MONTH(GiftData[[#This Row],[Gift_Date]])&gt;=7, RIGHT(YEAR(GiftData[[#This Row],[Gift_Date]])+1, 2), RIGHT(YEAR(GiftData[[#This Row],[Gift_Date]]), 2))</f>
        <v>FY24</v>
      </c>
      <c r="K600">
        <f>IF(COUNTIFS(GiftData[Constituent_ID], GiftData[[#This Row],[Constituent_ID]], GiftData[Fiscal_Year], "FY24")&gt;0, 1, 0)</f>
        <v>1</v>
      </c>
      <c r="L600">
        <f>IF(COUNTIFS(GiftData[Constituent_ID], GiftData[[#This Row],[Constituent_ID]], GiftData[Fiscal_Year], "FY25")&gt;0, 1, 0)</f>
        <v>1</v>
      </c>
      <c r="M600">
        <f>IF(COUNTIFS(GiftData[Constituent_ID], GiftData[[#This Row],[Constituent_ID]], GiftData[Fiscal_Year], "FY26")&gt;0, 1, 0)</f>
        <v>1</v>
      </c>
      <c r="N600" t="str" cm="1">
        <f t="array" ref="N6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1" spans="1:14" x14ac:dyDescent="0.2">
      <c r="A601" t="s">
        <v>926</v>
      </c>
      <c r="B601" t="s">
        <v>927</v>
      </c>
      <c r="C601" t="s">
        <v>28</v>
      </c>
      <c r="D601" s="1">
        <v>45199</v>
      </c>
      <c r="E601">
        <v>54.68</v>
      </c>
      <c r="F601" t="s">
        <v>12</v>
      </c>
      <c r="G601" t="s">
        <v>13</v>
      </c>
      <c r="H601" t="s">
        <v>20</v>
      </c>
      <c r="I601" t="s">
        <v>15</v>
      </c>
      <c r="J601" t="str">
        <f>"FY" &amp; IF(MONTH(GiftData[[#This Row],[Gift_Date]])&gt;=7, RIGHT(YEAR(GiftData[[#This Row],[Gift_Date]])+1, 2), RIGHT(YEAR(GiftData[[#This Row],[Gift_Date]]), 2))</f>
        <v>FY24</v>
      </c>
      <c r="K601">
        <f>IF(COUNTIFS(GiftData[Constituent_ID], GiftData[[#This Row],[Constituent_ID]], GiftData[Fiscal_Year], "FY24")&gt;0, 1, 0)</f>
        <v>1</v>
      </c>
      <c r="L601">
        <f>IF(COUNTIFS(GiftData[Constituent_ID], GiftData[[#This Row],[Constituent_ID]], GiftData[Fiscal_Year], "FY25")&gt;0, 1, 0)</f>
        <v>1</v>
      </c>
      <c r="M601">
        <f>IF(COUNTIFS(GiftData[Constituent_ID], GiftData[[#This Row],[Constituent_ID]], GiftData[Fiscal_Year], "FY26")&gt;0, 1, 0)</f>
        <v>1</v>
      </c>
      <c r="N601" t="str" cm="1">
        <f t="array" ref="N6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2" spans="1:14" x14ac:dyDescent="0.2">
      <c r="A602" t="s">
        <v>928</v>
      </c>
      <c r="B602" t="s">
        <v>929</v>
      </c>
      <c r="C602" t="s">
        <v>18</v>
      </c>
      <c r="D602" s="1">
        <v>45650</v>
      </c>
      <c r="E602">
        <v>62.59</v>
      </c>
      <c r="F602" t="s">
        <v>12</v>
      </c>
      <c r="G602" t="s">
        <v>13</v>
      </c>
      <c r="H602" t="s">
        <v>20</v>
      </c>
      <c r="I602" t="s">
        <v>15</v>
      </c>
      <c r="J602" t="str">
        <f>"FY" &amp; IF(MONTH(GiftData[[#This Row],[Gift_Date]])&gt;=7, RIGHT(YEAR(GiftData[[#This Row],[Gift_Date]])+1, 2), RIGHT(YEAR(GiftData[[#This Row],[Gift_Date]]), 2))</f>
        <v>FY25</v>
      </c>
      <c r="K602">
        <f>IF(COUNTIFS(GiftData[Constituent_ID], GiftData[[#This Row],[Constituent_ID]], GiftData[Fiscal_Year], "FY24")&gt;0, 1, 0)</f>
        <v>1</v>
      </c>
      <c r="L602">
        <f>IF(COUNTIFS(GiftData[Constituent_ID], GiftData[[#This Row],[Constituent_ID]], GiftData[Fiscal_Year], "FY25")&gt;0, 1, 0)</f>
        <v>1</v>
      </c>
      <c r="M602">
        <f>IF(COUNTIFS(GiftData[Constituent_ID], GiftData[[#This Row],[Constituent_ID]], GiftData[Fiscal_Year], "FY26")&gt;0, 1, 0)</f>
        <v>0</v>
      </c>
      <c r="N602" t="str" cm="1">
        <f t="array" ref="N6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03" spans="1:14" x14ac:dyDescent="0.2">
      <c r="A603" t="s">
        <v>930</v>
      </c>
      <c r="B603" t="s">
        <v>482</v>
      </c>
      <c r="C603" t="s">
        <v>28</v>
      </c>
      <c r="D603" s="1">
        <v>45953</v>
      </c>
      <c r="E603">
        <v>160.02000000000001</v>
      </c>
      <c r="F603" t="s">
        <v>12</v>
      </c>
      <c r="G603" t="s">
        <v>13</v>
      </c>
      <c r="H603" t="s">
        <v>20</v>
      </c>
      <c r="I603" t="s">
        <v>15</v>
      </c>
      <c r="J603" t="str">
        <f>"FY" &amp; IF(MONTH(GiftData[[#This Row],[Gift_Date]])&gt;=7, RIGHT(YEAR(GiftData[[#This Row],[Gift_Date]])+1, 2), RIGHT(YEAR(GiftData[[#This Row],[Gift_Date]]), 2))</f>
        <v>FY26</v>
      </c>
      <c r="K603">
        <f>IF(COUNTIFS(GiftData[Constituent_ID], GiftData[[#This Row],[Constituent_ID]], GiftData[Fiscal_Year], "FY24")&gt;0, 1, 0)</f>
        <v>1</v>
      </c>
      <c r="L603">
        <f>IF(COUNTIFS(GiftData[Constituent_ID], GiftData[[#This Row],[Constituent_ID]], GiftData[Fiscal_Year], "FY25")&gt;0, 1, 0)</f>
        <v>0</v>
      </c>
      <c r="M603">
        <f>IF(COUNTIFS(GiftData[Constituent_ID], GiftData[[#This Row],[Constituent_ID]], GiftData[Fiscal_Year], "FY26")&gt;0, 1, 0)</f>
        <v>1</v>
      </c>
      <c r="N603" t="str" cm="1">
        <f t="array" ref="N6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4" spans="1:14" x14ac:dyDescent="0.2">
      <c r="A604" t="s">
        <v>931</v>
      </c>
      <c r="B604" t="s">
        <v>175</v>
      </c>
      <c r="C604" t="s">
        <v>11</v>
      </c>
      <c r="D604" s="1">
        <v>46096</v>
      </c>
      <c r="E604">
        <v>63.18</v>
      </c>
      <c r="F604" t="s">
        <v>25</v>
      </c>
      <c r="G604" t="s">
        <v>13</v>
      </c>
      <c r="H604" t="s">
        <v>20</v>
      </c>
      <c r="I604" t="s">
        <v>38</v>
      </c>
      <c r="J604" t="str">
        <f>"FY" &amp; IF(MONTH(GiftData[[#This Row],[Gift_Date]])&gt;=7, RIGHT(YEAR(GiftData[[#This Row],[Gift_Date]])+1, 2), RIGHT(YEAR(GiftData[[#This Row],[Gift_Date]]), 2))</f>
        <v>FY26</v>
      </c>
      <c r="K604">
        <f>IF(COUNTIFS(GiftData[Constituent_ID], GiftData[[#This Row],[Constituent_ID]], GiftData[Fiscal_Year], "FY24")&gt;0, 1, 0)</f>
        <v>0</v>
      </c>
      <c r="L604">
        <f>IF(COUNTIFS(GiftData[Constituent_ID], GiftData[[#This Row],[Constituent_ID]], GiftData[Fiscal_Year], "FY25")&gt;0, 1, 0)</f>
        <v>1</v>
      </c>
      <c r="M604">
        <f>IF(COUNTIFS(GiftData[Constituent_ID], GiftData[[#This Row],[Constituent_ID]], GiftData[Fiscal_Year], "FY26")&gt;0, 1, 0)</f>
        <v>1</v>
      </c>
      <c r="N604" t="str" cm="1">
        <f t="array" ref="N6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5" spans="1:14" x14ac:dyDescent="0.2">
      <c r="A605" t="s">
        <v>932</v>
      </c>
      <c r="B605" t="s">
        <v>386</v>
      </c>
      <c r="C605" t="s">
        <v>35</v>
      </c>
      <c r="D605" s="1">
        <v>45554</v>
      </c>
      <c r="E605">
        <v>23.92</v>
      </c>
      <c r="F605" t="s">
        <v>59</v>
      </c>
      <c r="G605" t="s">
        <v>13</v>
      </c>
      <c r="H605" t="s">
        <v>20</v>
      </c>
      <c r="I605" t="s">
        <v>38</v>
      </c>
      <c r="J605" t="str">
        <f>"FY" &amp; IF(MONTH(GiftData[[#This Row],[Gift_Date]])&gt;=7, RIGHT(YEAR(GiftData[[#This Row],[Gift_Date]])+1, 2), RIGHT(YEAR(GiftData[[#This Row],[Gift_Date]]), 2))</f>
        <v>FY25</v>
      </c>
      <c r="K605">
        <f>IF(COUNTIFS(GiftData[Constituent_ID], GiftData[[#This Row],[Constituent_ID]], GiftData[Fiscal_Year], "FY24")&gt;0, 1, 0)</f>
        <v>0</v>
      </c>
      <c r="L605">
        <f>IF(COUNTIFS(GiftData[Constituent_ID], GiftData[[#This Row],[Constituent_ID]], GiftData[Fiscal_Year], "FY25")&gt;0, 1, 0)</f>
        <v>1</v>
      </c>
      <c r="M605">
        <f>IF(COUNTIFS(GiftData[Constituent_ID], GiftData[[#This Row],[Constituent_ID]], GiftData[Fiscal_Year], "FY26")&gt;0, 1, 0)</f>
        <v>1</v>
      </c>
      <c r="N605" t="str" cm="1">
        <f t="array" ref="N6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6" spans="1:14" x14ac:dyDescent="0.2">
      <c r="A606" t="s">
        <v>933</v>
      </c>
      <c r="B606" t="s">
        <v>934</v>
      </c>
      <c r="C606" t="s">
        <v>48</v>
      </c>
      <c r="D606" s="1">
        <v>45497</v>
      </c>
      <c r="E606">
        <v>58.75</v>
      </c>
      <c r="F606" t="s">
        <v>12</v>
      </c>
      <c r="G606" t="s">
        <v>13</v>
      </c>
      <c r="H606" t="s">
        <v>164</v>
      </c>
      <c r="I606" t="s">
        <v>38</v>
      </c>
      <c r="J606" t="str">
        <f>"FY" &amp; IF(MONTH(GiftData[[#This Row],[Gift_Date]])&gt;=7, RIGHT(YEAR(GiftData[[#This Row],[Gift_Date]])+1, 2), RIGHT(YEAR(GiftData[[#This Row],[Gift_Date]]), 2))</f>
        <v>FY25</v>
      </c>
      <c r="K606">
        <f>IF(COUNTIFS(GiftData[Constituent_ID], GiftData[[#This Row],[Constituent_ID]], GiftData[Fiscal_Year], "FY24")&gt;0, 1, 0)</f>
        <v>0</v>
      </c>
      <c r="L606">
        <f>IF(COUNTIFS(GiftData[Constituent_ID], GiftData[[#This Row],[Constituent_ID]], GiftData[Fiscal_Year], "FY25")&gt;0, 1, 0)</f>
        <v>1</v>
      </c>
      <c r="M606">
        <f>IF(COUNTIFS(GiftData[Constituent_ID], GiftData[[#This Row],[Constituent_ID]], GiftData[Fiscal_Year], "FY26")&gt;0, 1, 0)</f>
        <v>1</v>
      </c>
      <c r="N606" t="str" cm="1">
        <f t="array" ref="N6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7" spans="1:14" x14ac:dyDescent="0.2">
      <c r="A607" t="s">
        <v>935</v>
      </c>
      <c r="B607" t="s">
        <v>427</v>
      </c>
      <c r="C607" t="s">
        <v>35</v>
      </c>
      <c r="D607" s="1">
        <v>45779</v>
      </c>
      <c r="E607">
        <v>189.06</v>
      </c>
      <c r="F607" t="s">
        <v>12</v>
      </c>
      <c r="G607" t="s">
        <v>13</v>
      </c>
      <c r="H607" t="s">
        <v>14</v>
      </c>
      <c r="I607" t="s">
        <v>15</v>
      </c>
      <c r="J607" t="str">
        <f>"FY" &amp; IF(MONTH(GiftData[[#This Row],[Gift_Date]])&gt;=7, RIGHT(YEAR(GiftData[[#This Row],[Gift_Date]])+1, 2), RIGHT(YEAR(GiftData[[#This Row],[Gift_Date]]), 2))</f>
        <v>FY25</v>
      </c>
      <c r="K607">
        <f>IF(COUNTIFS(GiftData[Constituent_ID], GiftData[[#This Row],[Constituent_ID]], GiftData[Fiscal_Year], "FY24")&gt;0, 1, 0)</f>
        <v>1</v>
      </c>
      <c r="L607">
        <f>IF(COUNTIFS(GiftData[Constituent_ID], GiftData[[#This Row],[Constituent_ID]], GiftData[Fiscal_Year], "FY25")&gt;0, 1, 0)</f>
        <v>1</v>
      </c>
      <c r="M607">
        <f>IF(COUNTIFS(GiftData[Constituent_ID], GiftData[[#This Row],[Constituent_ID]], GiftData[Fiscal_Year], "FY26")&gt;0, 1, 0)</f>
        <v>0</v>
      </c>
      <c r="N607" t="str" cm="1">
        <f t="array" ref="N6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08" spans="1:14" x14ac:dyDescent="0.2">
      <c r="A608" t="s">
        <v>936</v>
      </c>
      <c r="B608" t="s">
        <v>177</v>
      </c>
      <c r="C608" t="s">
        <v>11</v>
      </c>
      <c r="D608" s="1">
        <v>45150</v>
      </c>
      <c r="E608">
        <v>290.88</v>
      </c>
      <c r="F608" t="s">
        <v>12</v>
      </c>
      <c r="G608" t="s">
        <v>13</v>
      </c>
      <c r="H608" t="s">
        <v>14</v>
      </c>
      <c r="I608" t="s">
        <v>38</v>
      </c>
      <c r="J608" t="str">
        <f>"FY" &amp; IF(MONTH(GiftData[[#This Row],[Gift_Date]])&gt;=7, RIGHT(YEAR(GiftData[[#This Row],[Gift_Date]])+1, 2), RIGHT(YEAR(GiftData[[#This Row],[Gift_Date]]), 2))</f>
        <v>FY24</v>
      </c>
      <c r="K608">
        <f>IF(COUNTIFS(GiftData[Constituent_ID], GiftData[[#This Row],[Constituent_ID]], GiftData[Fiscal_Year], "FY24")&gt;0, 1, 0)</f>
        <v>1</v>
      </c>
      <c r="L608">
        <f>IF(COUNTIFS(GiftData[Constituent_ID], GiftData[[#This Row],[Constituent_ID]], GiftData[Fiscal_Year], "FY25")&gt;0, 1, 0)</f>
        <v>1</v>
      </c>
      <c r="M608">
        <f>IF(COUNTIFS(GiftData[Constituent_ID], GiftData[[#This Row],[Constituent_ID]], GiftData[Fiscal_Year], "FY26")&gt;0, 1, 0)</f>
        <v>1</v>
      </c>
      <c r="N608" t="str" cm="1">
        <f t="array" ref="N6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09" spans="1:14" x14ac:dyDescent="0.2">
      <c r="A609" t="s">
        <v>937</v>
      </c>
      <c r="B609" t="s">
        <v>938</v>
      </c>
      <c r="C609" t="s">
        <v>18</v>
      </c>
      <c r="D609" s="1">
        <v>45361</v>
      </c>
      <c r="E609">
        <v>287.11</v>
      </c>
      <c r="F609" t="s">
        <v>25</v>
      </c>
      <c r="G609" t="s">
        <v>13</v>
      </c>
      <c r="H609" t="s">
        <v>20</v>
      </c>
      <c r="I609" t="s">
        <v>56</v>
      </c>
      <c r="J609" t="str">
        <f>"FY" &amp; IF(MONTH(GiftData[[#This Row],[Gift_Date]])&gt;=7, RIGHT(YEAR(GiftData[[#This Row],[Gift_Date]])+1, 2), RIGHT(YEAR(GiftData[[#This Row],[Gift_Date]]), 2))</f>
        <v>FY24</v>
      </c>
      <c r="K609">
        <f>IF(COUNTIFS(GiftData[Constituent_ID], GiftData[[#This Row],[Constituent_ID]], GiftData[Fiscal_Year], "FY24")&gt;0, 1, 0)</f>
        <v>1</v>
      </c>
      <c r="L609">
        <f>IF(COUNTIFS(GiftData[Constituent_ID], GiftData[[#This Row],[Constituent_ID]], GiftData[Fiscal_Year], "FY25")&gt;0, 1, 0)</f>
        <v>0</v>
      </c>
      <c r="M609">
        <f>IF(COUNTIFS(GiftData[Constituent_ID], GiftData[[#This Row],[Constituent_ID]], GiftData[Fiscal_Year], "FY26")&gt;0, 1, 0)</f>
        <v>1</v>
      </c>
      <c r="N609" t="str" cm="1">
        <f t="array" ref="N6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0" spans="1:14" x14ac:dyDescent="0.2">
      <c r="A610" t="s">
        <v>939</v>
      </c>
      <c r="B610" t="s">
        <v>381</v>
      </c>
      <c r="C610" t="s">
        <v>11</v>
      </c>
      <c r="D610" s="1">
        <v>45770</v>
      </c>
      <c r="E610">
        <v>210.99</v>
      </c>
      <c r="F610" t="s">
        <v>25</v>
      </c>
      <c r="G610" t="s">
        <v>13</v>
      </c>
      <c r="H610" t="s">
        <v>20</v>
      </c>
      <c r="I610" t="s">
        <v>15</v>
      </c>
      <c r="J610" t="str">
        <f>"FY" &amp; IF(MONTH(GiftData[[#This Row],[Gift_Date]])&gt;=7, RIGHT(YEAR(GiftData[[#This Row],[Gift_Date]])+1, 2), RIGHT(YEAR(GiftData[[#This Row],[Gift_Date]]), 2))</f>
        <v>FY25</v>
      </c>
      <c r="K610">
        <f>IF(COUNTIFS(GiftData[Constituent_ID], GiftData[[#This Row],[Constituent_ID]], GiftData[Fiscal_Year], "FY24")&gt;0, 1, 0)</f>
        <v>1</v>
      </c>
      <c r="L610">
        <f>IF(COUNTIFS(GiftData[Constituent_ID], GiftData[[#This Row],[Constituent_ID]], GiftData[Fiscal_Year], "FY25")&gt;0, 1, 0)</f>
        <v>1</v>
      </c>
      <c r="M610">
        <f>IF(COUNTIFS(GiftData[Constituent_ID], GiftData[[#This Row],[Constituent_ID]], GiftData[Fiscal_Year], "FY26")&gt;0, 1, 0)</f>
        <v>0</v>
      </c>
      <c r="N610" t="str" cm="1">
        <f t="array" ref="N6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11" spans="1:14" x14ac:dyDescent="0.2">
      <c r="A611" t="s">
        <v>940</v>
      </c>
      <c r="B611" t="s">
        <v>293</v>
      </c>
      <c r="C611" t="s">
        <v>18</v>
      </c>
      <c r="D611" s="1">
        <v>45574</v>
      </c>
      <c r="E611">
        <v>97.66</v>
      </c>
      <c r="F611" t="s">
        <v>12</v>
      </c>
      <c r="G611" t="s">
        <v>13</v>
      </c>
      <c r="H611" t="s">
        <v>51</v>
      </c>
      <c r="I611" t="s">
        <v>15</v>
      </c>
      <c r="J611" t="str">
        <f>"FY" &amp; IF(MONTH(GiftData[[#This Row],[Gift_Date]])&gt;=7, RIGHT(YEAR(GiftData[[#This Row],[Gift_Date]])+1, 2), RIGHT(YEAR(GiftData[[#This Row],[Gift_Date]]), 2))</f>
        <v>FY25</v>
      </c>
      <c r="K611">
        <f>IF(COUNTIFS(GiftData[Constituent_ID], GiftData[[#This Row],[Constituent_ID]], GiftData[Fiscal_Year], "FY24")&gt;0, 1, 0)</f>
        <v>1</v>
      </c>
      <c r="L611">
        <f>IF(COUNTIFS(GiftData[Constituent_ID], GiftData[[#This Row],[Constituent_ID]], GiftData[Fiscal_Year], "FY25")&gt;0, 1, 0)</f>
        <v>1</v>
      </c>
      <c r="M611">
        <f>IF(COUNTIFS(GiftData[Constituent_ID], GiftData[[#This Row],[Constituent_ID]], GiftData[Fiscal_Year], "FY26")&gt;0, 1, 0)</f>
        <v>0</v>
      </c>
      <c r="N611" t="str" cm="1">
        <f t="array" ref="N6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12" spans="1:14" x14ac:dyDescent="0.2">
      <c r="A612" t="s">
        <v>941</v>
      </c>
      <c r="B612" t="s">
        <v>289</v>
      </c>
      <c r="C612" t="s">
        <v>18</v>
      </c>
      <c r="D612" s="1">
        <v>45394</v>
      </c>
      <c r="E612">
        <v>205.69</v>
      </c>
      <c r="F612" t="s">
        <v>12</v>
      </c>
      <c r="G612" t="s">
        <v>13</v>
      </c>
      <c r="H612" t="s">
        <v>41</v>
      </c>
      <c r="I612" t="s">
        <v>15</v>
      </c>
      <c r="J612" t="str">
        <f>"FY" &amp; IF(MONTH(GiftData[[#This Row],[Gift_Date]])&gt;=7, RIGHT(YEAR(GiftData[[#This Row],[Gift_Date]])+1, 2), RIGHT(YEAR(GiftData[[#This Row],[Gift_Date]]), 2))</f>
        <v>FY24</v>
      </c>
      <c r="K612">
        <f>IF(COUNTIFS(GiftData[Constituent_ID], GiftData[[#This Row],[Constituent_ID]], GiftData[Fiscal_Year], "FY24")&gt;0, 1, 0)</f>
        <v>1</v>
      </c>
      <c r="L612">
        <f>IF(COUNTIFS(GiftData[Constituent_ID], GiftData[[#This Row],[Constituent_ID]], GiftData[Fiscal_Year], "FY25")&gt;0, 1, 0)</f>
        <v>1</v>
      </c>
      <c r="M612">
        <f>IF(COUNTIFS(GiftData[Constituent_ID], GiftData[[#This Row],[Constituent_ID]], GiftData[Fiscal_Year], "FY26")&gt;0, 1, 0)</f>
        <v>1</v>
      </c>
      <c r="N612" t="str" cm="1">
        <f t="array" ref="N6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3" spans="1:14" x14ac:dyDescent="0.2">
      <c r="A613" t="s">
        <v>942</v>
      </c>
      <c r="B613" t="s">
        <v>214</v>
      </c>
      <c r="C613" t="s">
        <v>28</v>
      </c>
      <c r="D613" s="1">
        <v>46118</v>
      </c>
      <c r="E613">
        <v>115</v>
      </c>
      <c r="F613" t="s">
        <v>12</v>
      </c>
      <c r="G613" t="s">
        <v>13</v>
      </c>
      <c r="H613" t="s">
        <v>41</v>
      </c>
      <c r="I613" t="s">
        <v>15</v>
      </c>
      <c r="J613" t="str">
        <f>"FY" &amp; IF(MONTH(GiftData[[#This Row],[Gift_Date]])&gt;=7, RIGHT(YEAR(GiftData[[#This Row],[Gift_Date]])+1, 2), RIGHT(YEAR(GiftData[[#This Row],[Gift_Date]]), 2))</f>
        <v>FY26</v>
      </c>
      <c r="K613">
        <f>IF(COUNTIFS(GiftData[Constituent_ID], GiftData[[#This Row],[Constituent_ID]], GiftData[Fiscal_Year], "FY24")&gt;0, 1, 0)</f>
        <v>0</v>
      </c>
      <c r="L613">
        <f>IF(COUNTIFS(GiftData[Constituent_ID], GiftData[[#This Row],[Constituent_ID]], GiftData[Fiscal_Year], "FY25")&gt;0, 1, 0)</f>
        <v>1</v>
      </c>
      <c r="M613">
        <f>IF(COUNTIFS(GiftData[Constituent_ID], GiftData[[#This Row],[Constituent_ID]], GiftData[Fiscal_Year], "FY26")&gt;0, 1, 0)</f>
        <v>1</v>
      </c>
      <c r="N613" t="str" cm="1">
        <f t="array" ref="N6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4" spans="1:14" x14ac:dyDescent="0.2">
      <c r="A614" t="s">
        <v>943</v>
      </c>
      <c r="B614" t="s">
        <v>228</v>
      </c>
      <c r="C614" t="s">
        <v>11</v>
      </c>
      <c r="D614" s="1">
        <v>45885</v>
      </c>
      <c r="E614">
        <v>140.76</v>
      </c>
      <c r="F614" t="s">
        <v>12</v>
      </c>
      <c r="G614" t="s">
        <v>13</v>
      </c>
      <c r="H614" t="s">
        <v>14</v>
      </c>
      <c r="I614" t="s">
        <v>15</v>
      </c>
      <c r="J614" t="str">
        <f>"FY" &amp; IF(MONTH(GiftData[[#This Row],[Gift_Date]])&gt;=7, RIGHT(YEAR(GiftData[[#This Row],[Gift_Date]])+1, 2), RIGHT(YEAR(GiftData[[#This Row],[Gift_Date]]), 2))</f>
        <v>FY26</v>
      </c>
      <c r="K614">
        <f>IF(COUNTIFS(GiftData[Constituent_ID], GiftData[[#This Row],[Constituent_ID]], GiftData[Fiscal_Year], "FY24")&gt;0, 1, 0)</f>
        <v>1</v>
      </c>
      <c r="L614">
        <f>IF(COUNTIFS(GiftData[Constituent_ID], GiftData[[#This Row],[Constituent_ID]], GiftData[Fiscal_Year], "FY25")&gt;0, 1, 0)</f>
        <v>1</v>
      </c>
      <c r="M614">
        <f>IF(COUNTIFS(GiftData[Constituent_ID], GiftData[[#This Row],[Constituent_ID]], GiftData[Fiscal_Year], "FY26")&gt;0, 1, 0)</f>
        <v>1</v>
      </c>
      <c r="N614" t="str" cm="1">
        <f t="array" ref="N6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5" spans="1:14" x14ac:dyDescent="0.2">
      <c r="A615" t="s">
        <v>944</v>
      </c>
      <c r="B615" t="s">
        <v>522</v>
      </c>
      <c r="C615" t="s">
        <v>48</v>
      </c>
      <c r="D615" s="1">
        <v>45452</v>
      </c>
      <c r="E615">
        <v>35.83</v>
      </c>
      <c r="F615" t="s">
        <v>12</v>
      </c>
      <c r="G615" t="s">
        <v>13</v>
      </c>
      <c r="H615" t="s">
        <v>20</v>
      </c>
      <c r="I615" t="s">
        <v>38</v>
      </c>
      <c r="J615" t="str">
        <f>"FY" &amp; IF(MONTH(GiftData[[#This Row],[Gift_Date]])&gt;=7, RIGHT(YEAR(GiftData[[#This Row],[Gift_Date]])+1, 2), RIGHT(YEAR(GiftData[[#This Row],[Gift_Date]]), 2))</f>
        <v>FY24</v>
      </c>
      <c r="K615">
        <f>IF(COUNTIFS(GiftData[Constituent_ID], GiftData[[#This Row],[Constituent_ID]], GiftData[Fiscal_Year], "FY24")&gt;0, 1, 0)</f>
        <v>1</v>
      </c>
      <c r="L615">
        <f>IF(COUNTIFS(GiftData[Constituent_ID], GiftData[[#This Row],[Constituent_ID]], GiftData[Fiscal_Year], "FY25")&gt;0, 1, 0)</f>
        <v>1</v>
      </c>
      <c r="M615">
        <f>IF(COUNTIFS(GiftData[Constituent_ID], GiftData[[#This Row],[Constituent_ID]], GiftData[Fiscal_Year], "FY26")&gt;0, 1, 0)</f>
        <v>1</v>
      </c>
      <c r="N615" t="str" cm="1">
        <f t="array" ref="N6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6" spans="1:14" x14ac:dyDescent="0.2">
      <c r="A616" t="s">
        <v>945</v>
      </c>
      <c r="B616" t="s">
        <v>182</v>
      </c>
      <c r="C616" t="s">
        <v>18</v>
      </c>
      <c r="D616" s="1">
        <v>45749</v>
      </c>
      <c r="E616">
        <v>128.63999999999999</v>
      </c>
      <c r="F616" t="s">
        <v>59</v>
      </c>
      <c r="G616" t="s">
        <v>13</v>
      </c>
      <c r="H616" t="s">
        <v>14</v>
      </c>
      <c r="I616" t="s">
        <v>15</v>
      </c>
      <c r="J616" t="str">
        <f>"FY" &amp; IF(MONTH(GiftData[[#This Row],[Gift_Date]])&gt;=7, RIGHT(YEAR(GiftData[[#This Row],[Gift_Date]])+1, 2), RIGHT(YEAR(GiftData[[#This Row],[Gift_Date]]), 2))</f>
        <v>FY25</v>
      </c>
      <c r="K616">
        <f>IF(COUNTIFS(GiftData[Constituent_ID], GiftData[[#This Row],[Constituent_ID]], GiftData[Fiscal_Year], "FY24")&gt;0, 1, 0)</f>
        <v>1</v>
      </c>
      <c r="L616">
        <f>IF(COUNTIFS(GiftData[Constituent_ID], GiftData[[#This Row],[Constituent_ID]], GiftData[Fiscal_Year], "FY25")&gt;0, 1, 0)</f>
        <v>1</v>
      </c>
      <c r="M616">
        <f>IF(COUNTIFS(GiftData[Constituent_ID], GiftData[[#This Row],[Constituent_ID]], GiftData[Fiscal_Year], "FY26")&gt;0, 1, 0)</f>
        <v>0</v>
      </c>
      <c r="N616" t="str" cm="1">
        <f t="array" ref="N6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17" spans="1:14" x14ac:dyDescent="0.2">
      <c r="A617" t="s">
        <v>946</v>
      </c>
      <c r="B617" t="s">
        <v>310</v>
      </c>
      <c r="C617" t="s">
        <v>11</v>
      </c>
      <c r="D617" s="1">
        <v>45489</v>
      </c>
      <c r="E617">
        <v>198.79</v>
      </c>
      <c r="F617" t="s">
        <v>59</v>
      </c>
      <c r="G617" t="s">
        <v>13</v>
      </c>
      <c r="H617" t="s">
        <v>20</v>
      </c>
      <c r="I617" t="s">
        <v>30</v>
      </c>
      <c r="J617" t="str">
        <f>"FY" &amp; IF(MONTH(GiftData[[#This Row],[Gift_Date]])&gt;=7, RIGHT(YEAR(GiftData[[#This Row],[Gift_Date]])+1, 2), RIGHT(YEAR(GiftData[[#This Row],[Gift_Date]]), 2))</f>
        <v>FY25</v>
      </c>
      <c r="K617">
        <f>IF(COUNTIFS(GiftData[Constituent_ID], GiftData[[#This Row],[Constituent_ID]], GiftData[Fiscal_Year], "FY24")&gt;0, 1, 0)</f>
        <v>1</v>
      </c>
      <c r="L617">
        <f>IF(COUNTIFS(GiftData[Constituent_ID], GiftData[[#This Row],[Constituent_ID]], GiftData[Fiscal_Year], "FY25")&gt;0, 1, 0)</f>
        <v>1</v>
      </c>
      <c r="M617">
        <f>IF(COUNTIFS(GiftData[Constituent_ID], GiftData[[#This Row],[Constituent_ID]], GiftData[Fiscal_Year], "FY26")&gt;0, 1, 0)</f>
        <v>1</v>
      </c>
      <c r="N617" t="str" cm="1">
        <f t="array" ref="N6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8" spans="1:14" x14ac:dyDescent="0.2">
      <c r="A618" t="s">
        <v>947</v>
      </c>
      <c r="B618" t="s">
        <v>948</v>
      </c>
      <c r="C618" t="s">
        <v>18</v>
      </c>
      <c r="D618" s="1">
        <v>45797</v>
      </c>
      <c r="E618">
        <v>189.33</v>
      </c>
      <c r="F618" t="s">
        <v>12</v>
      </c>
      <c r="G618" t="s">
        <v>29</v>
      </c>
      <c r="H618" t="s">
        <v>51</v>
      </c>
      <c r="I618" t="s">
        <v>15</v>
      </c>
      <c r="J618" t="str">
        <f>"FY" &amp; IF(MONTH(GiftData[[#This Row],[Gift_Date]])&gt;=7, RIGHT(YEAR(GiftData[[#This Row],[Gift_Date]])+1, 2), RIGHT(YEAR(GiftData[[#This Row],[Gift_Date]]), 2))</f>
        <v>FY25</v>
      </c>
      <c r="K618">
        <f>IF(COUNTIFS(GiftData[Constituent_ID], GiftData[[#This Row],[Constituent_ID]], GiftData[Fiscal_Year], "FY24")&gt;0, 1, 0)</f>
        <v>1</v>
      </c>
      <c r="L618">
        <f>IF(COUNTIFS(GiftData[Constituent_ID], GiftData[[#This Row],[Constituent_ID]], GiftData[Fiscal_Year], "FY25")&gt;0, 1, 0)</f>
        <v>1</v>
      </c>
      <c r="M618">
        <f>IF(COUNTIFS(GiftData[Constituent_ID], GiftData[[#This Row],[Constituent_ID]], GiftData[Fiscal_Year], "FY26")&gt;0, 1, 0)</f>
        <v>1</v>
      </c>
      <c r="N618" t="str" cm="1">
        <f t="array" ref="N6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19" spans="1:14" x14ac:dyDescent="0.2">
      <c r="A619" t="s">
        <v>949</v>
      </c>
      <c r="B619" t="s">
        <v>950</v>
      </c>
      <c r="C619" t="s">
        <v>48</v>
      </c>
      <c r="D619" s="1">
        <v>45564</v>
      </c>
      <c r="E619">
        <v>22.79</v>
      </c>
      <c r="F619" t="s">
        <v>25</v>
      </c>
      <c r="G619" t="s">
        <v>29</v>
      </c>
      <c r="H619" t="s">
        <v>20</v>
      </c>
      <c r="I619" t="s">
        <v>15</v>
      </c>
      <c r="J619" t="str">
        <f>"FY" &amp; IF(MONTH(GiftData[[#This Row],[Gift_Date]])&gt;=7, RIGHT(YEAR(GiftData[[#This Row],[Gift_Date]])+1, 2), RIGHT(YEAR(GiftData[[#This Row],[Gift_Date]]), 2))</f>
        <v>FY25</v>
      </c>
      <c r="K619">
        <f>IF(COUNTIFS(GiftData[Constituent_ID], GiftData[[#This Row],[Constituent_ID]], GiftData[Fiscal_Year], "FY24")&gt;0, 1, 0)</f>
        <v>0</v>
      </c>
      <c r="L619">
        <f>IF(COUNTIFS(GiftData[Constituent_ID], GiftData[[#This Row],[Constituent_ID]], GiftData[Fiscal_Year], "FY25")&gt;0, 1, 0)</f>
        <v>1</v>
      </c>
      <c r="M619">
        <f>IF(COUNTIFS(GiftData[Constituent_ID], GiftData[[#This Row],[Constituent_ID]], GiftData[Fiscal_Year], "FY26")&gt;0, 1, 0)</f>
        <v>0</v>
      </c>
      <c r="N619" t="str" cm="1">
        <f t="array" ref="N6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20" spans="1:14" x14ac:dyDescent="0.2">
      <c r="A620" t="s">
        <v>951</v>
      </c>
      <c r="B620" t="s">
        <v>242</v>
      </c>
      <c r="C620" t="s">
        <v>35</v>
      </c>
      <c r="D620" s="1">
        <v>46090</v>
      </c>
      <c r="E620">
        <v>137.71</v>
      </c>
      <c r="F620" t="s">
        <v>59</v>
      </c>
      <c r="G620" t="s">
        <v>13</v>
      </c>
      <c r="H620" t="s">
        <v>41</v>
      </c>
      <c r="I620" t="s">
        <v>30</v>
      </c>
      <c r="J620" t="str">
        <f>"FY" &amp; IF(MONTH(GiftData[[#This Row],[Gift_Date]])&gt;=7, RIGHT(YEAR(GiftData[[#This Row],[Gift_Date]])+1, 2), RIGHT(YEAR(GiftData[[#This Row],[Gift_Date]]), 2))</f>
        <v>FY26</v>
      </c>
      <c r="K620">
        <f>IF(COUNTIFS(GiftData[Constituent_ID], GiftData[[#This Row],[Constituent_ID]], GiftData[Fiscal_Year], "FY24")&gt;0, 1, 0)</f>
        <v>1</v>
      </c>
      <c r="L620">
        <f>IF(COUNTIFS(GiftData[Constituent_ID], GiftData[[#This Row],[Constituent_ID]], GiftData[Fiscal_Year], "FY25")&gt;0, 1, 0)</f>
        <v>1</v>
      </c>
      <c r="M620">
        <f>IF(COUNTIFS(GiftData[Constituent_ID], GiftData[[#This Row],[Constituent_ID]], GiftData[Fiscal_Year], "FY26")&gt;0, 1, 0)</f>
        <v>1</v>
      </c>
      <c r="N620" t="str" cm="1">
        <f t="array" ref="N6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1" spans="1:14" x14ac:dyDescent="0.2">
      <c r="A621" t="s">
        <v>952</v>
      </c>
      <c r="B621" t="s">
        <v>948</v>
      </c>
      <c r="C621" t="s">
        <v>35</v>
      </c>
      <c r="D621" s="1">
        <v>45190</v>
      </c>
      <c r="E621">
        <v>18.600000000000001</v>
      </c>
      <c r="F621" t="s">
        <v>12</v>
      </c>
      <c r="G621" t="s">
        <v>13</v>
      </c>
      <c r="H621" t="s">
        <v>20</v>
      </c>
      <c r="I621" t="s">
        <v>56</v>
      </c>
      <c r="J621" t="str">
        <f>"FY" &amp; IF(MONTH(GiftData[[#This Row],[Gift_Date]])&gt;=7, RIGHT(YEAR(GiftData[[#This Row],[Gift_Date]])+1, 2), RIGHT(YEAR(GiftData[[#This Row],[Gift_Date]]), 2))</f>
        <v>FY24</v>
      </c>
      <c r="K621">
        <f>IF(COUNTIFS(GiftData[Constituent_ID], GiftData[[#This Row],[Constituent_ID]], GiftData[Fiscal_Year], "FY24")&gt;0, 1, 0)</f>
        <v>1</v>
      </c>
      <c r="L621">
        <f>IF(COUNTIFS(GiftData[Constituent_ID], GiftData[[#This Row],[Constituent_ID]], GiftData[Fiscal_Year], "FY25")&gt;0, 1, 0)</f>
        <v>1</v>
      </c>
      <c r="M621">
        <f>IF(COUNTIFS(GiftData[Constituent_ID], GiftData[[#This Row],[Constituent_ID]], GiftData[Fiscal_Year], "FY26")&gt;0, 1, 0)</f>
        <v>1</v>
      </c>
      <c r="N621" t="str" cm="1">
        <f t="array" ref="N6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2" spans="1:14" x14ac:dyDescent="0.2">
      <c r="A622" t="s">
        <v>953</v>
      </c>
      <c r="B622" t="s">
        <v>921</v>
      </c>
      <c r="C622" t="s">
        <v>48</v>
      </c>
      <c r="D622" s="1">
        <v>45256</v>
      </c>
      <c r="E622">
        <v>152.29</v>
      </c>
      <c r="F622" t="s">
        <v>12</v>
      </c>
      <c r="G622" t="s">
        <v>13</v>
      </c>
      <c r="H622" t="s">
        <v>41</v>
      </c>
      <c r="I622" t="s">
        <v>15</v>
      </c>
      <c r="J622" t="str">
        <f>"FY" &amp; IF(MONTH(GiftData[[#This Row],[Gift_Date]])&gt;=7, RIGHT(YEAR(GiftData[[#This Row],[Gift_Date]])+1, 2), RIGHT(YEAR(GiftData[[#This Row],[Gift_Date]]), 2))</f>
        <v>FY24</v>
      </c>
      <c r="K622">
        <f>IF(COUNTIFS(GiftData[Constituent_ID], GiftData[[#This Row],[Constituent_ID]], GiftData[Fiscal_Year], "FY24")&gt;0, 1, 0)</f>
        <v>1</v>
      </c>
      <c r="L622">
        <f>IF(COUNTIFS(GiftData[Constituent_ID], GiftData[[#This Row],[Constituent_ID]], GiftData[Fiscal_Year], "FY25")&gt;0, 1, 0)</f>
        <v>1</v>
      </c>
      <c r="M622">
        <f>IF(COUNTIFS(GiftData[Constituent_ID], GiftData[[#This Row],[Constituent_ID]], GiftData[Fiscal_Year], "FY26")&gt;0, 1, 0)</f>
        <v>1</v>
      </c>
      <c r="N622" t="str" cm="1">
        <f t="array" ref="N6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3" spans="1:14" x14ac:dyDescent="0.2">
      <c r="A623" t="s">
        <v>954</v>
      </c>
      <c r="B623" t="s">
        <v>929</v>
      </c>
      <c r="C623" t="s">
        <v>11</v>
      </c>
      <c r="D623" s="1">
        <v>45297</v>
      </c>
      <c r="E623">
        <v>48.83</v>
      </c>
      <c r="F623" t="s">
        <v>59</v>
      </c>
      <c r="G623" t="s">
        <v>13</v>
      </c>
      <c r="H623" t="s">
        <v>164</v>
      </c>
      <c r="I623" t="s">
        <v>38</v>
      </c>
      <c r="J623" t="str">
        <f>"FY" &amp; IF(MONTH(GiftData[[#This Row],[Gift_Date]])&gt;=7, RIGHT(YEAR(GiftData[[#This Row],[Gift_Date]])+1, 2), RIGHT(YEAR(GiftData[[#This Row],[Gift_Date]]), 2))</f>
        <v>FY24</v>
      </c>
      <c r="K623">
        <f>IF(COUNTIFS(GiftData[Constituent_ID], GiftData[[#This Row],[Constituent_ID]], GiftData[Fiscal_Year], "FY24")&gt;0, 1, 0)</f>
        <v>1</v>
      </c>
      <c r="L623">
        <f>IF(COUNTIFS(GiftData[Constituent_ID], GiftData[[#This Row],[Constituent_ID]], GiftData[Fiscal_Year], "FY25")&gt;0, 1, 0)</f>
        <v>1</v>
      </c>
      <c r="M623">
        <f>IF(COUNTIFS(GiftData[Constituent_ID], GiftData[[#This Row],[Constituent_ID]], GiftData[Fiscal_Year], "FY26")&gt;0, 1, 0)</f>
        <v>0</v>
      </c>
      <c r="N623" t="str" cm="1">
        <f t="array" ref="N6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24" spans="1:14" x14ac:dyDescent="0.2">
      <c r="A624" t="s">
        <v>955</v>
      </c>
      <c r="B624" t="s">
        <v>956</v>
      </c>
      <c r="C624" t="s">
        <v>11</v>
      </c>
      <c r="D624" s="1">
        <v>45990</v>
      </c>
      <c r="E624">
        <v>1115.81</v>
      </c>
      <c r="F624" t="s">
        <v>12</v>
      </c>
      <c r="G624" t="s">
        <v>13</v>
      </c>
      <c r="H624" t="s">
        <v>41</v>
      </c>
      <c r="I624" t="s">
        <v>56</v>
      </c>
      <c r="J624" t="str">
        <f>"FY" &amp; IF(MONTH(GiftData[[#This Row],[Gift_Date]])&gt;=7, RIGHT(YEAR(GiftData[[#This Row],[Gift_Date]])+1, 2), RIGHT(YEAR(GiftData[[#This Row],[Gift_Date]]), 2))</f>
        <v>FY26</v>
      </c>
      <c r="K624">
        <f>IF(COUNTIFS(GiftData[Constituent_ID], GiftData[[#This Row],[Constituent_ID]], GiftData[Fiscal_Year], "FY24")&gt;0, 1, 0)</f>
        <v>1</v>
      </c>
      <c r="L624">
        <f>IF(COUNTIFS(GiftData[Constituent_ID], GiftData[[#This Row],[Constituent_ID]], GiftData[Fiscal_Year], "FY25")&gt;0, 1, 0)</f>
        <v>0</v>
      </c>
      <c r="M624">
        <f>IF(COUNTIFS(GiftData[Constituent_ID], GiftData[[#This Row],[Constituent_ID]], GiftData[Fiscal_Year], "FY26")&gt;0, 1, 0)</f>
        <v>1</v>
      </c>
      <c r="N624" t="str" cm="1">
        <f t="array" ref="N6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5" spans="1:14" x14ac:dyDescent="0.2">
      <c r="A625" t="s">
        <v>957</v>
      </c>
      <c r="B625" t="s">
        <v>958</v>
      </c>
      <c r="C625" t="s">
        <v>11</v>
      </c>
      <c r="D625" s="1">
        <v>45370</v>
      </c>
      <c r="E625">
        <v>141.88</v>
      </c>
      <c r="F625" t="s">
        <v>59</v>
      </c>
      <c r="G625" t="s">
        <v>13</v>
      </c>
      <c r="H625" t="s">
        <v>14</v>
      </c>
      <c r="I625" t="s">
        <v>15</v>
      </c>
      <c r="J625" t="str">
        <f>"FY" &amp; IF(MONTH(GiftData[[#This Row],[Gift_Date]])&gt;=7, RIGHT(YEAR(GiftData[[#This Row],[Gift_Date]])+1, 2), RIGHT(YEAR(GiftData[[#This Row],[Gift_Date]]), 2))</f>
        <v>FY24</v>
      </c>
      <c r="K625">
        <f>IF(COUNTIFS(GiftData[Constituent_ID], GiftData[[#This Row],[Constituent_ID]], GiftData[Fiscal_Year], "FY24")&gt;0, 1, 0)</f>
        <v>1</v>
      </c>
      <c r="L625">
        <f>IF(COUNTIFS(GiftData[Constituent_ID], GiftData[[#This Row],[Constituent_ID]], GiftData[Fiscal_Year], "FY25")&gt;0, 1, 0)</f>
        <v>1</v>
      </c>
      <c r="M625">
        <f>IF(COUNTIFS(GiftData[Constituent_ID], GiftData[[#This Row],[Constituent_ID]], GiftData[Fiscal_Year], "FY26")&gt;0, 1, 0)</f>
        <v>1</v>
      </c>
      <c r="N625" t="str" cm="1">
        <f t="array" ref="N6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6" spans="1:14" x14ac:dyDescent="0.2">
      <c r="A626" t="s">
        <v>959</v>
      </c>
      <c r="B626" t="s">
        <v>398</v>
      </c>
      <c r="C626" t="s">
        <v>28</v>
      </c>
      <c r="D626" s="1">
        <v>45507</v>
      </c>
      <c r="E626">
        <v>344.3</v>
      </c>
      <c r="F626" t="s">
        <v>19</v>
      </c>
      <c r="G626" t="s">
        <v>13</v>
      </c>
      <c r="H626" t="s">
        <v>164</v>
      </c>
      <c r="I626" t="s">
        <v>15</v>
      </c>
      <c r="J626" t="str">
        <f>"FY" &amp; IF(MONTH(GiftData[[#This Row],[Gift_Date]])&gt;=7, RIGHT(YEAR(GiftData[[#This Row],[Gift_Date]])+1, 2), RIGHT(YEAR(GiftData[[#This Row],[Gift_Date]]), 2))</f>
        <v>FY25</v>
      </c>
      <c r="K626">
        <f>IF(COUNTIFS(GiftData[Constituent_ID], GiftData[[#This Row],[Constituent_ID]], GiftData[Fiscal_Year], "FY24")&gt;0, 1, 0)</f>
        <v>1</v>
      </c>
      <c r="L626">
        <f>IF(COUNTIFS(GiftData[Constituent_ID], GiftData[[#This Row],[Constituent_ID]], GiftData[Fiscal_Year], "FY25")&gt;0, 1, 0)</f>
        <v>1</v>
      </c>
      <c r="M626">
        <f>IF(COUNTIFS(GiftData[Constituent_ID], GiftData[[#This Row],[Constituent_ID]], GiftData[Fiscal_Year], "FY26")&gt;0, 1, 0)</f>
        <v>1</v>
      </c>
      <c r="N626" t="str" cm="1">
        <f t="array" ref="N6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7" spans="1:14" x14ac:dyDescent="0.2">
      <c r="A627" t="s">
        <v>960</v>
      </c>
      <c r="B627" t="s">
        <v>535</v>
      </c>
      <c r="C627" t="s">
        <v>11</v>
      </c>
      <c r="D627" s="1">
        <v>45871</v>
      </c>
      <c r="E627">
        <v>1889.63</v>
      </c>
      <c r="F627" t="s">
        <v>25</v>
      </c>
      <c r="G627" t="s">
        <v>13</v>
      </c>
      <c r="H627" t="s">
        <v>41</v>
      </c>
      <c r="I627" t="s">
        <v>56</v>
      </c>
      <c r="J627" t="str">
        <f>"FY" &amp; IF(MONTH(GiftData[[#This Row],[Gift_Date]])&gt;=7, RIGHT(YEAR(GiftData[[#This Row],[Gift_Date]])+1, 2), RIGHT(YEAR(GiftData[[#This Row],[Gift_Date]]), 2))</f>
        <v>FY26</v>
      </c>
      <c r="K627">
        <f>IF(COUNTIFS(GiftData[Constituent_ID], GiftData[[#This Row],[Constituent_ID]], GiftData[Fiscal_Year], "FY24")&gt;0, 1, 0)</f>
        <v>1</v>
      </c>
      <c r="L627">
        <f>IF(COUNTIFS(GiftData[Constituent_ID], GiftData[[#This Row],[Constituent_ID]], GiftData[Fiscal_Year], "FY25")&gt;0, 1, 0)</f>
        <v>1</v>
      </c>
      <c r="M627">
        <f>IF(COUNTIFS(GiftData[Constituent_ID], GiftData[[#This Row],[Constituent_ID]], GiftData[Fiscal_Year], "FY26")&gt;0, 1, 0)</f>
        <v>1</v>
      </c>
      <c r="N627" t="str" cm="1">
        <f t="array" ref="N6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28" spans="1:14" x14ac:dyDescent="0.2">
      <c r="A628" t="s">
        <v>961</v>
      </c>
      <c r="B628" t="s">
        <v>67</v>
      </c>
      <c r="C628" t="s">
        <v>11</v>
      </c>
      <c r="D628" s="1">
        <v>45716</v>
      </c>
      <c r="E628">
        <v>41.99</v>
      </c>
      <c r="F628" t="s">
        <v>59</v>
      </c>
      <c r="G628" t="s">
        <v>29</v>
      </c>
      <c r="H628" t="s">
        <v>20</v>
      </c>
      <c r="I628" t="s">
        <v>15</v>
      </c>
      <c r="J628" t="str">
        <f>"FY" &amp; IF(MONTH(GiftData[[#This Row],[Gift_Date]])&gt;=7, RIGHT(YEAR(GiftData[[#This Row],[Gift_Date]])+1, 2), RIGHT(YEAR(GiftData[[#This Row],[Gift_Date]]), 2))</f>
        <v>FY25</v>
      </c>
      <c r="K628">
        <f>IF(COUNTIFS(GiftData[Constituent_ID], GiftData[[#This Row],[Constituent_ID]], GiftData[Fiscal_Year], "FY24")&gt;0, 1, 0)</f>
        <v>0</v>
      </c>
      <c r="L628">
        <f>IF(COUNTIFS(GiftData[Constituent_ID], GiftData[[#This Row],[Constituent_ID]], GiftData[Fiscal_Year], "FY25")&gt;0, 1, 0)</f>
        <v>1</v>
      </c>
      <c r="M628">
        <f>IF(COUNTIFS(GiftData[Constituent_ID], GiftData[[#This Row],[Constituent_ID]], GiftData[Fiscal_Year], "FY26")&gt;0, 1, 0)</f>
        <v>0</v>
      </c>
      <c r="N628" t="str" cm="1">
        <f t="array" ref="N6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29" spans="1:14" x14ac:dyDescent="0.2">
      <c r="A629" t="s">
        <v>962</v>
      </c>
      <c r="B629" t="s">
        <v>963</v>
      </c>
      <c r="C629" t="s">
        <v>48</v>
      </c>
      <c r="D629" s="1">
        <v>45892</v>
      </c>
      <c r="E629">
        <v>214.09</v>
      </c>
      <c r="F629" t="s">
        <v>25</v>
      </c>
      <c r="G629" t="s">
        <v>13</v>
      </c>
      <c r="H629" t="s">
        <v>20</v>
      </c>
      <c r="I629" t="s">
        <v>15</v>
      </c>
      <c r="J629" t="str">
        <f>"FY" &amp; IF(MONTH(GiftData[[#This Row],[Gift_Date]])&gt;=7, RIGHT(YEAR(GiftData[[#This Row],[Gift_Date]])+1, 2), RIGHT(YEAR(GiftData[[#This Row],[Gift_Date]]), 2))</f>
        <v>FY26</v>
      </c>
      <c r="K629">
        <f>IF(COUNTIFS(GiftData[Constituent_ID], GiftData[[#This Row],[Constituent_ID]], GiftData[Fiscal_Year], "FY24")&gt;0, 1, 0)</f>
        <v>0</v>
      </c>
      <c r="L629">
        <f>IF(COUNTIFS(GiftData[Constituent_ID], GiftData[[#This Row],[Constituent_ID]], GiftData[Fiscal_Year], "FY25")&gt;0, 1, 0)</f>
        <v>0</v>
      </c>
      <c r="M629">
        <f>IF(COUNTIFS(GiftData[Constituent_ID], GiftData[[#This Row],[Constituent_ID]], GiftData[Fiscal_Year], "FY26")&gt;0, 1, 0)</f>
        <v>1</v>
      </c>
      <c r="N629" t="str" cm="1">
        <f t="array" ref="N6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0" spans="1:14" x14ac:dyDescent="0.2">
      <c r="A630" t="s">
        <v>964</v>
      </c>
      <c r="B630" t="s">
        <v>965</v>
      </c>
      <c r="C630" t="s">
        <v>48</v>
      </c>
      <c r="D630" s="1">
        <v>45208</v>
      </c>
      <c r="E630">
        <v>26.01</v>
      </c>
      <c r="F630" t="s">
        <v>25</v>
      </c>
      <c r="G630" t="s">
        <v>13</v>
      </c>
      <c r="H630" t="s">
        <v>41</v>
      </c>
      <c r="I630" t="s">
        <v>15</v>
      </c>
      <c r="J630" t="str">
        <f>"FY" &amp; IF(MONTH(GiftData[[#This Row],[Gift_Date]])&gt;=7, RIGHT(YEAR(GiftData[[#This Row],[Gift_Date]])+1, 2), RIGHT(YEAR(GiftData[[#This Row],[Gift_Date]]), 2))</f>
        <v>FY24</v>
      </c>
      <c r="K630">
        <f>IF(COUNTIFS(GiftData[Constituent_ID], GiftData[[#This Row],[Constituent_ID]], GiftData[Fiscal_Year], "FY24")&gt;0, 1, 0)</f>
        <v>1</v>
      </c>
      <c r="L630">
        <f>IF(COUNTIFS(GiftData[Constituent_ID], GiftData[[#This Row],[Constituent_ID]], GiftData[Fiscal_Year], "FY25")&gt;0, 1, 0)</f>
        <v>1</v>
      </c>
      <c r="M630">
        <f>IF(COUNTIFS(GiftData[Constituent_ID], GiftData[[#This Row],[Constituent_ID]], GiftData[Fiscal_Year], "FY26")&gt;0, 1, 0)</f>
        <v>0</v>
      </c>
      <c r="N630" t="str" cm="1">
        <f t="array" ref="N6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31" spans="1:14" x14ac:dyDescent="0.2">
      <c r="A631" t="s">
        <v>966</v>
      </c>
      <c r="B631" t="s">
        <v>512</v>
      </c>
      <c r="C631" t="s">
        <v>35</v>
      </c>
      <c r="D631" s="1">
        <v>45927</v>
      </c>
      <c r="E631">
        <v>190.26</v>
      </c>
      <c r="F631" t="s">
        <v>12</v>
      </c>
      <c r="G631" t="s">
        <v>13</v>
      </c>
      <c r="H631" t="s">
        <v>41</v>
      </c>
      <c r="I631" t="s">
        <v>15</v>
      </c>
      <c r="J631" t="str">
        <f>"FY" &amp; IF(MONTH(GiftData[[#This Row],[Gift_Date]])&gt;=7, RIGHT(YEAR(GiftData[[#This Row],[Gift_Date]])+1, 2), RIGHT(YEAR(GiftData[[#This Row],[Gift_Date]]), 2))</f>
        <v>FY26</v>
      </c>
      <c r="K631">
        <f>IF(COUNTIFS(GiftData[Constituent_ID], GiftData[[#This Row],[Constituent_ID]], GiftData[Fiscal_Year], "FY24")&gt;0, 1, 0)</f>
        <v>0</v>
      </c>
      <c r="L631">
        <f>IF(COUNTIFS(GiftData[Constituent_ID], GiftData[[#This Row],[Constituent_ID]], GiftData[Fiscal_Year], "FY25")&gt;0, 1, 0)</f>
        <v>1</v>
      </c>
      <c r="M631">
        <f>IF(COUNTIFS(GiftData[Constituent_ID], GiftData[[#This Row],[Constituent_ID]], GiftData[Fiscal_Year], "FY26")&gt;0, 1, 0)</f>
        <v>1</v>
      </c>
      <c r="N631" t="str" cm="1">
        <f t="array" ref="N6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2" spans="1:14" x14ac:dyDescent="0.2">
      <c r="A632" t="s">
        <v>967</v>
      </c>
      <c r="B632" t="s">
        <v>488</v>
      </c>
      <c r="C632" t="s">
        <v>35</v>
      </c>
      <c r="D632" s="1">
        <v>45927</v>
      </c>
      <c r="E632">
        <v>1206.43</v>
      </c>
      <c r="F632" t="s">
        <v>12</v>
      </c>
      <c r="G632" t="s">
        <v>13</v>
      </c>
      <c r="H632" t="s">
        <v>20</v>
      </c>
      <c r="I632" t="s">
        <v>56</v>
      </c>
      <c r="J632" t="str">
        <f>"FY" &amp; IF(MONTH(GiftData[[#This Row],[Gift_Date]])&gt;=7, RIGHT(YEAR(GiftData[[#This Row],[Gift_Date]])+1, 2), RIGHT(YEAR(GiftData[[#This Row],[Gift_Date]]), 2))</f>
        <v>FY26</v>
      </c>
      <c r="K632">
        <f>IF(COUNTIFS(GiftData[Constituent_ID], GiftData[[#This Row],[Constituent_ID]], GiftData[Fiscal_Year], "FY24")&gt;0, 1, 0)</f>
        <v>1</v>
      </c>
      <c r="L632">
        <f>IF(COUNTIFS(GiftData[Constituent_ID], GiftData[[#This Row],[Constituent_ID]], GiftData[Fiscal_Year], "FY25")&gt;0, 1, 0)</f>
        <v>1</v>
      </c>
      <c r="M632">
        <f>IF(COUNTIFS(GiftData[Constituent_ID], GiftData[[#This Row],[Constituent_ID]], GiftData[Fiscal_Year], "FY26")&gt;0, 1, 0)</f>
        <v>1</v>
      </c>
      <c r="N632" t="str" cm="1">
        <f t="array" ref="N6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3" spans="1:14" x14ac:dyDescent="0.2">
      <c r="A633" t="s">
        <v>968</v>
      </c>
      <c r="B633" t="s">
        <v>400</v>
      </c>
      <c r="C633" t="s">
        <v>28</v>
      </c>
      <c r="D633" s="1">
        <v>45527</v>
      </c>
      <c r="E633">
        <v>53.72</v>
      </c>
      <c r="F633" t="s">
        <v>12</v>
      </c>
      <c r="G633" t="s">
        <v>13</v>
      </c>
      <c r="H633" t="s">
        <v>20</v>
      </c>
      <c r="I633" t="s">
        <v>15</v>
      </c>
      <c r="J633" t="str">
        <f>"FY" &amp; IF(MONTH(GiftData[[#This Row],[Gift_Date]])&gt;=7, RIGHT(YEAR(GiftData[[#This Row],[Gift_Date]])+1, 2), RIGHT(YEAR(GiftData[[#This Row],[Gift_Date]]), 2))</f>
        <v>FY25</v>
      </c>
      <c r="K633">
        <f>IF(COUNTIFS(GiftData[Constituent_ID], GiftData[[#This Row],[Constituent_ID]], GiftData[Fiscal_Year], "FY24")&gt;0, 1, 0)</f>
        <v>0</v>
      </c>
      <c r="L633">
        <f>IF(COUNTIFS(GiftData[Constituent_ID], GiftData[[#This Row],[Constituent_ID]], GiftData[Fiscal_Year], "FY25")&gt;0, 1, 0)</f>
        <v>1</v>
      </c>
      <c r="M633">
        <f>IF(COUNTIFS(GiftData[Constituent_ID], GiftData[[#This Row],[Constituent_ID]], GiftData[Fiscal_Year], "FY26")&gt;0, 1, 0)</f>
        <v>1</v>
      </c>
      <c r="N633" t="str" cm="1">
        <f t="array" ref="N6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4" spans="1:14" x14ac:dyDescent="0.2">
      <c r="A634" t="s">
        <v>969</v>
      </c>
      <c r="B634" t="s">
        <v>970</v>
      </c>
      <c r="C634" t="s">
        <v>18</v>
      </c>
      <c r="D634" s="1">
        <v>45231</v>
      </c>
      <c r="E634">
        <v>38.409999999999997</v>
      </c>
      <c r="F634" t="s">
        <v>25</v>
      </c>
      <c r="G634" t="s">
        <v>13</v>
      </c>
      <c r="H634" t="s">
        <v>164</v>
      </c>
      <c r="I634" t="s">
        <v>56</v>
      </c>
      <c r="J634" t="str">
        <f>"FY" &amp; IF(MONTH(GiftData[[#This Row],[Gift_Date]])&gt;=7, RIGHT(YEAR(GiftData[[#This Row],[Gift_Date]])+1, 2), RIGHT(YEAR(GiftData[[#This Row],[Gift_Date]]), 2))</f>
        <v>FY24</v>
      </c>
      <c r="K634">
        <f>IF(COUNTIFS(GiftData[Constituent_ID], GiftData[[#This Row],[Constituent_ID]], GiftData[Fiscal_Year], "FY24")&gt;0, 1, 0)</f>
        <v>1</v>
      </c>
      <c r="L634">
        <f>IF(COUNTIFS(GiftData[Constituent_ID], GiftData[[#This Row],[Constituent_ID]], GiftData[Fiscal_Year], "FY25")&gt;0, 1, 0)</f>
        <v>1</v>
      </c>
      <c r="M634">
        <f>IF(COUNTIFS(GiftData[Constituent_ID], GiftData[[#This Row],[Constituent_ID]], GiftData[Fiscal_Year], "FY26")&gt;0, 1, 0)</f>
        <v>1</v>
      </c>
      <c r="N634" t="str" cm="1">
        <f t="array" ref="N6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5" spans="1:14" x14ac:dyDescent="0.2">
      <c r="A635" t="s">
        <v>971</v>
      </c>
      <c r="B635" t="s">
        <v>303</v>
      </c>
      <c r="C635" t="s">
        <v>18</v>
      </c>
      <c r="D635" s="1">
        <v>45529</v>
      </c>
      <c r="E635">
        <v>107.93</v>
      </c>
      <c r="F635" t="s">
        <v>12</v>
      </c>
      <c r="G635" t="s">
        <v>13</v>
      </c>
      <c r="H635" t="s">
        <v>20</v>
      </c>
      <c r="I635" t="s">
        <v>15</v>
      </c>
      <c r="J635" t="str">
        <f>"FY" &amp; IF(MONTH(GiftData[[#This Row],[Gift_Date]])&gt;=7, RIGHT(YEAR(GiftData[[#This Row],[Gift_Date]])+1, 2), RIGHT(YEAR(GiftData[[#This Row],[Gift_Date]]), 2))</f>
        <v>FY25</v>
      </c>
      <c r="K635">
        <f>IF(COUNTIFS(GiftData[Constituent_ID], GiftData[[#This Row],[Constituent_ID]], GiftData[Fiscal_Year], "FY24")&gt;0, 1, 0)</f>
        <v>1</v>
      </c>
      <c r="L635">
        <f>IF(COUNTIFS(GiftData[Constituent_ID], GiftData[[#This Row],[Constituent_ID]], GiftData[Fiscal_Year], "FY25")&gt;0, 1, 0)</f>
        <v>1</v>
      </c>
      <c r="M635">
        <f>IF(COUNTIFS(GiftData[Constituent_ID], GiftData[[#This Row],[Constituent_ID]], GiftData[Fiscal_Year], "FY26")&gt;0, 1, 0)</f>
        <v>1</v>
      </c>
      <c r="N635" t="str" cm="1">
        <f t="array" ref="N6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6" spans="1:14" x14ac:dyDescent="0.2">
      <c r="A636" t="s">
        <v>972</v>
      </c>
      <c r="B636" t="s">
        <v>856</v>
      </c>
      <c r="C636" t="s">
        <v>28</v>
      </c>
      <c r="D636" s="1">
        <v>45875</v>
      </c>
      <c r="E636">
        <v>1736.39</v>
      </c>
      <c r="F636" t="s">
        <v>12</v>
      </c>
      <c r="G636" t="s">
        <v>13</v>
      </c>
      <c r="H636" t="s">
        <v>14</v>
      </c>
      <c r="I636" t="s">
        <v>15</v>
      </c>
      <c r="J636" t="str">
        <f>"FY" &amp; IF(MONTH(GiftData[[#This Row],[Gift_Date]])&gt;=7, RIGHT(YEAR(GiftData[[#This Row],[Gift_Date]])+1, 2), RIGHT(YEAR(GiftData[[#This Row],[Gift_Date]]), 2))</f>
        <v>FY26</v>
      </c>
      <c r="K636">
        <f>IF(COUNTIFS(GiftData[Constituent_ID], GiftData[[#This Row],[Constituent_ID]], GiftData[Fiscal_Year], "FY24")&gt;0, 1, 0)</f>
        <v>0</v>
      </c>
      <c r="L636">
        <f>IF(COUNTIFS(GiftData[Constituent_ID], GiftData[[#This Row],[Constituent_ID]], GiftData[Fiscal_Year], "FY25")&gt;0, 1, 0)</f>
        <v>1</v>
      </c>
      <c r="M636">
        <f>IF(COUNTIFS(GiftData[Constituent_ID], GiftData[[#This Row],[Constituent_ID]], GiftData[Fiscal_Year], "FY26")&gt;0, 1, 0)</f>
        <v>1</v>
      </c>
      <c r="N636" t="str" cm="1">
        <f t="array" ref="N6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7" spans="1:14" x14ac:dyDescent="0.2">
      <c r="A637" t="s">
        <v>973</v>
      </c>
      <c r="B637" t="s">
        <v>186</v>
      </c>
      <c r="C637" t="s">
        <v>28</v>
      </c>
      <c r="D637" s="1">
        <v>45590</v>
      </c>
      <c r="E637">
        <v>331.08</v>
      </c>
      <c r="F637" t="s">
        <v>12</v>
      </c>
      <c r="G637" t="s">
        <v>13</v>
      </c>
      <c r="H637" t="s">
        <v>20</v>
      </c>
      <c r="I637" t="s">
        <v>15</v>
      </c>
      <c r="J637" t="str">
        <f>"FY" &amp; IF(MONTH(GiftData[[#This Row],[Gift_Date]])&gt;=7, RIGHT(YEAR(GiftData[[#This Row],[Gift_Date]])+1, 2), RIGHT(YEAR(GiftData[[#This Row],[Gift_Date]]), 2))</f>
        <v>FY25</v>
      </c>
      <c r="K637">
        <f>IF(COUNTIFS(GiftData[Constituent_ID], GiftData[[#This Row],[Constituent_ID]], GiftData[Fiscal_Year], "FY24")&gt;0, 1, 0)</f>
        <v>1</v>
      </c>
      <c r="L637">
        <f>IF(COUNTIFS(GiftData[Constituent_ID], GiftData[[#This Row],[Constituent_ID]], GiftData[Fiscal_Year], "FY25")&gt;0, 1, 0)</f>
        <v>1</v>
      </c>
      <c r="M637">
        <f>IF(COUNTIFS(GiftData[Constituent_ID], GiftData[[#This Row],[Constituent_ID]], GiftData[Fiscal_Year], "FY26")&gt;0, 1, 0)</f>
        <v>0</v>
      </c>
      <c r="N637" t="str" cm="1">
        <f t="array" ref="N6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38" spans="1:14" x14ac:dyDescent="0.2">
      <c r="A638" t="s">
        <v>974</v>
      </c>
      <c r="B638" t="s">
        <v>958</v>
      </c>
      <c r="C638" t="s">
        <v>18</v>
      </c>
      <c r="D638" s="1">
        <v>45626</v>
      </c>
      <c r="E638">
        <v>37.47</v>
      </c>
      <c r="F638" t="s">
        <v>25</v>
      </c>
      <c r="G638" t="s">
        <v>29</v>
      </c>
      <c r="H638" t="s">
        <v>51</v>
      </c>
      <c r="I638" t="s">
        <v>38</v>
      </c>
      <c r="J638" t="str">
        <f>"FY" &amp; IF(MONTH(GiftData[[#This Row],[Gift_Date]])&gt;=7, RIGHT(YEAR(GiftData[[#This Row],[Gift_Date]])+1, 2), RIGHT(YEAR(GiftData[[#This Row],[Gift_Date]]), 2))</f>
        <v>FY25</v>
      </c>
      <c r="K638">
        <f>IF(COUNTIFS(GiftData[Constituent_ID], GiftData[[#This Row],[Constituent_ID]], GiftData[Fiscal_Year], "FY24")&gt;0, 1, 0)</f>
        <v>1</v>
      </c>
      <c r="L638">
        <f>IF(COUNTIFS(GiftData[Constituent_ID], GiftData[[#This Row],[Constituent_ID]], GiftData[Fiscal_Year], "FY25")&gt;0, 1, 0)</f>
        <v>1</v>
      </c>
      <c r="M638">
        <f>IF(COUNTIFS(GiftData[Constituent_ID], GiftData[[#This Row],[Constituent_ID]], GiftData[Fiscal_Year], "FY26")&gt;0, 1, 0)</f>
        <v>1</v>
      </c>
      <c r="N638" t="str" cm="1">
        <f t="array" ref="N6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39" spans="1:14" x14ac:dyDescent="0.2">
      <c r="A639" t="s">
        <v>975</v>
      </c>
      <c r="B639" t="s">
        <v>958</v>
      </c>
      <c r="C639" t="s">
        <v>48</v>
      </c>
      <c r="D639" s="1">
        <v>45262</v>
      </c>
      <c r="E639">
        <v>805.59</v>
      </c>
      <c r="F639" t="s">
        <v>19</v>
      </c>
      <c r="G639" t="s">
        <v>29</v>
      </c>
      <c r="H639" t="s">
        <v>20</v>
      </c>
      <c r="I639" t="s">
        <v>56</v>
      </c>
      <c r="J639" t="str">
        <f>"FY" &amp; IF(MONTH(GiftData[[#This Row],[Gift_Date]])&gt;=7, RIGHT(YEAR(GiftData[[#This Row],[Gift_Date]])+1, 2), RIGHT(YEAR(GiftData[[#This Row],[Gift_Date]]), 2))</f>
        <v>FY24</v>
      </c>
      <c r="K639">
        <f>IF(COUNTIFS(GiftData[Constituent_ID], GiftData[[#This Row],[Constituent_ID]], GiftData[Fiscal_Year], "FY24")&gt;0, 1, 0)</f>
        <v>1</v>
      </c>
      <c r="L639">
        <f>IF(COUNTIFS(GiftData[Constituent_ID], GiftData[[#This Row],[Constituent_ID]], GiftData[Fiscal_Year], "FY25")&gt;0, 1, 0)</f>
        <v>1</v>
      </c>
      <c r="M639">
        <f>IF(COUNTIFS(GiftData[Constituent_ID], GiftData[[#This Row],[Constituent_ID]], GiftData[Fiscal_Year], "FY26")&gt;0, 1, 0)</f>
        <v>1</v>
      </c>
      <c r="N639" t="str" cm="1">
        <f t="array" ref="N6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0" spans="1:14" x14ac:dyDescent="0.2">
      <c r="A640" t="s">
        <v>976</v>
      </c>
      <c r="B640" t="s">
        <v>236</v>
      </c>
      <c r="C640" t="s">
        <v>18</v>
      </c>
      <c r="D640" s="1">
        <v>45199</v>
      </c>
      <c r="E640">
        <v>15</v>
      </c>
      <c r="F640" t="s">
        <v>19</v>
      </c>
      <c r="G640" t="s">
        <v>13</v>
      </c>
      <c r="H640" t="s">
        <v>41</v>
      </c>
      <c r="I640" t="s">
        <v>15</v>
      </c>
      <c r="J640" t="str">
        <f>"FY" &amp; IF(MONTH(GiftData[[#This Row],[Gift_Date]])&gt;=7, RIGHT(YEAR(GiftData[[#This Row],[Gift_Date]])+1, 2), RIGHT(YEAR(GiftData[[#This Row],[Gift_Date]]), 2))</f>
        <v>FY24</v>
      </c>
      <c r="K640">
        <f>IF(COUNTIFS(GiftData[Constituent_ID], GiftData[[#This Row],[Constituent_ID]], GiftData[Fiscal_Year], "FY24")&gt;0, 1, 0)</f>
        <v>1</v>
      </c>
      <c r="L640">
        <f>IF(COUNTIFS(GiftData[Constituent_ID], GiftData[[#This Row],[Constituent_ID]], GiftData[Fiscal_Year], "FY25")&gt;0, 1, 0)</f>
        <v>1</v>
      </c>
      <c r="M640">
        <f>IF(COUNTIFS(GiftData[Constituent_ID], GiftData[[#This Row],[Constituent_ID]], GiftData[Fiscal_Year], "FY26")&gt;0, 1, 0)</f>
        <v>1</v>
      </c>
      <c r="N640" t="str" cm="1">
        <f t="array" ref="N6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1" spans="1:14" x14ac:dyDescent="0.2">
      <c r="A641" t="s">
        <v>977</v>
      </c>
      <c r="B641" t="s">
        <v>802</v>
      </c>
      <c r="C641" t="s">
        <v>11</v>
      </c>
      <c r="D641" s="1">
        <v>46089</v>
      </c>
      <c r="E641">
        <v>1953.79</v>
      </c>
      <c r="F641" t="s">
        <v>12</v>
      </c>
      <c r="G641" t="s">
        <v>13</v>
      </c>
      <c r="H641" t="s">
        <v>20</v>
      </c>
      <c r="I641" t="s">
        <v>15</v>
      </c>
      <c r="J641" t="str">
        <f>"FY" &amp; IF(MONTH(GiftData[[#This Row],[Gift_Date]])&gt;=7, RIGHT(YEAR(GiftData[[#This Row],[Gift_Date]])+1, 2), RIGHT(YEAR(GiftData[[#This Row],[Gift_Date]]), 2))</f>
        <v>FY26</v>
      </c>
      <c r="K641">
        <f>IF(COUNTIFS(GiftData[Constituent_ID], GiftData[[#This Row],[Constituent_ID]], GiftData[Fiscal_Year], "FY24")&gt;0, 1, 0)</f>
        <v>1</v>
      </c>
      <c r="L641">
        <f>IF(COUNTIFS(GiftData[Constituent_ID], GiftData[[#This Row],[Constituent_ID]], GiftData[Fiscal_Year], "FY25")&gt;0, 1, 0)</f>
        <v>1</v>
      </c>
      <c r="M641">
        <f>IF(COUNTIFS(GiftData[Constituent_ID], GiftData[[#This Row],[Constituent_ID]], GiftData[Fiscal_Year], "FY26")&gt;0, 1, 0)</f>
        <v>1</v>
      </c>
      <c r="N641" t="str" cm="1">
        <f t="array" ref="N6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2" spans="1:14" x14ac:dyDescent="0.2">
      <c r="A642" t="s">
        <v>978</v>
      </c>
      <c r="B642" t="s">
        <v>365</v>
      </c>
      <c r="C642" t="s">
        <v>28</v>
      </c>
      <c r="D642" s="1">
        <v>45562</v>
      </c>
      <c r="E642">
        <v>369.96</v>
      </c>
      <c r="F642" t="s">
        <v>59</v>
      </c>
      <c r="G642" t="s">
        <v>13</v>
      </c>
      <c r="H642" t="s">
        <v>41</v>
      </c>
      <c r="I642" t="s">
        <v>38</v>
      </c>
      <c r="J642" t="str">
        <f>"FY" &amp; IF(MONTH(GiftData[[#This Row],[Gift_Date]])&gt;=7, RIGHT(YEAR(GiftData[[#This Row],[Gift_Date]])+1, 2), RIGHT(YEAR(GiftData[[#This Row],[Gift_Date]]), 2))</f>
        <v>FY25</v>
      </c>
      <c r="K642">
        <f>IF(COUNTIFS(GiftData[Constituent_ID], GiftData[[#This Row],[Constituent_ID]], GiftData[Fiscal_Year], "FY24")&gt;0, 1, 0)</f>
        <v>1</v>
      </c>
      <c r="L642">
        <f>IF(COUNTIFS(GiftData[Constituent_ID], GiftData[[#This Row],[Constituent_ID]], GiftData[Fiscal_Year], "FY25")&gt;0, 1, 0)</f>
        <v>1</v>
      </c>
      <c r="M642">
        <f>IF(COUNTIFS(GiftData[Constituent_ID], GiftData[[#This Row],[Constituent_ID]], GiftData[Fiscal_Year], "FY26")&gt;0, 1, 0)</f>
        <v>1</v>
      </c>
      <c r="N642" t="str" cm="1">
        <f t="array" ref="N6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3" spans="1:14" x14ac:dyDescent="0.2">
      <c r="A643" t="s">
        <v>979</v>
      </c>
      <c r="B643" t="s">
        <v>771</v>
      </c>
      <c r="C643" t="s">
        <v>18</v>
      </c>
      <c r="D643" s="1">
        <v>45705</v>
      </c>
      <c r="E643">
        <v>1203.06</v>
      </c>
      <c r="F643" t="s">
        <v>25</v>
      </c>
      <c r="G643" t="s">
        <v>13</v>
      </c>
      <c r="H643" t="s">
        <v>51</v>
      </c>
      <c r="I643" t="s">
        <v>38</v>
      </c>
      <c r="J643" t="str">
        <f>"FY" &amp; IF(MONTH(GiftData[[#This Row],[Gift_Date]])&gt;=7, RIGHT(YEAR(GiftData[[#This Row],[Gift_Date]])+1, 2), RIGHT(YEAR(GiftData[[#This Row],[Gift_Date]]), 2))</f>
        <v>FY25</v>
      </c>
      <c r="K643">
        <f>IF(COUNTIFS(GiftData[Constituent_ID], GiftData[[#This Row],[Constituent_ID]], GiftData[Fiscal_Year], "FY24")&gt;0, 1, 0)</f>
        <v>0</v>
      </c>
      <c r="L643">
        <f>IF(COUNTIFS(GiftData[Constituent_ID], GiftData[[#This Row],[Constituent_ID]], GiftData[Fiscal_Year], "FY25")&gt;0, 1, 0)</f>
        <v>1</v>
      </c>
      <c r="M643">
        <f>IF(COUNTIFS(GiftData[Constituent_ID], GiftData[[#This Row],[Constituent_ID]], GiftData[Fiscal_Year], "FY26")&gt;0, 1, 0)</f>
        <v>1</v>
      </c>
      <c r="N643" t="str" cm="1">
        <f t="array" ref="N6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4" spans="1:14" x14ac:dyDescent="0.2">
      <c r="A644" t="s">
        <v>980</v>
      </c>
      <c r="B644" t="s">
        <v>118</v>
      </c>
      <c r="C644" t="s">
        <v>18</v>
      </c>
      <c r="D644" s="1">
        <v>45617</v>
      </c>
      <c r="E644">
        <v>15</v>
      </c>
      <c r="F644" t="s">
        <v>12</v>
      </c>
      <c r="G644" t="s">
        <v>13</v>
      </c>
      <c r="H644" t="s">
        <v>14</v>
      </c>
      <c r="I644" t="s">
        <v>15</v>
      </c>
      <c r="J644" t="str">
        <f>"FY" &amp; IF(MONTH(GiftData[[#This Row],[Gift_Date]])&gt;=7, RIGHT(YEAR(GiftData[[#This Row],[Gift_Date]])+1, 2), RIGHT(YEAR(GiftData[[#This Row],[Gift_Date]]), 2))</f>
        <v>FY25</v>
      </c>
      <c r="K644">
        <f>IF(COUNTIFS(GiftData[Constituent_ID], GiftData[[#This Row],[Constituent_ID]], GiftData[Fiscal_Year], "FY24")&gt;0, 1, 0)</f>
        <v>1</v>
      </c>
      <c r="L644">
        <f>IF(COUNTIFS(GiftData[Constituent_ID], GiftData[[#This Row],[Constituent_ID]], GiftData[Fiscal_Year], "FY25")&gt;0, 1, 0)</f>
        <v>1</v>
      </c>
      <c r="M644">
        <f>IF(COUNTIFS(GiftData[Constituent_ID], GiftData[[#This Row],[Constituent_ID]], GiftData[Fiscal_Year], "FY26")&gt;0, 1, 0)</f>
        <v>1</v>
      </c>
      <c r="N644" t="str" cm="1">
        <f t="array" ref="N6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5" spans="1:14" x14ac:dyDescent="0.2">
      <c r="A645" t="s">
        <v>981</v>
      </c>
      <c r="B645" t="s">
        <v>67</v>
      </c>
      <c r="C645" t="s">
        <v>11</v>
      </c>
      <c r="D645" s="1">
        <v>45493</v>
      </c>
      <c r="E645">
        <v>151.44999999999999</v>
      </c>
      <c r="F645" t="s">
        <v>12</v>
      </c>
      <c r="G645" t="s">
        <v>13</v>
      </c>
      <c r="H645" t="s">
        <v>14</v>
      </c>
      <c r="I645" t="s">
        <v>38</v>
      </c>
      <c r="J645" t="str">
        <f>"FY" &amp; IF(MONTH(GiftData[[#This Row],[Gift_Date]])&gt;=7, RIGHT(YEAR(GiftData[[#This Row],[Gift_Date]])+1, 2), RIGHT(YEAR(GiftData[[#This Row],[Gift_Date]]), 2))</f>
        <v>FY25</v>
      </c>
      <c r="K645">
        <f>IF(COUNTIFS(GiftData[Constituent_ID], GiftData[[#This Row],[Constituent_ID]], GiftData[Fiscal_Year], "FY24")&gt;0, 1, 0)</f>
        <v>0</v>
      </c>
      <c r="L645">
        <f>IF(COUNTIFS(GiftData[Constituent_ID], GiftData[[#This Row],[Constituent_ID]], GiftData[Fiscal_Year], "FY25")&gt;0, 1, 0)</f>
        <v>1</v>
      </c>
      <c r="M645">
        <f>IF(COUNTIFS(GiftData[Constituent_ID], GiftData[[#This Row],[Constituent_ID]], GiftData[Fiscal_Year], "FY26")&gt;0, 1, 0)</f>
        <v>0</v>
      </c>
      <c r="N645" t="str" cm="1">
        <f t="array" ref="N6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46" spans="1:14" x14ac:dyDescent="0.2">
      <c r="A646" t="s">
        <v>982</v>
      </c>
      <c r="B646" t="s">
        <v>242</v>
      </c>
      <c r="C646" t="s">
        <v>35</v>
      </c>
      <c r="D646" s="1">
        <v>45512</v>
      </c>
      <c r="E646">
        <v>102.1</v>
      </c>
      <c r="F646" t="s">
        <v>12</v>
      </c>
      <c r="G646" t="s">
        <v>13</v>
      </c>
      <c r="H646" t="s">
        <v>14</v>
      </c>
      <c r="I646" t="s">
        <v>38</v>
      </c>
      <c r="J646" t="str">
        <f>"FY" &amp; IF(MONTH(GiftData[[#This Row],[Gift_Date]])&gt;=7, RIGHT(YEAR(GiftData[[#This Row],[Gift_Date]])+1, 2), RIGHT(YEAR(GiftData[[#This Row],[Gift_Date]]), 2))</f>
        <v>FY25</v>
      </c>
      <c r="K646">
        <f>IF(COUNTIFS(GiftData[Constituent_ID], GiftData[[#This Row],[Constituent_ID]], GiftData[Fiscal_Year], "FY24")&gt;0, 1, 0)</f>
        <v>1</v>
      </c>
      <c r="L646">
        <f>IF(COUNTIFS(GiftData[Constituent_ID], GiftData[[#This Row],[Constituent_ID]], GiftData[Fiscal_Year], "FY25")&gt;0, 1, 0)</f>
        <v>1</v>
      </c>
      <c r="M646">
        <f>IF(COUNTIFS(GiftData[Constituent_ID], GiftData[[#This Row],[Constituent_ID]], GiftData[Fiscal_Year], "FY26")&gt;0, 1, 0)</f>
        <v>1</v>
      </c>
      <c r="N646" t="str" cm="1">
        <f t="array" ref="N6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7" spans="1:14" x14ac:dyDescent="0.2">
      <c r="A647" t="s">
        <v>983</v>
      </c>
      <c r="B647" t="s">
        <v>748</v>
      </c>
      <c r="C647" t="s">
        <v>11</v>
      </c>
      <c r="D647" s="1">
        <v>45353</v>
      </c>
      <c r="E647">
        <v>32.82</v>
      </c>
      <c r="F647" t="s">
        <v>59</v>
      </c>
      <c r="G647" t="s">
        <v>13</v>
      </c>
      <c r="H647" t="s">
        <v>20</v>
      </c>
      <c r="I647" t="s">
        <v>15</v>
      </c>
      <c r="J647" t="str">
        <f>"FY" &amp; IF(MONTH(GiftData[[#This Row],[Gift_Date]])&gt;=7, RIGHT(YEAR(GiftData[[#This Row],[Gift_Date]])+1, 2), RIGHT(YEAR(GiftData[[#This Row],[Gift_Date]]), 2))</f>
        <v>FY24</v>
      </c>
      <c r="K647">
        <f>IF(COUNTIFS(GiftData[Constituent_ID], GiftData[[#This Row],[Constituent_ID]], GiftData[Fiscal_Year], "FY24")&gt;0, 1, 0)</f>
        <v>1</v>
      </c>
      <c r="L647">
        <f>IF(COUNTIFS(GiftData[Constituent_ID], GiftData[[#This Row],[Constituent_ID]], GiftData[Fiscal_Year], "FY25")&gt;0, 1, 0)</f>
        <v>1</v>
      </c>
      <c r="M647">
        <f>IF(COUNTIFS(GiftData[Constituent_ID], GiftData[[#This Row],[Constituent_ID]], GiftData[Fiscal_Year], "FY26")&gt;0, 1, 0)</f>
        <v>1</v>
      </c>
      <c r="N647" t="str" cm="1">
        <f t="array" ref="N6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8" spans="1:14" x14ac:dyDescent="0.2">
      <c r="A648" t="s">
        <v>984</v>
      </c>
      <c r="B648" t="s">
        <v>632</v>
      </c>
      <c r="C648" t="s">
        <v>28</v>
      </c>
      <c r="D648" s="1">
        <v>45849</v>
      </c>
      <c r="E648">
        <v>22.54</v>
      </c>
      <c r="F648" t="s">
        <v>12</v>
      </c>
      <c r="G648" t="s">
        <v>13</v>
      </c>
      <c r="H648" t="s">
        <v>51</v>
      </c>
      <c r="I648" t="s">
        <v>15</v>
      </c>
      <c r="J648" t="str">
        <f>"FY" &amp; IF(MONTH(GiftData[[#This Row],[Gift_Date]])&gt;=7, RIGHT(YEAR(GiftData[[#This Row],[Gift_Date]])+1, 2), RIGHT(YEAR(GiftData[[#This Row],[Gift_Date]]), 2))</f>
        <v>FY26</v>
      </c>
      <c r="K648">
        <f>IF(COUNTIFS(GiftData[Constituent_ID], GiftData[[#This Row],[Constituent_ID]], GiftData[Fiscal_Year], "FY24")&gt;0, 1, 0)</f>
        <v>1</v>
      </c>
      <c r="L648">
        <f>IF(COUNTIFS(GiftData[Constituent_ID], GiftData[[#This Row],[Constituent_ID]], GiftData[Fiscal_Year], "FY25")&gt;0, 1, 0)</f>
        <v>1</v>
      </c>
      <c r="M648">
        <f>IF(COUNTIFS(GiftData[Constituent_ID], GiftData[[#This Row],[Constituent_ID]], GiftData[Fiscal_Year], "FY26")&gt;0, 1, 0)</f>
        <v>1</v>
      </c>
      <c r="N648" t="str" cm="1">
        <f t="array" ref="N6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49" spans="1:14" x14ac:dyDescent="0.2">
      <c r="A649" t="s">
        <v>985</v>
      </c>
      <c r="B649" t="s">
        <v>986</v>
      </c>
      <c r="C649" t="s">
        <v>28</v>
      </c>
      <c r="D649" s="1">
        <v>45768</v>
      </c>
      <c r="E649">
        <v>234.91</v>
      </c>
      <c r="F649" t="s">
        <v>12</v>
      </c>
      <c r="G649" t="s">
        <v>29</v>
      </c>
      <c r="H649" t="s">
        <v>20</v>
      </c>
      <c r="I649" t="s">
        <v>15</v>
      </c>
      <c r="J649" t="str">
        <f>"FY" &amp; IF(MONTH(GiftData[[#This Row],[Gift_Date]])&gt;=7, RIGHT(YEAR(GiftData[[#This Row],[Gift_Date]])+1, 2), RIGHT(YEAR(GiftData[[#This Row],[Gift_Date]]), 2))</f>
        <v>FY25</v>
      </c>
      <c r="K649">
        <f>IF(COUNTIFS(GiftData[Constituent_ID], GiftData[[#This Row],[Constituent_ID]], GiftData[Fiscal_Year], "FY24")&gt;0, 1, 0)</f>
        <v>1</v>
      </c>
      <c r="L649">
        <f>IF(COUNTIFS(GiftData[Constituent_ID], GiftData[[#This Row],[Constituent_ID]], GiftData[Fiscal_Year], "FY25")&gt;0, 1, 0)</f>
        <v>1</v>
      </c>
      <c r="M649">
        <f>IF(COUNTIFS(GiftData[Constituent_ID], GiftData[[#This Row],[Constituent_ID]], GiftData[Fiscal_Year], "FY26")&gt;0, 1, 0)</f>
        <v>0</v>
      </c>
      <c r="N649" t="str" cm="1">
        <f t="array" ref="N6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0" spans="1:14" x14ac:dyDescent="0.2">
      <c r="A650" t="s">
        <v>987</v>
      </c>
      <c r="B650" t="s">
        <v>474</v>
      </c>
      <c r="C650" t="s">
        <v>18</v>
      </c>
      <c r="D650" s="1">
        <v>45757</v>
      </c>
      <c r="E650">
        <v>264.29000000000002</v>
      </c>
      <c r="F650" t="s">
        <v>25</v>
      </c>
      <c r="G650" t="s">
        <v>13</v>
      </c>
      <c r="H650" t="s">
        <v>41</v>
      </c>
      <c r="I650" t="s">
        <v>38</v>
      </c>
      <c r="J650" t="str">
        <f>"FY" &amp; IF(MONTH(GiftData[[#This Row],[Gift_Date]])&gt;=7, RIGHT(YEAR(GiftData[[#This Row],[Gift_Date]])+1, 2), RIGHT(YEAR(GiftData[[#This Row],[Gift_Date]]), 2))</f>
        <v>FY25</v>
      </c>
      <c r="K650">
        <f>IF(COUNTIFS(GiftData[Constituent_ID], GiftData[[#This Row],[Constituent_ID]], GiftData[Fiscal_Year], "FY24")&gt;0, 1, 0)</f>
        <v>1</v>
      </c>
      <c r="L650">
        <f>IF(COUNTIFS(GiftData[Constituent_ID], GiftData[[#This Row],[Constituent_ID]], GiftData[Fiscal_Year], "FY25")&gt;0, 1, 0)</f>
        <v>1</v>
      </c>
      <c r="M650">
        <f>IF(COUNTIFS(GiftData[Constituent_ID], GiftData[[#This Row],[Constituent_ID]], GiftData[Fiscal_Year], "FY26")&gt;0, 1, 0)</f>
        <v>1</v>
      </c>
      <c r="N650" t="str" cm="1">
        <f t="array" ref="N6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51" spans="1:14" x14ac:dyDescent="0.2">
      <c r="A651" t="s">
        <v>988</v>
      </c>
      <c r="B651" t="s">
        <v>756</v>
      </c>
      <c r="C651" t="s">
        <v>48</v>
      </c>
      <c r="D651" s="1">
        <v>46008</v>
      </c>
      <c r="E651">
        <v>658.5</v>
      </c>
      <c r="F651" t="s">
        <v>12</v>
      </c>
      <c r="G651" t="s">
        <v>13</v>
      </c>
      <c r="H651" t="s">
        <v>20</v>
      </c>
      <c r="I651" t="s">
        <v>38</v>
      </c>
      <c r="J651" t="str">
        <f>"FY" &amp; IF(MONTH(GiftData[[#This Row],[Gift_Date]])&gt;=7, RIGHT(YEAR(GiftData[[#This Row],[Gift_Date]])+1, 2), RIGHT(YEAR(GiftData[[#This Row],[Gift_Date]]), 2))</f>
        <v>FY26</v>
      </c>
      <c r="K651">
        <f>IF(COUNTIFS(GiftData[Constituent_ID], GiftData[[#This Row],[Constituent_ID]], GiftData[Fiscal_Year], "FY24")&gt;0, 1, 0)</f>
        <v>0</v>
      </c>
      <c r="L651">
        <f>IF(COUNTIFS(GiftData[Constituent_ID], GiftData[[#This Row],[Constituent_ID]], GiftData[Fiscal_Year], "FY25")&gt;0, 1, 0)</f>
        <v>1</v>
      </c>
      <c r="M651">
        <f>IF(COUNTIFS(GiftData[Constituent_ID], GiftData[[#This Row],[Constituent_ID]], GiftData[Fiscal_Year], "FY26")&gt;0, 1, 0)</f>
        <v>1</v>
      </c>
      <c r="N651" t="str" cm="1">
        <f t="array" ref="N6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52" spans="1:14" x14ac:dyDescent="0.2">
      <c r="A652" t="s">
        <v>989</v>
      </c>
      <c r="B652" t="s">
        <v>986</v>
      </c>
      <c r="C652" t="s">
        <v>18</v>
      </c>
      <c r="D652" s="1">
        <v>45172</v>
      </c>
      <c r="E652">
        <v>63.15</v>
      </c>
      <c r="F652" t="s">
        <v>12</v>
      </c>
      <c r="G652" t="s">
        <v>13</v>
      </c>
      <c r="H652" t="s">
        <v>20</v>
      </c>
      <c r="I652" t="s">
        <v>15</v>
      </c>
      <c r="J652" t="str">
        <f>"FY" &amp; IF(MONTH(GiftData[[#This Row],[Gift_Date]])&gt;=7, RIGHT(YEAR(GiftData[[#This Row],[Gift_Date]])+1, 2), RIGHT(YEAR(GiftData[[#This Row],[Gift_Date]]), 2))</f>
        <v>FY24</v>
      </c>
      <c r="K652">
        <f>IF(COUNTIFS(GiftData[Constituent_ID], GiftData[[#This Row],[Constituent_ID]], GiftData[Fiscal_Year], "FY24")&gt;0, 1, 0)</f>
        <v>1</v>
      </c>
      <c r="L652">
        <f>IF(COUNTIFS(GiftData[Constituent_ID], GiftData[[#This Row],[Constituent_ID]], GiftData[Fiscal_Year], "FY25")&gt;0, 1, 0)</f>
        <v>1</v>
      </c>
      <c r="M652">
        <f>IF(COUNTIFS(GiftData[Constituent_ID], GiftData[[#This Row],[Constituent_ID]], GiftData[Fiscal_Year], "FY26")&gt;0, 1, 0)</f>
        <v>0</v>
      </c>
      <c r="N652" t="str" cm="1">
        <f t="array" ref="N6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3" spans="1:14" x14ac:dyDescent="0.2">
      <c r="A653" t="s">
        <v>990</v>
      </c>
      <c r="B653" t="s">
        <v>868</v>
      </c>
      <c r="C653" t="s">
        <v>48</v>
      </c>
      <c r="D653" s="1">
        <v>46144</v>
      </c>
      <c r="E653">
        <v>101.08</v>
      </c>
      <c r="F653" t="s">
        <v>25</v>
      </c>
      <c r="G653" t="s">
        <v>29</v>
      </c>
      <c r="H653" t="s">
        <v>20</v>
      </c>
      <c r="I653" t="s">
        <v>15</v>
      </c>
      <c r="J653" t="str">
        <f>"FY" &amp; IF(MONTH(GiftData[[#This Row],[Gift_Date]])&gt;=7, RIGHT(YEAR(GiftData[[#This Row],[Gift_Date]])+1, 2), RIGHT(YEAR(GiftData[[#This Row],[Gift_Date]]), 2))</f>
        <v>FY26</v>
      </c>
      <c r="K653">
        <f>IF(COUNTIFS(GiftData[Constituent_ID], GiftData[[#This Row],[Constituent_ID]], GiftData[Fiscal_Year], "FY24")&gt;0, 1, 0)</f>
        <v>1</v>
      </c>
      <c r="L653">
        <f>IF(COUNTIFS(GiftData[Constituent_ID], GiftData[[#This Row],[Constituent_ID]], GiftData[Fiscal_Year], "FY25")&gt;0, 1, 0)</f>
        <v>0</v>
      </c>
      <c r="M653">
        <f>IF(COUNTIFS(GiftData[Constituent_ID], GiftData[[#This Row],[Constituent_ID]], GiftData[Fiscal_Year], "FY26")&gt;0, 1, 0)</f>
        <v>1</v>
      </c>
      <c r="N653" t="str" cm="1">
        <f t="array" ref="N6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54" spans="1:14" x14ac:dyDescent="0.2">
      <c r="A654" t="s">
        <v>991</v>
      </c>
      <c r="B654" t="s">
        <v>992</v>
      </c>
      <c r="C654" t="s">
        <v>11</v>
      </c>
      <c r="D654" s="1">
        <v>45320</v>
      </c>
      <c r="E654">
        <v>20.14</v>
      </c>
      <c r="F654" t="s">
        <v>12</v>
      </c>
      <c r="G654" t="s">
        <v>13</v>
      </c>
      <c r="H654" t="s">
        <v>14</v>
      </c>
      <c r="I654" t="s">
        <v>15</v>
      </c>
      <c r="J654" t="str">
        <f>"FY" &amp; IF(MONTH(GiftData[[#This Row],[Gift_Date]])&gt;=7, RIGHT(YEAR(GiftData[[#This Row],[Gift_Date]])+1, 2), RIGHT(YEAR(GiftData[[#This Row],[Gift_Date]]), 2))</f>
        <v>FY24</v>
      </c>
      <c r="K654">
        <f>IF(COUNTIFS(GiftData[Constituent_ID], GiftData[[#This Row],[Constituent_ID]], GiftData[Fiscal_Year], "FY24")&gt;0, 1, 0)</f>
        <v>1</v>
      </c>
      <c r="L654">
        <f>IF(COUNTIFS(GiftData[Constituent_ID], GiftData[[#This Row],[Constituent_ID]], GiftData[Fiscal_Year], "FY25")&gt;0, 1, 0)</f>
        <v>1</v>
      </c>
      <c r="M654">
        <f>IF(COUNTIFS(GiftData[Constituent_ID], GiftData[[#This Row],[Constituent_ID]], GiftData[Fiscal_Year], "FY26")&gt;0, 1, 0)</f>
        <v>0</v>
      </c>
      <c r="N654" t="str" cm="1">
        <f t="array" ref="N6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5" spans="1:14" x14ac:dyDescent="0.2">
      <c r="A655" t="s">
        <v>993</v>
      </c>
      <c r="B655" t="s">
        <v>474</v>
      </c>
      <c r="C655" t="s">
        <v>48</v>
      </c>
      <c r="D655" s="1">
        <v>45349</v>
      </c>
      <c r="E655">
        <v>900.56</v>
      </c>
      <c r="F655" t="s">
        <v>25</v>
      </c>
      <c r="G655" t="s">
        <v>13</v>
      </c>
      <c r="H655" t="s">
        <v>14</v>
      </c>
      <c r="I655" t="s">
        <v>56</v>
      </c>
      <c r="J655" t="str">
        <f>"FY" &amp; IF(MONTH(GiftData[[#This Row],[Gift_Date]])&gt;=7, RIGHT(YEAR(GiftData[[#This Row],[Gift_Date]])+1, 2), RIGHT(YEAR(GiftData[[#This Row],[Gift_Date]]), 2))</f>
        <v>FY24</v>
      </c>
      <c r="K655">
        <f>IF(COUNTIFS(GiftData[Constituent_ID], GiftData[[#This Row],[Constituent_ID]], GiftData[Fiscal_Year], "FY24")&gt;0, 1, 0)</f>
        <v>1</v>
      </c>
      <c r="L655">
        <f>IF(COUNTIFS(GiftData[Constituent_ID], GiftData[[#This Row],[Constituent_ID]], GiftData[Fiscal_Year], "FY25")&gt;0, 1, 0)</f>
        <v>1</v>
      </c>
      <c r="M655">
        <f>IF(COUNTIFS(GiftData[Constituent_ID], GiftData[[#This Row],[Constituent_ID]], GiftData[Fiscal_Year], "FY26")&gt;0, 1, 0)</f>
        <v>1</v>
      </c>
      <c r="N655" t="str" cm="1">
        <f t="array" ref="N6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56" spans="1:14" x14ac:dyDescent="0.2">
      <c r="A656" t="s">
        <v>994</v>
      </c>
      <c r="B656" t="s">
        <v>995</v>
      </c>
      <c r="C656" t="s">
        <v>18</v>
      </c>
      <c r="D656" s="1">
        <v>45600</v>
      </c>
      <c r="E656">
        <v>133.01</v>
      </c>
      <c r="F656" t="s">
        <v>12</v>
      </c>
      <c r="G656" t="s">
        <v>13</v>
      </c>
      <c r="H656" t="s">
        <v>41</v>
      </c>
      <c r="I656" t="s">
        <v>15</v>
      </c>
      <c r="J656" t="str">
        <f>"FY" &amp; IF(MONTH(GiftData[[#This Row],[Gift_Date]])&gt;=7, RIGHT(YEAR(GiftData[[#This Row],[Gift_Date]])+1, 2), RIGHT(YEAR(GiftData[[#This Row],[Gift_Date]]), 2))</f>
        <v>FY25</v>
      </c>
      <c r="K656">
        <f>IF(COUNTIFS(GiftData[Constituent_ID], GiftData[[#This Row],[Constituent_ID]], GiftData[Fiscal_Year], "FY24")&gt;0, 1, 0)</f>
        <v>0</v>
      </c>
      <c r="L656">
        <f>IF(COUNTIFS(GiftData[Constituent_ID], GiftData[[#This Row],[Constituent_ID]], GiftData[Fiscal_Year], "FY25")&gt;0, 1, 0)</f>
        <v>1</v>
      </c>
      <c r="M656">
        <f>IF(COUNTIFS(GiftData[Constituent_ID], GiftData[[#This Row],[Constituent_ID]], GiftData[Fiscal_Year], "FY26")&gt;0, 1, 0)</f>
        <v>1</v>
      </c>
      <c r="N656" t="str" cm="1">
        <f t="array" ref="N6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57" spans="1:14" x14ac:dyDescent="0.2">
      <c r="A657" t="s">
        <v>996</v>
      </c>
      <c r="B657" t="s">
        <v>120</v>
      </c>
      <c r="C657" t="s">
        <v>11</v>
      </c>
      <c r="D657" s="1">
        <v>45445</v>
      </c>
      <c r="E657">
        <v>310.87</v>
      </c>
      <c r="F657" t="s">
        <v>25</v>
      </c>
      <c r="G657" t="s">
        <v>13</v>
      </c>
      <c r="H657" t="s">
        <v>20</v>
      </c>
      <c r="I657" t="s">
        <v>15</v>
      </c>
      <c r="J657" t="str">
        <f>"FY" &amp; IF(MONTH(GiftData[[#This Row],[Gift_Date]])&gt;=7, RIGHT(YEAR(GiftData[[#This Row],[Gift_Date]])+1, 2), RIGHT(YEAR(GiftData[[#This Row],[Gift_Date]]), 2))</f>
        <v>FY24</v>
      </c>
      <c r="K657">
        <f>IF(COUNTIFS(GiftData[Constituent_ID], GiftData[[#This Row],[Constituent_ID]], GiftData[Fiscal_Year], "FY24")&gt;0, 1, 0)</f>
        <v>1</v>
      </c>
      <c r="L657">
        <f>IF(COUNTIFS(GiftData[Constituent_ID], GiftData[[#This Row],[Constituent_ID]], GiftData[Fiscal_Year], "FY25")&gt;0, 1, 0)</f>
        <v>1</v>
      </c>
      <c r="M657">
        <f>IF(COUNTIFS(GiftData[Constituent_ID], GiftData[[#This Row],[Constituent_ID]], GiftData[Fiscal_Year], "FY26")&gt;0, 1, 0)</f>
        <v>0</v>
      </c>
      <c r="N657" t="str" cm="1">
        <f t="array" ref="N6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8" spans="1:14" x14ac:dyDescent="0.2">
      <c r="A658" t="s">
        <v>997</v>
      </c>
      <c r="B658" t="s">
        <v>758</v>
      </c>
      <c r="C658" t="s">
        <v>18</v>
      </c>
      <c r="D658" s="1">
        <v>45280</v>
      </c>
      <c r="E658">
        <v>325.47000000000003</v>
      </c>
      <c r="F658" t="s">
        <v>25</v>
      </c>
      <c r="G658" t="s">
        <v>13</v>
      </c>
      <c r="H658" t="s">
        <v>20</v>
      </c>
      <c r="I658" t="s">
        <v>15</v>
      </c>
      <c r="J658" t="str">
        <f>"FY" &amp; IF(MONTH(GiftData[[#This Row],[Gift_Date]])&gt;=7, RIGHT(YEAR(GiftData[[#This Row],[Gift_Date]])+1, 2), RIGHT(YEAR(GiftData[[#This Row],[Gift_Date]]), 2))</f>
        <v>FY24</v>
      </c>
      <c r="K658">
        <f>IF(COUNTIFS(GiftData[Constituent_ID], GiftData[[#This Row],[Constituent_ID]], GiftData[Fiscal_Year], "FY24")&gt;0, 1, 0)</f>
        <v>1</v>
      </c>
      <c r="L658">
        <f>IF(COUNTIFS(GiftData[Constituent_ID], GiftData[[#This Row],[Constituent_ID]], GiftData[Fiscal_Year], "FY25")&gt;0, 1, 0)</f>
        <v>1</v>
      </c>
      <c r="M658">
        <f>IF(COUNTIFS(GiftData[Constituent_ID], GiftData[[#This Row],[Constituent_ID]], GiftData[Fiscal_Year], "FY26")&gt;0, 1, 0)</f>
        <v>0</v>
      </c>
      <c r="N658" t="str" cm="1">
        <f t="array" ref="N6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59" spans="1:14" x14ac:dyDescent="0.2">
      <c r="A659" t="s">
        <v>998</v>
      </c>
      <c r="B659" t="s">
        <v>829</v>
      </c>
      <c r="C659" t="s">
        <v>18</v>
      </c>
      <c r="D659" s="1">
        <v>45779</v>
      </c>
      <c r="E659">
        <v>809.84</v>
      </c>
      <c r="F659" t="s">
        <v>12</v>
      </c>
      <c r="G659" t="s">
        <v>13</v>
      </c>
      <c r="H659" t="s">
        <v>41</v>
      </c>
      <c r="I659" t="s">
        <v>15</v>
      </c>
      <c r="J659" t="str">
        <f>"FY" &amp; IF(MONTH(GiftData[[#This Row],[Gift_Date]])&gt;=7, RIGHT(YEAR(GiftData[[#This Row],[Gift_Date]])+1, 2), RIGHT(YEAR(GiftData[[#This Row],[Gift_Date]]), 2))</f>
        <v>FY25</v>
      </c>
      <c r="K659">
        <f>IF(COUNTIFS(GiftData[Constituent_ID], GiftData[[#This Row],[Constituent_ID]], GiftData[Fiscal_Year], "FY24")&gt;0, 1, 0)</f>
        <v>1</v>
      </c>
      <c r="L659">
        <f>IF(COUNTIFS(GiftData[Constituent_ID], GiftData[[#This Row],[Constituent_ID]], GiftData[Fiscal_Year], "FY25")&gt;0, 1, 0)</f>
        <v>1</v>
      </c>
      <c r="M659">
        <f>IF(COUNTIFS(GiftData[Constituent_ID], GiftData[[#This Row],[Constituent_ID]], GiftData[Fiscal_Year], "FY26")&gt;0, 1, 0)</f>
        <v>0</v>
      </c>
      <c r="N659" t="str" cm="1">
        <f t="array" ref="N6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60" spans="1:14" x14ac:dyDescent="0.2">
      <c r="A660" t="s">
        <v>999</v>
      </c>
      <c r="B660" t="s">
        <v>463</v>
      </c>
      <c r="C660" t="s">
        <v>28</v>
      </c>
      <c r="D660" s="1">
        <v>45271</v>
      </c>
      <c r="E660">
        <v>41.23</v>
      </c>
      <c r="F660" t="s">
        <v>12</v>
      </c>
      <c r="G660" t="s">
        <v>29</v>
      </c>
      <c r="H660" t="s">
        <v>51</v>
      </c>
      <c r="I660" t="s">
        <v>15</v>
      </c>
      <c r="J660" t="str">
        <f>"FY" &amp; IF(MONTH(GiftData[[#This Row],[Gift_Date]])&gt;=7, RIGHT(YEAR(GiftData[[#This Row],[Gift_Date]])+1, 2), RIGHT(YEAR(GiftData[[#This Row],[Gift_Date]]), 2))</f>
        <v>FY24</v>
      </c>
      <c r="K660">
        <f>IF(COUNTIFS(GiftData[Constituent_ID], GiftData[[#This Row],[Constituent_ID]], GiftData[Fiscal_Year], "FY24")&gt;0, 1, 0)</f>
        <v>1</v>
      </c>
      <c r="L660">
        <f>IF(COUNTIFS(GiftData[Constituent_ID], GiftData[[#This Row],[Constituent_ID]], GiftData[Fiscal_Year], "FY25")&gt;0, 1, 0)</f>
        <v>0</v>
      </c>
      <c r="M660">
        <f>IF(COUNTIFS(GiftData[Constituent_ID], GiftData[[#This Row],[Constituent_ID]], GiftData[Fiscal_Year], "FY26")&gt;0, 1, 0)</f>
        <v>0</v>
      </c>
      <c r="N660" t="str" cm="1">
        <f t="array" ref="N6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661" spans="1:14" x14ac:dyDescent="0.2">
      <c r="A661" t="s">
        <v>1000</v>
      </c>
      <c r="B661" t="s">
        <v>289</v>
      </c>
      <c r="C661" t="s">
        <v>18</v>
      </c>
      <c r="D661" s="1">
        <v>45572</v>
      </c>
      <c r="E661">
        <v>300.93</v>
      </c>
      <c r="F661" t="s">
        <v>25</v>
      </c>
      <c r="G661" t="s">
        <v>13</v>
      </c>
      <c r="H661" t="s">
        <v>20</v>
      </c>
      <c r="I661" t="s">
        <v>15</v>
      </c>
      <c r="J661" t="str">
        <f>"FY" &amp; IF(MONTH(GiftData[[#This Row],[Gift_Date]])&gt;=7, RIGHT(YEAR(GiftData[[#This Row],[Gift_Date]])+1, 2), RIGHT(YEAR(GiftData[[#This Row],[Gift_Date]]), 2))</f>
        <v>FY25</v>
      </c>
      <c r="K661">
        <f>IF(COUNTIFS(GiftData[Constituent_ID], GiftData[[#This Row],[Constituent_ID]], GiftData[Fiscal_Year], "FY24")&gt;0, 1, 0)</f>
        <v>1</v>
      </c>
      <c r="L661">
        <f>IF(COUNTIFS(GiftData[Constituent_ID], GiftData[[#This Row],[Constituent_ID]], GiftData[Fiscal_Year], "FY25")&gt;0, 1, 0)</f>
        <v>1</v>
      </c>
      <c r="M661">
        <f>IF(COUNTIFS(GiftData[Constituent_ID], GiftData[[#This Row],[Constituent_ID]], GiftData[Fiscal_Year], "FY26")&gt;0, 1, 0)</f>
        <v>1</v>
      </c>
      <c r="N661" t="str" cm="1">
        <f t="array" ref="N6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2" spans="1:14" x14ac:dyDescent="0.2">
      <c r="A662" t="s">
        <v>1001</v>
      </c>
      <c r="B662" t="s">
        <v>1002</v>
      </c>
      <c r="C662" t="s">
        <v>28</v>
      </c>
      <c r="D662" s="1">
        <v>46102</v>
      </c>
      <c r="E662">
        <v>117.62</v>
      </c>
      <c r="F662" t="s">
        <v>25</v>
      </c>
      <c r="G662" t="s">
        <v>29</v>
      </c>
      <c r="H662" t="s">
        <v>41</v>
      </c>
      <c r="I662" t="s">
        <v>15</v>
      </c>
      <c r="J662" t="str">
        <f>"FY" &amp; IF(MONTH(GiftData[[#This Row],[Gift_Date]])&gt;=7, RIGHT(YEAR(GiftData[[#This Row],[Gift_Date]])+1, 2), RIGHT(YEAR(GiftData[[#This Row],[Gift_Date]]), 2))</f>
        <v>FY26</v>
      </c>
      <c r="K662">
        <f>IF(COUNTIFS(GiftData[Constituent_ID], GiftData[[#This Row],[Constituent_ID]], GiftData[Fiscal_Year], "FY24")&gt;0, 1, 0)</f>
        <v>0</v>
      </c>
      <c r="L662">
        <f>IF(COUNTIFS(GiftData[Constituent_ID], GiftData[[#This Row],[Constituent_ID]], GiftData[Fiscal_Year], "FY25")&gt;0, 1, 0)</f>
        <v>0</v>
      </c>
      <c r="M662">
        <f>IF(COUNTIFS(GiftData[Constituent_ID], GiftData[[#This Row],[Constituent_ID]], GiftData[Fiscal_Year], "FY26")&gt;0, 1, 0)</f>
        <v>1</v>
      </c>
      <c r="N662" t="str" cm="1">
        <f t="array" ref="N6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3" spans="1:14" x14ac:dyDescent="0.2">
      <c r="A663" t="s">
        <v>1003</v>
      </c>
      <c r="B663" t="s">
        <v>79</v>
      </c>
      <c r="C663" t="s">
        <v>18</v>
      </c>
      <c r="D663" s="1">
        <v>45604</v>
      </c>
      <c r="E663">
        <v>1876.91</v>
      </c>
      <c r="F663" t="s">
        <v>25</v>
      </c>
      <c r="G663" t="s">
        <v>13</v>
      </c>
      <c r="H663" t="s">
        <v>14</v>
      </c>
      <c r="I663" t="s">
        <v>38</v>
      </c>
      <c r="J663" t="str">
        <f>"FY" &amp; IF(MONTH(GiftData[[#This Row],[Gift_Date]])&gt;=7, RIGHT(YEAR(GiftData[[#This Row],[Gift_Date]])+1, 2), RIGHT(YEAR(GiftData[[#This Row],[Gift_Date]]), 2))</f>
        <v>FY25</v>
      </c>
      <c r="K663">
        <f>IF(COUNTIFS(GiftData[Constituent_ID], GiftData[[#This Row],[Constituent_ID]], GiftData[Fiscal_Year], "FY24")&gt;0, 1, 0)</f>
        <v>1</v>
      </c>
      <c r="L663">
        <f>IF(COUNTIFS(GiftData[Constituent_ID], GiftData[[#This Row],[Constituent_ID]], GiftData[Fiscal_Year], "FY25")&gt;0, 1, 0)</f>
        <v>1</v>
      </c>
      <c r="M663">
        <f>IF(COUNTIFS(GiftData[Constituent_ID], GiftData[[#This Row],[Constituent_ID]], GiftData[Fiscal_Year], "FY26")&gt;0, 1, 0)</f>
        <v>1</v>
      </c>
      <c r="N663" t="str" cm="1">
        <f t="array" ref="N6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4" spans="1:14" x14ac:dyDescent="0.2">
      <c r="A664" t="s">
        <v>1004</v>
      </c>
      <c r="B664" t="s">
        <v>965</v>
      </c>
      <c r="C664" t="s">
        <v>11</v>
      </c>
      <c r="D664" s="1">
        <v>45807</v>
      </c>
      <c r="E664">
        <v>41.07</v>
      </c>
      <c r="F664" t="s">
        <v>59</v>
      </c>
      <c r="G664" t="s">
        <v>13</v>
      </c>
      <c r="H664" t="s">
        <v>41</v>
      </c>
      <c r="I664" t="s">
        <v>15</v>
      </c>
      <c r="J664" t="str">
        <f>"FY" &amp; IF(MONTH(GiftData[[#This Row],[Gift_Date]])&gt;=7, RIGHT(YEAR(GiftData[[#This Row],[Gift_Date]])+1, 2), RIGHT(YEAR(GiftData[[#This Row],[Gift_Date]]), 2))</f>
        <v>FY25</v>
      </c>
      <c r="K664">
        <f>IF(COUNTIFS(GiftData[Constituent_ID], GiftData[[#This Row],[Constituent_ID]], GiftData[Fiscal_Year], "FY24")&gt;0, 1, 0)</f>
        <v>1</v>
      </c>
      <c r="L664">
        <f>IF(COUNTIFS(GiftData[Constituent_ID], GiftData[[#This Row],[Constituent_ID]], GiftData[Fiscal_Year], "FY25")&gt;0, 1, 0)</f>
        <v>1</v>
      </c>
      <c r="M664">
        <f>IF(COUNTIFS(GiftData[Constituent_ID], GiftData[[#This Row],[Constituent_ID]], GiftData[Fiscal_Year], "FY26")&gt;0, 1, 0)</f>
        <v>0</v>
      </c>
      <c r="N664" t="str" cm="1">
        <f t="array" ref="N6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65" spans="1:14" x14ac:dyDescent="0.2">
      <c r="A665" t="s">
        <v>1005</v>
      </c>
      <c r="B665" t="s">
        <v>550</v>
      </c>
      <c r="C665" t="s">
        <v>35</v>
      </c>
      <c r="D665" s="1">
        <v>45502</v>
      </c>
      <c r="E665">
        <v>557.16</v>
      </c>
      <c r="F665" t="s">
        <v>12</v>
      </c>
      <c r="G665" t="s">
        <v>29</v>
      </c>
      <c r="H665" t="s">
        <v>51</v>
      </c>
      <c r="I665" t="s">
        <v>15</v>
      </c>
      <c r="J665" t="str">
        <f>"FY" &amp; IF(MONTH(GiftData[[#This Row],[Gift_Date]])&gt;=7, RIGHT(YEAR(GiftData[[#This Row],[Gift_Date]])+1, 2), RIGHT(YEAR(GiftData[[#This Row],[Gift_Date]]), 2))</f>
        <v>FY25</v>
      </c>
      <c r="K665">
        <f>IF(COUNTIFS(GiftData[Constituent_ID], GiftData[[#This Row],[Constituent_ID]], GiftData[Fiscal_Year], "FY24")&gt;0, 1, 0)</f>
        <v>1</v>
      </c>
      <c r="L665">
        <f>IF(COUNTIFS(GiftData[Constituent_ID], GiftData[[#This Row],[Constituent_ID]], GiftData[Fiscal_Year], "FY25")&gt;0, 1, 0)</f>
        <v>1</v>
      </c>
      <c r="M665">
        <f>IF(COUNTIFS(GiftData[Constituent_ID], GiftData[[#This Row],[Constituent_ID]], GiftData[Fiscal_Year], "FY26")&gt;0, 1, 0)</f>
        <v>1</v>
      </c>
      <c r="N665" t="str" cm="1">
        <f t="array" ref="N6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6" spans="1:14" x14ac:dyDescent="0.2">
      <c r="A666" t="s">
        <v>1006</v>
      </c>
      <c r="B666" t="s">
        <v>586</v>
      </c>
      <c r="C666" t="s">
        <v>11</v>
      </c>
      <c r="D666" s="1">
        <v>45810</v>
      </c>
      <c r="E666">
        <v>191.61</v>
      </c>
      <c r="F666" t="s">
        <v>12</v>
      </c>
      <c r="G666" t="s">
        <v>13</v>
      </c>
      <c r="H666" t="s">
        <v>51</v>
      </c>
      <c r="I666" t="s">
        <v>38</v>
      </c>
      <c r="J666" t="str">
        <f>"FY" &amp; IF(MONTH(GiftData[[#This Row],[Gift_Date]])&gt;=7, RIGHT(YEAR(GiftData[[#This Row],[Gift_Date]])+1, 2), RIGHT(YEAR(GiftData[[#This Row],[Gift_Date]]), 2))</f>
        <v>FY25</v>
      </c>
      <c r="K666">
        <f>IF(COUNTIFS(GiftData[Constituent_ID], GiftData[[#This Row],[Constituent_ID]], GiftData[Fiscal_Year], "FY24")&gt;0, 1, 0)</f>
        <v>1</v>
      </c>
      <c r="L666">
        <f>IF(COUNTIFS(GiftData[Constituent_ID], GiftData[[#This Row],[Constituent_ID]], GiftData[Fiscal_Year], "FY25")&gt;0, 1, 0)</f>
        <v>1</v>
      </c>
      <c r="M666">
        <f>IF(COUNTIFS(GiftData[Constituent_ID], GiftData[[#This Row],[Constituent_ID]], GiftData[Fiscal_Year], "FY26")&gt;0, 1, 0)</f>
        <v>1</v>
      </c>
      <c r="N666" t="str" cm="1">
        <f t="array" ref="N6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67" spans="1:14" x14ac:dyDescent="0.2">
      <c r="A667" t="s">
        <v>1007</v>
      </c>
      <c r="B667" t="s">
        <v>87</v>
      </c>
      <c r="C667" t="s">
        <v>28</v>
      </c>
      <c r="D667" s="1">
        <v>45415</v>
      </c>
      <c r="E667">
        <v>178.97</v>
      </c>
      <c r="F667" t="s">
        <v>59</v>
      </c>
      <c r="G667" t="s">
        <v>13</v>
      </c>
      <c r="H667" t="s">
        <v>41</v>
      </c>
      <c r="I667" t="s">
        <v>15</v>
      </c>
      <c r="J667" t="str">
        <f>"FY" &amp; IF(MONTH(GiftData[[#This Row],[Gift_Date]])&gt;=7, RIGHT(YEAR(GiftData[[#This Row],[Gift_Date]])+1, 2), RIGHT(YEAR(GiftData[[#This Row],[Gift_Date]]), 2))</f>
        <v>FY24</v>
      </c>
      <c r="K667">
        <f>IF(COUNTIFS(GiftData[Constituent_ID], GiftData[[#This Row],[Constituent_ID]], GiftData[Fiscal_Year], "FY24")&gt;0, 1, 0)</f>
        <v>1</v>
      </c>
      <c r="L667">
        <f>IF(COUNTIFS(GiftData[Constituent_ID], GiftData[[#This Row],[Constituent_ID]], GiftData[Fiscal_Year], "FY25")&gt;0, 1, 0)</f>
        <v>1</v>
      </c>
      <c r="M667">
        <f>IF(COUNTIFS(GiftData[Constituent_ID], GiftData[[#This Row],[Constituent_ID]], GiftData[Fiscal_Year], "FY26")&gt;0, 1, 0)</f>
        <v>0</v>
      </c>
      <c r="N667" t="str" cm="1">
        <f t="array" ref="N6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68" spans="1:14" x14ac:dyDescent="0.2">
      <c r="A668" t="s">
        <v>1008</v>
      </c>
      <c r="B668" t="s">
        <v>1009</v>
      </c>
      <c r="C668" t="s">
        <v>28</v>
      </c>
      <c r="D668" s="1">
        <v>45290</v>
      </c>
      <c r="E668">
        <v>130.35</v>
      </c>
      <c r="F668" t="s">
        <v>12</v>
      </c>
      <c r="G668" t="s">
        <v>13</v>
      </c>
      <c r="H668" t="s">
        <v>20</v>
      </c>
      <c r="I668" t="s">
        <v>38</v>
      </c>
      <c r="J668" t="str">
        <f>"FY" &amp; IF(MONTH(GiftData[[#This Row],[Gift_Date]])&gt;=7, RIGHT(YEAR(GiftData[[#This Row],[Gift_Date]])+1, 2), RIGHT(YEAR(GiftData[[#This Row],[Gift_Date]]), 2))</f>
        <v>FY24</v>
      </c>
      <c r="K668">
        <f>IF(COUNTIFS(GiftData[Constituent_ID], GiftData[[#This Row],[Constituent_ID]], GiftData[Fiscal_Year], "FY24")&gt;0, 1, 0)</f>
        <v>1</v>
      </c>
      <c r="L668">
        <f>IF(COUNTIFS(GiftData[Constituent_ID], GiftData[[#This Row],[Constituent_ID]], GiftData[Fiscal_Year], "FY25")&gt;0, 1, 0)</f>
        <v>1</v>
      </c>
      <c r="M668">
        <f>IF(COUNTIFS(GiftData[Constituent_ID], GiftData[[#This Row],[Constituent_ID]], GiftData[Fiscal_Year], "FY26")&gt;0, 1, 0)</f>
        <v>0</v>
      </c>
      <c r="N668" t="str" cm="1">
        <f t="array" ref="N6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69" spans="1:14" x14ac:dyDescent="0.2">
      <c r="A669" t="s">
        <v>1010</v>
      </c>
      <c r="B669" t="s">
        <v>373</v>
      </c>
      <c r="C669" t="s">
        <v>35</v>
      </c>
      <c r="D669" s="1">
        <v>45736</v>
      </c>
      <c r="E669">
        <v>699.71</v>
      </c>
      <c r="F669" t="s">
        <v>12</v>
      </c>
      <c r="G669" t="s">
        <v>13</v>
      </c>
      <c r="H669" t="s">
        <v>51</v>
      </c>
      <c r="I669" t="s">
        <v>15</v>
      </c>
      <c r="J669" t="str">
        <f>"FY" &amp; IF(MONTH(GiftData[[#This Row],[Gift_Date]])&gt;=7, RIGHT(YEAR(GiftData[[#This Row],[Gift_Date]])+1, 2), RIGHT(YEAR(GiftData[[#This Row],[Gift_Date]]), 2))</f>
        <v>FY25</v>
      </c>
      <c r="K669">
        <f>IF(COUNTIFS(GiftData[Constituent_ID], GiftData[[#This Row],[Constituent_ID]], GiftData[Fiscal_Year], "FY24")&gt;0, 1, 0)</f>
        <v>1</v>
      </c>
      <c r="L669">
        <f>IF(COUNTIFS(GiftData[Constituent_ID], GiftData[[#This Row],[Constituent_ID]], GiftData[Fiscal_Year], "FY25")&gt;0, 1, 0)</f>
        <v>1</v>
      </c>
      <c r="M669">
        <f>IF(COUNTIFS(GiftData[Constituent_ID], GiftData[[#This Row],[Constituent_ID]], GiftData[Fiscal_Year], "FY26")&gt;0, 1, 0)</f>
        <v>1</v>
      </c>
      <c r="N669" t="str" cm="1">
        <f t="array" ref="N6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0" spans="1:14" x14ac:dyDescent="0.2">
      <c r="A670" t="s">
        <v>1011</v>
      </c>
      <c r="B670" t="s">
        <v>436</v>
      </c>
      <c r="C670" t="s">
        <v>11</v>
      </c>
      <c r="D670" s="1">
        <v>45617</v>
      </c>
      <c r="E670">
        <v>171.23</v>
      </c>
      <c r="F670" t="s">
        <v>12</v>
      </c>
      <c r="G670" t="s">
        <v>13</v>
      </c>
      <c r="H670" t="s">
        <v>14</v>
      </c>
      <c r="I670" t="s">
        <v>15</v>
      </c>
      <c r="J670" t="str">
        <f>"FY" &amp; IF(MONTH(GiftData[[#This Row],[Gift_Date]])&gt;=7, RIGHT(YEAR(GiftData[[#This Row],[Gift_Date]])+1, 2), RIGHT(YEAR(GiftData[[#This Row],[Gift_Date]]), 2))</f>
        <v>FY25</v>
      </c>
      <c r="K670">
        <f>IF(COUNTIFS(GiftData[Constituent_ID], GiftData[[#This Row],[Constituent_ID]], GiftData[Fiscal_Year], "FY24")&gt;0, 1, 0)</f>
        <v>1</v>
      </c>
      <c r="L670">
        <f>IF(COUNTIFS(GiftData[Constituent_ID], GiftData[[#This Row],[Constituent_ID]], GiftData[Fiscal_Year], "FY25")&gt;0, 1, 0)</f>
        <v>1</v>
      </c>
      <c r="M670">
        <f>IF(COUNTIFS(GiftData[Constituent_ID], GiftData[[#This Row],[Constituent_ID]], GiftData[Fiscal_Year], "FY26")&gt;0, 1, 0)</f>
        <v>1</v>
      </c>
      <c r="N670" t="str" cm="1">
        <f t="array" ref="N6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1" spans="1:14" x14ac:dyDescent="0.2">
      <c r="A671" t="s">
        <v>1012</v>
      </c>
      <c r="B671" t="s">
        <v>298</v>
      </c>
      <c r="C671" t="s">
        <v>28</v>
      </c>
      <c r="D671" s="1">
        <v>45653</v>
      </c>
      <c r="E671">
        <v>16.75</v>
      </c>
      <c r="F671" t="s">
        <v>12</v>
      </c>
      <c r="G671" t="s">
        <v>13</v>
      </c>
      <c r="H671" t="s">
        <v>20</v>
      </c>
      <c r="I671" t="s">
        <v>15</v>
      </c>
      <c r="J671" t="str">
        <f>"FY" &amp; IF(MONTH(GiftData[[#This Row],[Gift_Date]])&gt;=7, RIGHT(YEAR(GiftData[[#This Row],[Gift_Date]])+1, 2), RIGHT(YEAR(GiftData[[#This Row],[Gift_Date]]), 2))</f>
        <v>FY25</v>
      </c>
      <c r="K671">
        <f>IF(COUNTIFS(GiftData[Constituent_ID], GiftData[[#This Row],[Constituent_ID]], GiftData[Fiscal_Year], "FY24")&gt;0, 1, 0)</f>
        <v>1</v>
      </c>
      <c r="L671">
        <f>IF(COUNTIFS(GiftData[Constituent_ID], GiftData[[#This Row],[Constituent_ID]], GiftData[Fiscal_Year], "FY25")&gt;0, 1, 0)</f>
        <v>1</v>
      </c>
      <c r="M671">
        <f>IF(COUNTIFS(GiftData[Constituent_ID], GiftData[[#This Row],[Constituent_ID]], GiftData[Fiscal_Year], "FY26")&gt;0, 1, 0)</f>
        <v>1</v>
      </c>
      <c r="N671" t="str" cm="1">
        <f t="array" ref="N6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2" spans="1:14" x14ac:dyDescent="0.2">
      <c r="A672" t="s">
        <v>1013</v>
      </c>
      <c r="B672" t="s">
        <v>725</v>
      </c>
      <c r="C672" t="s">
        <v>48</v>
      </c>
      <c r="D672" s="1">
        <v>45731</v>
      </c>
      <c r="E672">
        <v>593.1</v>
      </c>
      <c r="F672" t="s">
        <v>12</v>
      </c>
      <c r="G672" t="s">
        <v>13</v>
      </c>
      <c r="H672" t="s">
        <v>14</v>
      </c>
      <c r="I672" t="s">
        <v>15</v>
      </c>
      <c r="J672" t="str">
        <f>"FY" &amp; IF(MONTH(GiftData[[#This Row],[Gift_Date]])&gt;=7, RIGHT(YEAR(GiftData[[#This Row],[Gift_Date]])+1, 2), RIGHT(YEAR(GiftData[[#This Row],[Gift_Date]]), 2))</f>
        <v>FY25</v>
      </c>
      <c r="K672">
        <f>IF(COUNTIFS(GiftData[Constituent_ID], GiftData[[#This Row],[Constituent_ID]], GiftData[Fiscal_Year], "FY24")&gt;0, 1, 0)</f>
        <v>1</v>
      </c>
      <c r="L672">
        <f>IF(COUNTIFS(GiftData[Constituent_ID], GiftData[[#This Row],[Constituent_ID]], GiftData[Fiscal_Year], "FY25")&gt;0, 1, 0)</f>
        <v>1</v>
      </c>
      <c r="M672">
        <f>IF(COUNTIFS(GiftData[Constituent_ID], GiftData[[#This Row],[Constituent_ID]], GiftData[Fiscal_Year], "FY26")&gt;0, 1, 0)</f>
        <v>0</v>
      </c>
      <c r="N672" t="str" cm="1">
        <f t="array" ref="N6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73" spans="1:14" x14ac:dyDescent="0.2">
      <c r="A673" t="s">
        <v>1014</v>
      </c>
      <c r="B673" t="s">
        <v>616</v>
      </c>
      <c r="C673" t="s">
        <v>28</v>
      </c>
      <c r="D673" s="1">
        <v>45701</v>
      </c>
      <c r="E673">
        <v>467.34</v>
      </c>
      <c r="F673" t="s">
        <v>19</v>
      </c>
      <c r="G673" t="s">
        <v>13</v>
      </c>
      <c r="H673" t="s">
        <v>164</v>
      </c>
      <c r="I673" t="s">
        <v>56</v>
      </c>
      <c r="J673" t="str">
        <f>"FY" &amp; IF(MONTH(GiftData[[#This Row],[Gift_Date]])&gt;=7, RIGHT(YEAR(GiftData[[#This Row],[Gift_Date]])+1, 2), RIGHT(YEAR(GiftData[[#This Row],[Gift_Date]]), 2))</f>
        <v>FY25</v>
      </c>
      <c r="K673">
        <f>IF(COUNTIFS(GiftData[Constituent_ID], GiftData[[#This Row],[Constituent_ID]], GiftData[Fiscal_Year], "FY24")&gt;0, 1, 0)</f>
        <v>0</v>
      </c>
      <c r="L673">
        <f>IF(COUNTIFS(GiftData[Constituent_ID], GiftData[[#This Row],[Constituent_ID]], GiftData[Fiscal_Year], "FY25")&gt;0, 1, 0)</f>
        <v>1</v>
      </c>
      <c r="M673">
        <f>IF(COUNTIFS(GiftData[Constituent_ID], GiftData[[#This Row],[Constituent_ID]], GiftData[Fiscal_Year], "FY26")&gt;0, 1, 0)</f>
        <v>1</v>
      </c>
      <c r="N673" t="str" cm="1">
        <f t="array" ref="N6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4" spans="1:14" x14ac:dyDescent="0.2">
      <c r="A674" t="s">
        <v>1015</v>
      </c>
      <c r="B674" t="s">
        <v>748</v>
      </c>
      <c r="C674" t="s">
        <v>11</v>
      </c>
      <c r="D674" s="1">
        <v>45851</v>
      </c>
      <c r="E674">
        <v>260.68</v>
      </c>
      <c r="F674" t="s">
        <v>12</v>
      </c>
      <c r="G674" t="s">
        <v>13</v>
      </c>
      <c r="H674" t="s">
        <v>51</v>
      </c>
      <c r="I674" t="s">
        <v>15</v>
      </c>
      <c r="J674" t="str">
        <f>"FY" &amp; IF(MONTH(GiftData[[#This Row],[Gift_Date]])&gt;=7, RIGHT(YEAR(GiftData[[#This Row],[Gift_Date]])+1, 2), RIGHT(YEAR(GiftData[[#This Row],[Gift_Date]]), 2))</f>
        <v>FY26</v>
      </c>
      <c r="K674">
        <f>IF(COUNTIFS(GiftData[Constituent_ID], GiftData[[#This Row],[Constituent_ID]], GiftData[Fiscal_Year], "FY24")&gt;0, 1, 0)</f>
        <v>1</v>
      </c>
      <c r="L674">
        <f>IF(COUNTIFS(GiftData[Constituent_ID], GiftData[[#This Row],[Constituent_ID]], GiftData[Fiscal_Year], "FY25")&gt;0, 1, 0)</f>
        <v>1</v>
      </c>
      <c r="M674">
        <f>IF(COUNTIFS(GiftData[Constituent_ID], GiftData[[#This Row],[Constituent_ID]], GiftData[Fiscal_Year], "FY26")&gt;0, 1, 0)</f>
        <v>1</v>
      </c>
      <c r="N674" t="str" cm="1">
        <f t="array" ref="N6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5" spans="1:14" x14ac:dyDescent="0.2">
      <c r="A675" t="s">
        <v>1016</v>
      </c>
      <c r="B675" t="s">
        <v>986</v>
      </c>
      <c r="C675" t="s">
        <v>28</v>
      </c>
      <c r="D675" s="1">
        <v>45661</v>
      </c>
      <c r="E675">
        <v>28.02</v>
      </c>
      <c r="F675" t="s">
        <v>12</v>
      </c>
      <c r="G675" t="s">
        <v>13</v>
      </c>
      <c r="H675" t="s">
        <v>20</v>
      </c>
      <c r="I675" t="s">
        <v>15</v>
      </c>
      <c r="J675" t="str">
        <f>"FY" &amp; IF(MONTH(GiftData[[#This Row],[Gift_Date]])&gt;=7, RIGHT(YEAR(GiftData[[#This Row],[Gift_Date]])+1, 2), RIGHT(YEAR(GiftData[[#This Row],[Gift_Date]]), 2))</f>
        <v>FY25</v>
      </c>
      <c r="K675">
        <f>IF(COUNTIFS(GiftData[Constituent_ID], GiftData[[#This Row],[Constituent_ID]], GiftData[Fiscal_Year], "FY24")&gt;0, 1, 0)</f>
        <v>1</v>
      </c>
      <c r="L675">
        <f>IF(COUNTIFS(GiftData[Constituent_ID], GiftData[[#This Row],[Constituent_ID]], GiftData[Fiscal_Year], "FY25")&gt;0, 1, 0)</f>
        <v>1</v>
      </c>
      <c r="M675">
        <f>IF(COUNTIFS(GiftData[Constituent_ID], GiftData[[#This Row],[Constituent_ID]], GiftData[Fiscal_Year], "FY26")&gt;0, 1, 0)</f>
        <v>0</v>
      </c>
      <c r="N675" t="str" cm="1">
        <f t="array" ref="N6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76" spans="1:14" x14ac:dyDescent="0.2">
      <c r="A676" t="s">
        <v>1017</v>
      </c>
      <c r="B676" t="s">
        <v>296</v>
      </c>
      <c r="C676" t="s">
        <v>28</v>
      </c>
      <c r="D676" s="1">
        <v>45128</v>
      </c>
      <c r="E676">
        <v>34.29</v>
      </c>
      <c r="F676" t="s">
        <v>19</v>
      </c>
      <c r="G676" t="s">
        <v>13</v>
      </c>
      <c r="H676" t="s">
        <v>41</v>
      </c>
      <c r="I676" t="s">
        <v>15</v>
      </c>
      <c r="J676" t="str">
        <f>"FY" &amp; IF(MONTH(GiftData[[#This Row],[Gift_Date]])&gt;=7, RIGHT(YEAR(GiftData[[#This Row],[Gift_Date]])+1, 2), RIGHT(YEAR(GiftData[[#This Row],[Gift_Date]]), 2))</f>
        <v>FY24</v>
      </c>
      <c r="K676">
        <f>IF(COUNTIFS(GiftData[Constituent_ID], GiftData[[#This Row],[Constituent_ID]], GiftData[Fiscal_Year], "FY24")&gt;0, 1, 0)</f>
        <v>1</v>
      </c>
      <c r="L676">
        <f>IF(COUNTIFS(GiftData[Constituent_ID], GiftData[[#This Row],[Constituent_ID]], GiftData[Fiscal_Year], "FY25")&gt;0, 1, 0)</f>
        <v>1</v>
      </c>
      <c r="M676">
        <f>IF(COUNTIFS(GiftData[Constituent_ID], GiftData[[#This Row],[Constituent_ID]], GiftData[Fiscal_Year], "FY26")&gt;0, 1, 0)</f>
        <v>0</v>
      </c>
      <c r="N676" t="str" cm="1">
        <f t="array" ref="N6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77" spans="1:14" x14ac:dyDescent="0.2">
      <c r="A677" t="s">
        <v>1018</v>
      </c>
      <c r="B677" t="s">
        <v>886</v>
      </c>
      <c r="C677" t="s">
        <v>28</v>
      </c>
      <c r="D677" s="1">
        <v>45661</v>
      </c>
      <c r="E677">
        <v>15</v>
      </c>
      <c r="F677" t="s">
        <v>19</v>
      </c>
      <c r="G677" t="s">
        <v>29</v>
      </c>
      <c r="H677" t="s">
        <v>51</v>
      </c>
      <c r="I677" t="s">
        <v>15</v>
      </c>
      <c r="J677" t="str">
        <f>"FY" &amp; IF(MONTH(GiftData[[#This Row],[Gift_Date]])&gt;=7, RIGHT(YEAR(GiftData[[#This Row],[Gift_Date]])+1, 2), RIGHT(YEAR(GiftData[[#This Row],[Gift_Date]]), 2))</f>
        <v>FY25</v>
      </c>
      <c r="K677">
        <f>IF(COUNTIFS(GiftData[Constituent_ID], GiftData[[#This Row],[Constituent_ID]], GiftData[Fiscal_Year], "FY24")&gt;0, 1, 0)</f>
        <v>1</v>
      </c>
      <c r="L677">
        <f>IF(COUNTIFS(GiftData[Constituent_ID], GiftData[[#This Row],[Constituent_ID]], GiftData[Fiscal_Year], "FY25")&gt;0, 1, 0)</f>
        <v>1</v>
      </c>
      <c r="M677">
        <f>IF(COUNTIFS(GiftData[Constituent_ID], GiftData[[#This Row],[Constituent_ID]], GiftData[Fiscal_Year], "FY26")&gt;0, 1, 0)</f>
        <v>1</v>
      </c>
      <c r="N677" t="str" cm="1">
        <f t="array" ref="N6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78" spans="1:14" x14ac:dyDescent="0.2">
      <c r="A678" t="s">
        <v>1019</v>
      </c>
      <c r="B678" t="s">
        <v>986</v>
      </c>
      <c r="C678" t="s">
        <v>18</v>
      </c>
      <c r="D678" s="1">
        <v>45504</v>
      </c>
      <c r="E678">
        <v>221.06</v>
      </c>
      <c r="F678" t="s">
        <v>12</v>
      </c>
      <c r="G678" t="s">
        <v>13</v>
      </c>
      <c r="H678" t="s">
        <v>20</v>
      </c>
      <c r="I678" t="s">
        <v>15</v>
      </c>
      <c r="J678" t="str">
        <f>"FY" &amp; IF(MONTH(GiftData[[#This Row],[Gift_Date]])&gt;=7, RIGHT(YEAR(GiftData[[#This Row],[Gift_Date]])+1, 2), RIGHT(YEAR(GiftData[[#This Row],[Gift_Date]]), 2))</f>
        <v>FY25</v>
      </c>
      <c r="K678">
        <f>IF(COUNTIFS(GiftData[Constituent_ID], GiftData[[#This Row],[Constituent_ID]], GiftData[Fiscal_Year], "FY24")&gt;0, 1, 0)</f>
        <v>1</v>
      </c>
      <c r="L678">
        <f>IF(COUNTIFS(GiftData[Constituent_ID], GiftData[[#This Row],[Constituent_ID]], GiftData[Fiscal_Year], "FY25")&gt;0, 1, 0)</f>
        <v>1</v>
      </c>
      <c r="M678">
        <f>IF(COUNTIFS(GiftData[Constituent_ID], GiftData[[#This Row],[Constituent_ID]], GiftData[Fiscal_Year], "FY26")&gt;0, 1, 0)</f>
        <v>0</v>
      </c>
      <c r="N678" t="str" cm="1">
        <f t="array" ref="N6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79" spans="1:14" x14ac:dyDescent="0.2">
      <c r="A679" t="s">
        <v>1020</v>
      </c>
      <c r="B679" t="s">
        <v>393</v>
      </c>
      <c r="C679" t="s">
        <v>18</v>
      </c>
      <c r="D679" s="1">
        <v>45732</v>
      </c>
      <c r="E679">
        <v>21.02</v>
      </c>
      <c r="F679" t="s">
        <v>12</v>
      </c>
      <c r="G679" t="s">
        <v>13</v>
      </c>
      <c r="H679" t="s">
        <v>14</v>
      </c>
      <c r="I679" t="s">
        <v>15</v>
      </c>
      <c r="J679" t="str">
        <f>"FY" &amp; IF(MONTH(GiftData[[#This Row],[Gift_Date]])&gt;=7, RIGHT(YEAR(GiftData[[#This Row],[Gift_Date]])+1, 2), RIGHT(YEAR(GiftData[[#This Row],[Gift_Date]]), 2))</f>
        <v>FY25</v>
      </c>
      <c r="K679">
        <f>IF(COUNTIFS(GiftData[Constituent_ID], GiftData[[#This Row],[Constituent_ID]], GiftData[Fiscal_Year], "FY24")&gt;0, 1, 0)</f>
        <v>1</v>
      </c>
      <c r="L679">
        <f>IF(COUNTIFS(GiftData[Constituent_ID], GiftData[[#This Row],[Constituent_ID]], GiftData[Fiscal_Year], "FY25")&gt;0, 1, 0)</f>
        <v>1</v>
      </c>
      <c r="M679">
        <f>IF(COUNTIFS(GiftData[Constituent_ID], GiftData[[#This Row],[Constituent_ID]], GiftData[Fiscal_Year], "FY26")&gt;0, 1, 0)</f>
        <v>1</v>
      </c>
      <c r="N679" t="str" cm="1">
        <f t="array" ref="N6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0" spans="1:14" x14ac:dyDescent="0.2">
      <c r="A680" t="s">
        <v>1021</v>
      </c>
      <c r="B680" t="s">
        <v>852</v>
      </c>
      <c r="C680" t="s">
        <v>35</v>
      </c>
      <c r="D680" s="1">
        <v>45212</v>
      </c>
      <c r="E680">
        <v>15</v>
      </c>
      <c r="F680" t="s">
        <v>59</v>
      </c>
      <c r="G680" t="s">
        <v>13</v>
      </c>
      <c r="H680" t="s">
        <v>41</v>
      </c>
      <c r="I680" t="s">
        <v>15</v>
      </c>
      <c r="J680" t="str">
        <f>"FY" &amp; IF(MONTH(GiftData[[#This Row],[Gift_Date]])&gt;=7, RIGHT(YEAR(GiftData[[#This Row],[Gift_Date]])+1, 2), RIGHT(YEAR(GiftData[[#This Row],[Gift_Date]]), 2))</f>
        <v>FY24</v>
      </c>
      <c r="K680">
        <f>IF(COUNTIFS(GiftData[Constituent_ID], GiftData[[#This Row],[Constituent_ID]], GiftData[Fiscal_Year], "FY24")&gt;0, 1, 0)</f>
        <v>1</v>
      </c>
      <c r="L680">
        <f>IF(COUNTIFS(GiftData[Constituent_ID], GiftData[[#This Row],[Constituent_ID]], GiftData[Fiscal_Year], "FY25")&gt;0, 1, 0)</f>
        <v>1</v>
      </c>
      <c r="M680">
        <f>IF(COUNTIFS(GiftData[Constituent_ID], GiftData[[#This Row],[Constituent_ID]], GiftData[Fiscal_Year], "FY26")&gt;0, 1, 0)</f>
        <v>1</v>
      </c>
      <c r="N680" t="str" cm="1">
        <f t="array" ref="N6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1" spans="1:14" x14ac:dyDescent="0.2">
      <c r="A681" t="s">
        <v>1022</v>
      </c>
      <c r="B681" t="s">
        <v>1023</v>
      </c>
      <c r="C681" t="s">
        <v>11</v>
      </c>
      <c r="D681" s="1">
        <v>45299</v>
      </c>
      <c r="E681">
        <v>637.46</v>
      </c>
      <c r="F681" t="s">
        <v>25</v>
      </c>
      <c r="G681" t="s">
        <v>29</v>
      </c>
      <c r="H681" t="s">
        <v>14</v>
      </c>
      <c r="I681" t="s">
        <v>56</v>
      </c>
      <c r="J681" t="str">
        <f>"FY" &amp; IF(MONTH(GiftData[[#This Row],[Gift_Date]])&gt;=7, RIGHT(YEAR(GiftData[[#This Row],[Gift_Date]])+1, 2), RIGHT(YEAR(GiftData[[#This Row],[Gift_Date]]), 2))</f>
        <v>FY24</v>
      </c>
      <c r="K681">
        <f>IF(COUNTIFS(GiftData[Constituent_ID], GiftData[[#This Row],[Constituent_ID]], GiftData[Fiscal_Year], "FY24")&gt;0, 1, 0)</f>
        <v>1</v>
      </c>
      <c r="L681">
        <f>IF(COUNTIFS(GiftData[Constituent_ID], GiftData[[#This Row],[Constituent_ID]], GiftData[Fiscal_Year], "FY25")&gt;0, 1, 0)</f>
        <v>0</v>
      </c>
      <c r="M681">
        <f>IF(COUNTIFS(GiftData[Constituent_ID], GiftData[[#This Row],[Constituent_ID]], GiftData[Fiscal_Year], "FY26")&gt;0, 1, 0)</f>
        <v>0</v>
      </c>
      <c r="N681" t="str" cm="1">
        <f t="array" ref="N6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682" spans="1:14" x14ac:dyDescent="0.2">
      <c r="A682" t="s">
        <v>1024</v>
      </c>
      <c r="B682" t="s">
        <v>335</v>
      </c>
      <c r="C682" t="s">
        <v>28</v>
      </c>
      <c r="D682" s="1">
        <v>45124</v>
      </c>
      <c r="E682">
        <v>329.85</v>
      </c>
      <c r="F682" t="s">
        <v>25</v>
      </c>
      <c r="G682" t="s">
        <v>13</v>
      </c>
      <c r="H682" t="s">
        <v>20</v>
      </c>
      <c r="I682" t="s">
        <v>15</v>
      </c>
      <c r="J682" t="str">
        <f>"FY" &amp; IF(MONTH(GiftData[[#This Row],[Gift_Date]])&gt;=7, RIGHT(YEAR(GiftData[[#This Row],[Gift_Date]])+1, 2), RIGHT(YEAR(GiftData[[#This Row],[Gift_Date]]), 2))</f>
        <v>FY24</v>
      </c>
      <c r="K682">
        <f>IF(COUNTIFS(GiftData[Constituent_ID], GiftData[[#This Row],[Constituent_ID]], GiftData[Fiscal_Year], "FY24")&gt;0, 1, 0)</f>
        <v>1</v>
      </c>
      <c r="L682">
        <f>IF(COUNTIFS(GiftData[Constituent_ID], GiftData[[#This Row],[Constituent_ID]], GiftData[Fiscal_Year], "FY25")&gt;0, 1, 0)</f>
        <v>1</v>
      </c>
      <c r="M682">
        <f>IF(COUNTIFS(GiftData[Constituent_ID], GiftData[[#This Row],[Constituent_ID]], GiftData[Fiscal_Year], "FY26")&gt;0, 1, 0)</f>
        <v>1</v>
      </c>
      <c r="N682" t="str" cm="1">
        <f t="array" ref="N6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3" spans="1:14" x14ac:dyDescent="0.2">
      <c r="A683" t="s">
        <v>1025</v>
      </c>
      <c r="B683" t="s">
        <v>894</v>
      </c>
      <c r="C683" t="s">
        <v>11</v>
      </c>
      <c r="D683" s="1">
        <v>45500</v>
      </c>
      <c r="E683">
        <v>78.8</v>
      </c>
      <c r="F683" t="s">
        <v>59</v>
      </c>
      <c r="G683" t="s">
        <v>13</v>
      </c>
      <c r="H683" t="s">
        <v>41</v>
      </c>
      <c r="I683" t="s">
        <v>38</v>
      </c>
      <c r="J683" t="str">
        <f>"FY" &amp; IF(MONTH(GiftData[[#This Row],[Gift_Date]])&gt;=7, RIGHT(YEAR(GiftData[[#This Row],[Gift_Date]])+1, 2), RIGHT(YEAR(GiftData[[#This Row],[Gift_Date]]), 2))</f>
        <v>FY25</v>
      </c>
      <c r="K683">
        <f>IF(COUNTIFS(GiftData[Constituent_ID], GiftData[[#This Row],[Constituent_ID]], GiftData[Fiscal_Year], "FY24")&gt;0, 1, 0)</f>
        <v>0</v>
      </c>
      <c r="L683">
        <f>IF(COUNTIFS(GiftData[Constituent_ID], GiftData[[#This Row],[Constituent_ID]], GiftData[Fiscal_Year], "FY25")&gt;0, 1, 0)</f>
        <v>1</v>
      </c>
      <c r="M683">
        <f>IF(COUNTIFS(GiftData[Constituent_ID], GiftData[[#This Row],[Constituent_ID]], GiftData[Fiscal_Year], "FY26")&gt;0, 1, 0)</f>
        <v>1</v>
      </c>
      <c r="N683" t="str" cm="1">
        <f t="array" ref="N6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4" spans="1:14" x14ac:dyDescent="0.2">
      <c r="A684" t="s">
        <v>1026</v>
      </c>
      <c r="B684" t="s">
        <v>91</v>
      </c>
      <c r="C684" t="s">
        <v>11</v>
      </c>
      <c r="D684" s="1">
        <v>45532</v>
      </c>
      <c r="E684">
        <v>102.08</v>
      </c>
      <c r="F684" t="s">
        <v>25</v>
      </c>
      <c r="G684" t="s">
        <v>13</v>
      </c>
      <c r="H684" t="s">
        <v>164</v>
      </c>
      <c r="I684" t="s">
        <v>56</v>
      </c>
      <c r="J684" t="str">
        <f>"FY" &amp; IF(MONTH(GiftData[[#This Row],[Gift_Date]])&gt;=7, RIGHT(YEAR(GiftData[[#This Row],[Gift_Date]])+1, 2), RIGHT(YEAR(GiftData[[#This Row],[Gift_Date]]), 2))</f>
        <v>FY25</v>
      </c>
      <c r="K684">
        <f>IF(COUNTIFS(GiftData[Constituent_ID], GiftData[[#This Row],[Constituent_ID]], GiftData[Fiscal_Year], "FY24")&gt;0, 1, 0)</f>
        <v>0</v>
      </c>
      <c r="L684">
        <f>IF(COUNTIFS(GiftData[Constituent_ID], GiftData[[#This Row],[Constituent_ID]], GiftData[Fiscal_Year], "FY25")&gt;0, 1, 0)</f>
        <v>1</v>
      </c>
      <c r="M684">
        <f>IF(COUNTIFS(GiftData[Constituent_ID], GiftData[[#This Row],[Constituent_ID]], GiftData[Fiscal_Year], "FY26")&gt;0, 1, 0)</f>
        <v>1</v>
      </c>
      <c r="N684" t="str" cm="1">
        <f t="array" ref="N6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5" spans="1:14" x14ac:dyDescent="0.2">
      <c r="A685" t="s">
        <v>1027</v>
      </c>
      <c r="B685" t="s">
        <v>114</v>
      </c>
      <c r="C685" t="s">
        <v>18</v>
      </c>
      <c r="D685" s="1">
        <v>45236</v>
      </c>
      <c r="E685">
        <v>15</v>
      </c>
      <c r="F685" t="s">
        <v>12</v>
      </c>
      <c r="G685" t="s">
        <v>13</v>
      </c>
      <c r="H685" t="s">
        <v>41</v>
      </c>
      <c r="I685" t="s">
        <v>15</v>
      </c>
      <c r="J685" t="str">
        <f>"FY" &amp; IF(MONTH(GiftData[[#This Row],[Gift_Date]])&gt;=7, RIGHT(YEAR(GiftData[[#This Row],[Gift_Date]])+1, 2), RIGHT(YEAR(GiftData[[#This Row],[Gift_Date]]), 2))</f>
        <v>FY24</v>
      </c>
      <c r="K685">
        <f>IF(COUNTIFS(GiftData[Constituent_ID], GiftData[[#This Row],[Constituent_ID]], GiftData[Fiscal_Year], "FY24")&gt;0, 1, 0)</f>
        <v>1</v>
      </c>
      <c r="L685">
        <f>IF(COUNTIFS(GiftData[Constituent_ID], GiftData[[#This Row],[Constituent_ID]], GiftData[Fiscal_Year], "FY25")&gt;0, 1, 0)</f>
        <v>0</v>
      </c>
      <c r="M685">
        <f>IF(COUNTIFS(GiftData[Constituent_ID], GiftData[[#This Row],[Constituent_ID]], GiftData[Fiscal_Year], "FY26")&gt;0, 1, 0)</f>
        <v>1</v>
      </c>
      <c r="N685" t="str" cm="1">
        <f t="array" ref="N6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6" spans="1:14" x14ac:dyDescent="0.2">
      <c r="A686" t="s">
        <v>1028</v>
      </c>
      <c r="B686" t="s">
        <v>819</v>
      </c>
      <c r="C686" t="s">
        <v>18</v>
      </c>
      <c r="D686" s="1">
        <v>45679</v>
      </c>
      <c r="E686">
        <v>400.12</v>
      </c>
      <c r="F686" t="s">
        <v>25</v>
      </c>
      <c r="G686" t="s">
        <v>13</v>
      </c>
      <c r="H686" t="s">
        <v>41</v>
      </c>
      <c r="I686" t="s">
        <v>56</v>
      </c>
      <c r="J686" t="str">
        <f>"FY" &amp; IF(MONTH(GiftData[[#This Row],[Gift_Date]])&gt;=7, RIGHT(YEAR(GiftData[[#This Row],[Gift_Date]])+1, 2), RIGHT(YEAR(GiftData[[#This Row],[Gift_Date]]), 2))</f>
        <v>FY25</v>
      </c>
      <c r="K686">
        <f>IF(COUNTIFS(GiftData[Constituent_ID], GiftData[[#This Row],[Constituent_ID]], GiftData[Fiscal_Year], "FY24")&gt;0, 1, 0)</f>
        <v>0</v>
      </c>
      <c r="L686">
        <f>IF(COUNTIFS(GiftData[Constituent_ID], GiftData[[#This Row],[Constituent_ID]], GiftData[Fiscal_Year], "FY25")&gt;0, 1, 0)</f>
        <v>1</v>
      </c>
      <c r="M686">
        <f>IF(COUNTIFS(GiftData[Constituent_ID], GiftData[[#This Row],[Constituent_ID]], GiftData[Fiscal_Year], "FY26")&gt;0, 1, 0)</f>
        <v>1</v>
      </c>
      <c r="N686" t="str" cm="1">
        <f t="array" ref="N6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7" spans="1:14" x14ac:dyDescent="0.2">
      <c r="A687" t="s">
        <v>1029</v>
      </c>
      <c r="B687" t="s">
        <v>312</v>
      </c>
      <c r="C687" t="s">
        <v>48</v>
      </c>
      <c r="D687" s="1">
        <v>45136</v>
      </c>
      <c r="E687">
        <v>49.38</v>
      </c>
      <c r="F687" t="s">
        <v>12</v>
      </c>
      <c r="G687" t="s">
        <v>13</v>
      </c>
      <c r="H687" t="s">
        <v>14</v>
      </c>
      <c r="I687" t="s">
        <v>38</v>
      </c>
      <c r="J687" t="str">
        <f>"FY" &amp; IF(MONTH(GiftData[[#This Row],[Gift_Date]])&gt;=7, RIGHT(YEAR(GiftData[[#This Row],[Gift_Date]])+1, 2), RIGHT(YEAR(GiftData[[#This Row],[Gift_Date]]), 2))</f>
        <v>FY24</v>
      </c>
      <c r="K687">
        <f>IF(COUNTIFS(GiftData[Constituent_ID], GiftData[[#This Row],[Constituent_ID]], GiftData[Fiscal_Year], "FY24")&gt;0, 1, 0)</f>
        <v>1</v>
      </c>
      <c r="L687">
        <f>IF(COUNTIFS(GiftData[Constituent_ID], GiftData[[#This Row],[Constituent_ID]], GiftData[Fiscal_Year], "FY25")&gt;0, 1, 0)</f>
        <v>1</v>
      </c>
      <c r="M687">
        <f>IF(COUNTIFS(GiftData[Constituent_ID], GiftData[[#This Row],[Constituent_ID]], GiftData[Fiscal_Year], "FY26")&gt;0, 1, 0)</f>
        <v>0</v>
      </c>
      <c r="N687" t="str" cm="1">
        <f t="array" ref="N6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88" spans="1:14" x14ac:dyDescent="0.2">
      <c r="A688" t="s">
        <v>1030</v>
      </c>
      <c r="B688" t="s">
        <v>486</v>
      </c>
      <c r="C688" t="s">
        <v>35</v>
      </c>
      <c r="D688" s="1">
        <v>46141</v>
      </c>
      <c r="E688">
        <v>186.68</v>
      </c>
      <c r="F688" t="s">
        <v>25</v>
      </c>
      <c r="G688" t="s">
        <v>13</v>
      </c>
      <c r="H688" t="s">
        <v>20</v>
      </c>
      <c r="I688" t="s">
        <v>15</v>
      </c>
      <c r="J688" t="str">
        <f>"FY" &amp; IF(MONTH(GiftData[[#This Row],[Gift_Date]])&gt;=7, RIGHT(YEAR(GiftData[[#This Row],[Gift_Date]])+1, 2), RIGHT(YEAR(GiftData[[#This Row],[Gift_Date]]), 2))</f>
        <v>FY26</v>
      </c>
      <c r="K688">
        <f>IF(COUNTIFS(GiftData[Constituent_ID], GiftData[[#This Row],[Constituent_ID]], GiftData[Fiscal_Year], "FY24")&gt;0, 1, 0)</f>
        <v>1</v>
      </c>
      <c r="L688">
        <f>IF(COUNTIFS(GiftData[Constituent_ID], GiftData[[#This Row],[Constituent_ID]], GiftData[Fiscal_Year], "FY25")&gt;0, 1, 0)</f>
        <v>1</v>
      </c>
      <c r="M688">
        <f>IF(COUNTIFS(GiftData[Constituent_ID], GiftData[[#This Row],[Constituent_ID]], GiftData[Fiscal_Year], "FY26")&gt;0, 1, 0)</f>
        <v>1</v>
      </c>
      <c r="N688" t="str" cm="1">
        <f t="array" ref="N6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89" spans="1:14" x14ac:dyDescent="0.2">
      <c r="A689" t="s">
        <v>1031</v>
      </c>
      <c r="B689" t="s">
        <v>1032</v>
      </c>
      <c r="C689" t="s">
        <v>28</v>
      </c>
      <c r="D689" s="1">
        <v>45349</v>
      </c>
      <c r="E689">
        <v>15</v>
      </c>
      <c r="F689" t="s">
        <v>25</v>
      </c>
      <c r="G689" t="s">
        <v>29</v>
      </c>
      <c r="H689" t="s">
        <v>41</v>
      </c>
      <c r="I689" t="s">
        <v>30</v>
      </c>
      <c r="J689" t="str">
        <f>"FY" &amp; IF(MONTH(GiftData[[#This Row],[Gift_Date]])&gt;=7, RIGHT(YEAR(GiftData[[#This Row],[Gift_Date]])+1, 2), RIGHT(YEAR(GiftData[[#This Row],[Gift_Date]]), 2))</f>
        <v>FY24</v>
      </c>
      <c r="K689">
        <f>IF(COUNTIFS(GiftData[Constituent_ID], GiftData[[#This Row],[Constituent_ID]], GiftData[Fiscal_Year], "FY24")&gt;0, 1, 0)</f>
        <v>1</v>
      </c>
      <c r="L689">
        <f>IF(COUNTIFS(GiftData[Constituent_ID], GiftData[[#This Row],[Constituent_ID]], GiftData[Fiscal_Year], "FY25")&gt;0, 1, 0)</f>
        <v>0</v>
      </c>
      <c r="M689">
        <f>IF(COUNTIFS(GiftData[Constituent_ID], GiftData[[#This Row],[Constituent_ID]], GiftData[Fiscal_Year], "FY26")&gt;0, 1, 0)</f>
        <v>0</v>
      </c>
      <c r="N689" t="str" cm="1">
        <f t="array" ref="N6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690" spans="1:14" x14ac:dyDescent="0.2">
      <c r="A690" t="s">
        <v>1033</v>
      </c>
      <c r="B690" t="s">
        <v>284</v>
      </c>
      <c r="C690" t="s">
        <v>11</v>
      </c>
      <c r="D690" s="1">
        <v>45339</v>
      </c>
      <c r="E690">
        <v>433.04</v>
      </c>
      <c r="F690" t="s">
        <v>12</v>
      </c>
      <c r="G690" t="s">
        <v>13</v>
      </c>
      <c r="H690" t="s">
        <v>20</v>
      </c>
      <c r="I690" t="s">
        <v>15</v>
      </c>
      <c r="J690" t="str">
        <f>"FY" &amp; IF(MONTH(GiftData[[#This Row],[Gift_Date]])&gt;=7, RIGHT(YEAR(GiftData[[#This Row],[Gift_Date]])+1, 2), RIGHT(YEAR(GiftData[[#This Row],[Gift_Date]]), 2))</f>
        <v>FY24</v>
      </c>
      <c r="K690">
        <f>IF(COUNTIFS(GiftData[Constituent_ID], GiftData[[#This Row],[Constituent_ID]], GiftData[Fiscal_Year], "FY24")&gt;0, 1, 0)</f>
        <v>1</v>
      </c>
      <c r="L690">
        <f>IF(COUNTIFS(GiftData[Constituent_ID], GiftData[[#This Row],[Constituent_ID]], GiftData[Fiscal_Year], "FY25")&gt;0, 1, 0)</f>
        <v>1</v>
      </c>
      <c r="M690">
        <f>IF(COUNTIFS(GiftData[Constituent_ID], GiftData[[#This Row],[Constituent_ID]], GiftData[Fiscal_Year], "FY26")&gt;0, 1, 0)</f>
        <v>0</v>
      </c>
      <c r="N690" t="str" cm="1">
        <f t="array" ref="N6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691" spans="1:14" x14ac:dyDescent="0.2">
      <c r="A691" t="s">
        <v>1034</v>
      </c>
      <c r="B691" t="s">
        <v>222</v>
      </c>
      <c r="C691" t="s">
        <v>28</v>
      </c>
      <c r="D691" s="1">
        <v>45896</v>
      </c>
      <c r="E691">
        <v>45.66</v>
      </c>
      <c r="F691" t="s">
        <v>12</v>
      </c>
      <c r="G691" t="s">
        <v>13</v>
      </c>
      <c r="H691" t="s">
        <v>51</v>
      </c>
      <c r="I691" t="s">
        <v>15</v>
      </c>
      <c r="J691" t="str">
        <f>"FY" &amp; IF(MONTH(GiftData[[#This Row],[Gift_Date]])&gt;=7, RIGHT(YEAR(GiftData[[#This Row],[Gift_Date]])+1, 2), RIGHT(YEAR(GiftData[[#This Row],[Gift_Date]]), 2))</f>
        <v>FY26</v>
      </c>
      <c r="K691">
        <f>IF(COUNTIFS(GiftData[Constituent_ID], GiftData[[#This Row],[Constituent_ID]], GiftData[Fiscal_Year], "FY24")&gt;0, 1, 0)</f>
        <v>0</v>
      </c>
      <c r="L691">
        <f>IF(COUNTIFS(GiftData[Constituent_ID], GiftData[[#This Row],[Constituent_ID]], GiftData[Fiscal_Year], "FY25")&gt;0, 1, 0)</f>
        <v>1</v>
      </c>
      <c r="M691">
        <f>IF(COUNTIFS(GiftData[Constituent_ID], GiftData[[#This Row],[Constituent_ID]], GiftData[Fiscal_Year], "FY26")&gt;0, 1, 0)</f>
        <v>1</v>
      </c>
      <c r="N691" t="str" cm="1">
        <f t="array" ref="N6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2" spans="1:14" x14ac:dyDescent="0.2">
      <c r="A692" t="s">
        <v>1035</v>
      </c>
      <c r="B692" t="s">
        <v>344</v>
      </c>
      <c r="C692" t="s">
        <v>28</v>
      </c>
      <c r="D692" s="1">
        <v>45822</v>
      </c>
      <c r="E692">
        <v>20.309999999999999</v>
      </c>
      <c r="F692" t="s">
        <v>12</v>
      </c>
      <c r="G692" t="s">
        <v>13</v>
      </c>
      <c r="H692" t="s">
        <v>20</v>
      </c>
      <c r="I692" t="s">
        <v>38</v>
      </c>
      <c r="J692" t="str">
        <f>"FY" &amp; IF(MONTH(GiftData[[#This Row],[Gift_Date]])&gt;=7, RIGHT(YEAR(GiftData[[#This Row],[Gift_Date]])+1, 2), RIGHT(YEAR(GiftData[[#This Row],[Gift_Date]]), 2))</f>
        <v>FY25</v>
      </c>
      <c r="K692">
        <f>IF(COUNTIFS(GiftData[Constituent_ID], GiftData[[#This Row],[Constituent_ID]], GiftData[Fiscal_Year], "FY24")&gt;0, 1, 0)</f>
        <v>1</v>
      </c>
      <c r="L692">
        <f>IF(COUNTIFS(GiftData[Constituent_ID], GiftData[[#This Row],[Constituent_ID]], GiftData[Fiscal_Year], "FY25")&gt;0, 1, 0)</f>
        <v>1</v>
      </c>
      <c r="M692">
        <f>IF(COUNTIFS(GiftData[Constituent_ID], GiftData[[#This Row],[Constituent_ID]], GiftData[Fiscal_Year], "FY26")&gt;0, 1, 0)</f>
        <v>1</v>
      </c>
      <c r="N692" t="str" cm="1">
        <f t="array" ref="N6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3" spans="1:14" x14ac:dyDescent="0.2">
      <c r="A693" t="s">
        <v>1036</v>
      </c>
      <c r="B693" t="s">
        <v>1037</v>
      </c>
      <c r="C693" t="s">
        <v>28</v>
      </c>
      <c r="D693" s="1">
        <v>45866</v>
      </c>
      <c r="E693">
        <v>78.14</v>
      </c>
      <c r="F693" t="s">
        <v>12</v>
      </c>
      <c r="G693" t="s">
        <v>29</v>
      </c>
      <c r="H693" t="s">
        <v>14</v>
      </c>
      <c r="I693" t="s">
        <v>15</v>
      </c>
      <c r="J693" t="str">
        <f>"FY" &amp; IF(MONTH(GiftData[[#This Row],[Gift_Date]])&gt;=7, RIGHT(YEAR(GiftData[[#This Row],[Gift_Date]])+1, 2), RIGHT(YEAR(GiftData[[#This Row],[Gift_Date]]), 2))</f>
        <v>FY26</v>
      </c>
      <c r="K693">
        <f>IF(COUNTIFS(GiftData[Constituent_ID], GiftData[[#This Row],[Constituent_ID]], GiftData[Fiscal_Year], "FY24")&gt;0, 1, 0)</f>
        <v>1</v>
      </c>
      <c r="L693">
        <f>IF(COUNTIFS(GiftData[Constituent_ID], GiftData[[#This Row],[Constituent_ID]], GiftData[Fiscal_Year], "FY25")&gt;0, 1, 0)</f>
        <v>0</v>
      </c>
      <c r="M693">
        <f>IF(COUNTIFS(GiftData[Constituent_ID], GiftData[[#This Row],[Constituent_ID]], GiftData[Fiscal_Year], "FY26")&gt;0, 1, 0)</f>
        <v>1</v>
      </c>
      <c r="N693" t="str" cm="1">
        <f t="array" ref="N6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4" spans="1:14" x14ac:dyDescent="0.2">
      <c r="A694" t="s">
        <v>1038</v>
      </c>
      <c r="B694" t="s">
        <v>995</v>
      </c>
      <c r="C694" t="s">
        <v>18</v>
      </c>
      <c r="D694" s="1">
        <v>45909</v>
      </c>
      <c r="E694">
        <v>55.96</v>
      </c>
      <c r="F694" t="s">
        <v>25</v>
      </c>
      <c r="G694" t="s">
        <v>13</v>
      </c>
      <c r="H694" t="s">
        <v>14</v>
      </c>
      <c r="I694" t="s">
        <v>15</v>
      </c>
      <c r="J694" t="str">
        <f>"FY" &amp; IF(MONTH(GiftData[[#This Row],[Gift_Date]])&gt;=7, RIGHT(YEAR(GiftData[[#This Row],[Gift_Date]])+1, 2), RIGHT(YEAR(GiftData[[#This Row],[Gift_Date]]), 2))</f>
        <v>FY26</v>
      </c>
      <c r="K694">
        <f>IF(COUNTIFS(GiftData[Constituent_ID], GiftData[[#This Row],[Constituent_ID]], GiftData[Fiscal_Year], "FY24")&gt;0, 1, 0)</f>
        <v>0</v>
      </c>
      <c r="L694">
        <f>IF(COUNTIFS(GiftData[Constituent_ID], GiftData[[#This Row],[Constituent_ID]], GiftData[Fiscal_Year], "FY25")&gt;0, 1, 0)</f>
        <v>1</v>
      </c>
      <c r="M694">
        <f>IF(COUNTIFS(GiftData[Constituent_ID], GiftData[[#This Row],[Constituent_ID]], GiftData[Fiscal_Year], "FY26")&gt;0, 1, 0)</f>
        <v>1</v>
      </c>
      <c r="N694" t="str" cm="1">
        <f t="array" ref="N6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5" spans="1:14" x14ac:dyDescent="0.2">
      <c r="A695" t="s">
        <v>1039</v>
      </c>
      <c r="B695" t="s">
        <v>79</v>
      </c>
      <c r="C695" t="s">
        <v>28</v>
      </c>
      <c r="D695" s="1">
        <v>45883</v>
      </c>
      <c r="E695">
        <v>491.05</v>
      </c>
      <c r="F695" t="s">
        <v>12</v>
      </c>
      <c r="G695" t="s">
        <v>13</v>
      </c>
      <c r="H695" t="s">
        <v>164</v>
      </c>
      <c r="I695" t="s">
        <v>15</v>
      </c>
      <c r="J695" t="str">
        <f>"FY" &amp; IF(MONTH(GiftData[[#This Row],[Gift_Date]])&gt;=7, RIGHT(YEAR(GiftData[[#This Row],[Gift_Date]])+1, 2), RIGHT(YEAR(GiftData[[#This Row],[Gift_Date]]), 2))</f>
        <v>FY26</v>
      </c>
      <c r="K695">
        <f>IF(COUNTIFS(GiftData[Constituent_ID], GiftData[[#This Row],[Constituent_ID]], GiftData[Fiscal_Year], "FY24")&gt;0, 1, 0)</f>
        <v>1</v>
      </c>
      <c r="L695">
        <f>IF(COUNTIFS(GiftData[Constituent_ID], GiftData[[#This Row],[Constituent_ID]], GiftData[Fiscal_Year], "FY25")&gt;0, 1, 0)</f>
        <v>1</v>
      </c>
      <c r="M695">
        <f>IF(COUNTIFS(GiftData[Constituent_ID], GiftData[[#This Row],[Constituent_ID]], GiftData[Fiscal_Year], "FY26")&gt;0, 1, 0)</f>
        <v>1</v>
      </c>
      <c r="N695" t="str" cm="1">
        <f t="array" ref="N6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6" spans="1:14" x14ac:dyDescent="0.2">
      <c r="A696" t="s">
        <v>1040</v>
      </c>
      <c r="B696" t="s">
        <v>644</v>
      </c>
      <c r="C696" t="s">
        <v>35</v>
      </c>
      <c r="D696" s="1">
        <v>45833</v>
      </c>
      <c r="E696">
        <v>70.349999999999994</v>
      </c>
      <c r="F696" t="s">
        <v>25</v>
      </c>
      <c r="G696" t="s">
        <v>13</v>
      </c>
      <c r="H696" t="s">
        <v>20</v>
      </c>
      <c r="I696" t="s">
        <v>38</v>
      </c>
      <c r="J696" t="str">
        <f>"FY" &amp; IF(MONTH(GiftData[[#This Row],[Gift_Date]])&gt;=7, RIGHT(YEAR(GiftData[[#This Row],[Gift_Date]])+1, 2), RIGHT(YEAR(GiftData[[#This Row],[Gift_Date]]), 2))</f>
        <v>FY25</v>
      </c>
      <c r="K696">
        <f>IF(COUNTIFS(GiftData[Constituent_ID], GiftData[[#This Row],[Constituent_ID]], GiftData[Fiscal_Year], "FY24")&gt;0, 1, 0)</f>
        <v>1</v>
      </c>
      <c r="L696">
        <f>IF(COUNTIFS(GiftData[Constituent_ID], GiftData[[#This Row],[Constituent_ID]], GiftData[Fiscal_Year], "FY25")&gt;0, 1, 0)</f>
        <v>1</v>
      </c>
      <c r="M696">
        <f>IF(COUNTIFS(GiftData[Constituent_ID], GiftData[[#This Row],[Constituent_ID]], GiftData[Fiscal_Year], "FY26")&gt;0, 1, 0)</f>
        <v>1</v>
      </c>
      <c r="N696" t="str" cm="1">
        <f t="array" ref="N6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7" spans="1:14" x14ac:dyDescent="0.2">
      <c r="A697" t="s">
        <v>1041</v>
      </c>
      <c r="B697" t="s">
        <v>868</v>
      </c>
      <c r="C697" t="s">
        <v>48</v>
      </c>
      <c r="D697" s="1">
        <v>45307</v>
      </c>
      <c r="E697">
        <v>714.37</v>
      </c>
      <c r="F697" t="s">
        <v>12</v>
      </c>
      <c r="G697" t="s">
        <v>13</v>
      </c>
      <c r="H697" t="s">
        <v>20</v>
      </c>
      <c r="I697" t="s">
        <v>38</v>
      </c>
      <c r="J697" t="str">
        <f>"FY" &amp; IF(MONTH(GiftData[[#This Row],[Gift_Date]])&gt;=7, RIGHT(YEAR(GiftData[[#This Row],[Gift_Date]])+1, 2), RIGHT(YEAR(GiftData[[#This Row],[Gift_Date]]), 2))</f>
        <v>FY24</v>
      </c>
      <c r="K697">
        <f>IF(COUNTIFS(GiftData[Constituent_ID], GiftData[[#This Row],[Constituent_ID]], GiftData[Fiscal_Year], "FY24")&gt;0, 1, 0)</f>
        <v>1</v>
      </c>
      <c r="L697">
        <f>IF(COUNTIFS(GiftData[Constituent_ID], GiftData[[#This Row],[Constituent_ID]], GiftData[Fiscal_Year], "FY25")&gt;0, 1, 0)</f>
        <v>0</v>
      </c>
      <c r="M697">
        <f>IF(COUNTIFS(GiftData[Constituent_ID], GiftData[[#This Row],[Constituent_ID]], GiftData[Fiscal_Year], "FY26")&gt;0, 1, 0)</f>
        <v>1</v>
      </c>
      <c r="N697" t="str" cm="1">
        <f t="array" ref="N6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8" spans="1:14" x14ac:dyDescent="0.2">
      <c r="A698" t="s">
        <v>1042</v>
      </c>
      <c r="B698" t="s">
        <v>365</v>
      </c>
      <c r="C698" t="s">
        <v>18</v>
      </c>
      <c r="D698" s="1">
        <v>46052</v>
      </c>
      <c r="E698">
        <v>186.64</v>
      </c>
      <c r="F698" t="s">
        <v>25</v>
      </c>
      <c r="G698" t="s">
        <v>13</v>
      </c>
      <c r="H698" t="s">
        <v>20</v>
      </c>
      <c r="I698" t="s">
        <v>38</v>
      </c>
      <c r="J698" t="str">
        <f>"FY" &amp; IF(MONTH(GiftData[[#This Row],[Gift_Date]])&gt;=7, RIGHT(YEAR(GiftData[[#This Row],[Gift_Date]])+1, 2), RIGHT(YEAR(GiftData[[#This Row],[Gift_Date]]), 2))</f>
        <v>FY26</v>
      </c>
      <c r="K698">
        <f>IF(COUNTIFS(GiftData[Constituent_ID], GiftData[[#This Row],[Constituent_ID]], GiftData[Fiscal_Year], "FY24")&gt;0, 1, 0)</f>
        <v>1</v>
      </c>
      <c r="L698">
        <f>IF(COUNTIFS(GiftData[Constituent_ID], GiftData[[#This Row],[Constituent_ID]], GiftData[Fiscal_Year], "FY25")&gt;0, 1, 0)</f>
        <v>1</v>
      </c>
      <c r="M698">
        <f>IF(COUNTIFS(GiftData[Constituent_ID], GiftData[[#This Row],[Constituent_ID]], GiftData[Fiscal_Year], "FY26")&gt;0, 1, 0)</f>
        <v>1</v>
      </c>
      <c r="N698" t="str" cm="1">
        <f t="array" ref="N6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699" spans="1:14" x14ac:dyDescent="0.2">
      <c r="A699" t="s">
        <v>1043</v>
      </c>
      <c r="B699" t="s">
        <v>1044</v>
      </c>
      <c r="C699" t="s">
        <v>28</v>
      </c>
      <c r="D699" s="1">
        <v>45186</v>
      </c>
      <c r="E699">
        <v>388.65</v>
      </c>
      <c r="F699" t="s">
        <v>59</v>
      </c>
      <c r="G699" t="s">
        <v>13</v>
      </c>
      <c r="H699" t="s">
        <v>51</v>
      </c>
      <c r="I699" t="s">
        <v>30</v>
      </c>
      <c r="J699" t="str">
        <f>"FY" &amp; IF(MONTH(GiftData[[#This Row],[Gift_Date]])&gt;=7, RIGHT(YEAR(GiftData[[#This Row],[Gift_Date]])+1, 2), RIGHT(YEAR(GiftData[[#This Row],[Gift_Date]]), 2))</f>
        <v>FY24</v>
      </c>
      <c r="K699">
        <f>IF(COUNTIFS(GiftData[Constituent_ID], GiftData[[#This Row],[Constituent_ID]], GiftData[Fiscal_Year], "FY24")&gt;0, 1, 0)</f>
        <v>1</v>
      </c>
      <c r="L699">
        <f>IF(COUNTIFS(GiftData[Constituent_ID], GiftData[[#This Row],[Constituent_ID]], GiftData[Fiscal_Year], "FY25")&gt;0, 1, 0)</f>
        <v>0</v>
      </c>
      <c r="M699">
        <f>IF(COUNTIFS(GiftData[Constituent_ID], GiftData[[#This Row],[Constituent_ID]], GiftData[Fiscal_Year], "FY26")&gt;0, 1, 0)</f>
        <v>0</v>
      </c>
      <c r="N699" t="str" cm="1">
        <f t="array" ref="N6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700" spans="1:14" x14ac:dyDescent="0.2">
      <c r="A700" t="s">
        <v>1045</v>
      </c>
      <c r="B700" t="s">
        <v>512</v>
      </c>
      <c r="C700" t="s">
        <v>28</v>
      </c>
      <c r="D700" s="1">
        <v>46063</v>
      </c>
      <c r="E700">
        <v>121.17</v>
      </c>
      <c r="F700" t="s">
        <v>25</v>
      </c>
      <c r="G700" t="s">
        <v>13</v>
      </c>
      <c r="H700" t="s">
        <v>20</v>
      </c>
      <c r="I700" t="s">
        <v>15</v>
      </c>
      <c r="J700" t="str">
        <f>"FY" &amp; IF(MONTH(GiftData[[#This Row],[Gift_Date]])&gt;=7, RIGHT(YEAR(GiftData[[#This Row],[Gift_Date]])+1, 2), RIGHT(YEAR(GiftData[[#This Row],[Gift_Date]]), 2))</f>
        <v>FY26</v>
      </c>
      <c r="K700">
        <f>IF(COUNTIFS(GiftData[Constituent_ID], GiftData[[#This Row],[Constituent_ID]], GiftData[Fiscal_Year], "FY24")&gt;0, 1, 0)</f>
        <v>0</v>
      </c>
      <c r="L700">
        <f>IF(COUNTIFS(GiftData[Constituent_ID], GiftData[[#This Row],[Constituent_ID]], GiftData[Fiscal_Year], "FY25")&gt;0, 1, 0)</f>
        <v>1</v>
      </c>
      <c r="M700">
        <f>IF(COUNTIFS(GiftData[Constituent_ID], GiftData[[#This Row],[Constituent_ID]], GiftData[Fiscal_Year], "FY26")&gt;0, 1, 0)</f>
        <v>1</v>
      </c>
      <c r="N700" t="str" cm="1">
        <f t="array" ref="N7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1" spans="1:14" x14ac:dyDescent="0.2">
      <c r="A701" t="s">
        <v>1046</v>
      </c>
      <c r="B701" t="s">
        <v>373</v>
      </c>
      <c r="C701" t="s">
        <v>11</v>
      </c>
      <c r="D701" s="1">
        <v>45963</v>
      </c>
      <c r="E701">
        <v>635.03</v>
      </c>
      <c r="F701" t="s">
        <v>12</v>
      </c>
      <c r="G701" t="s">
        <v>13</v>
      </c>
      <c r="H701" t="s">
        <v>20</v>
      </c>
      <c r="I701" t="s">
        <v>15</v>
      </c>
      <c r="J701" t="str">
        <f>"FY" &amp; IF(MONTH(GiftData[[#This Row],[Gift_Date]])&gt;=7, RIGHT(YEAR(GiftData[[#This Row],[Gift_Date]])+1, 2), RIGHT(YEAR(GiftData[[#This Row],[Gift_Date]]), 2))</f>
        <v>FY26</v>
      </c>
      <c r="K701">
        <f>IF(COUNTIFS(GiftData[Constituent_ID], GiftData[[#This Row],[Constituent_ID]], GiftData[Fiscal_Year], "FY24")&gt;0, 1, 0)</f>
        <v>1</v>
      </c>
      <c r="L701">
        <f>IF(COUNTIFS(GiftData[Constituent_ID], GiftData[[#This Row],[Constituent_ID]], GiftData[Fiscal_Year], "FY25")&gt;0, 1, 0)</f>
        <v>1</v>
      </c>
      <c r="M701">
        <f>IF(COUNTIFS(GiftData[Constituent_ID], GiftData[[#This Row],[Constituent_ID]], GiftData[Fiscal_Year], "FY26")&gt;0, 1, 0)</f>
        <v>1</v>
      </c>
      <c r="N701" t="str" cm="1">
        <f t="array" ref="N7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2" spans="1:14" x14ac:dyDescent="0.2">
      <c r="A702" t="s">
        <v>1047</v>
      </c>
      <c r="B702" t="s">
        <v>329</v>
      </c>
      <c r="C702" t="s">
        <v>18</v>
      </c>
      <c r="D702" s="1">
        <v>45574</v>
      </c>
      <c r="E702">
        <v>27.12</v>
      </c>
      <c r="F702" t="s">
        <v>19</v>
      </c>
      <c r="G702" t="s">
        <v>13</v>
      </c>
      <c r="H702" t="s">
        <v>20</v>
      </c>
      <c r="I702" t="s">
        <v>38</v>
      </c>
      <c r="J702" t="str">
        <f>"FY" &amp; IF(MONTH(GiftData[[#This Row],[Gift_Date]])&gt;=7, RIGHT(YEAR(GiftData[[#This Row],[Gift_Date]])+1, 2), RIGHT(YEAR(GiftData[[#This Row],[Gift_Date]]), 2))</f>
        <v>FY25</v>
      </c>
      <c r="K702">
        <f>IF(COUNTIFS(GiftData[Constituent_ID], GiftData[[#This Row],[Constituent_ID]], GiftData[Fiscal_Year], "FY24")&gt;0, 1, 0)</f>
        <v>0</v>
      </c>
      <c r="L702">
        <f>IF(COUNTIFS(GiftData[Constituent_ID], GiftData[[#This Row],[Constituent_ID]], GiftData[Fiscal_Year], "FY25")&gt;0, 1, 0)</f>
        <v>1</v>
      </c>
      <c r="M702">
        <f>IF(COUNTIFS(GiftData[Constituent_ID], GiftData[[#This Row],[Constituent_ID]], GiftData[Fiscal_Year], "FY26")&gt;0, 1, 0)</f>
        <v>0</v>
      </c>
      <c r="N702" t="str" cm="1">
        <f t="array" ref="N7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03" spans="1:14" x14ac:dyDescent="0.2">
      <c r="A703" t="s">
        <v>1048</v>
      </c>
      <c r="B703" t="s">
        <v>93</v>
      </c>
      <c r="C703" t="s">
        <v>11</v>
      </c>
      <c r="D703" s="1">
        <v>45688</v>
      </c>
      <c r="E703">
        <v>140.85</v>
      </c>
      <c r="F703" t="s">
        <v>12</v>
      </c>
      <c r="G703" t="s">
        <v>13</v>
      </c>
      <c r="H703" t="s">
        <v>41</v>
      </c>
      <c r="I703" t="s">
        <v>38</v>
      </c>
      <c r="J703" t="str">
        <f>"FY" &amp; IF(MONTH(GiftData[[#This Row],[Gift_Date]])&gt;=7, RIGHT(YEAR(GiftData[[#This Row],[Gift_Date]])+1, 2), RIGHT(YEAR(GiftData[[#This Row],[Gift_Date]]), 2))</f>
        <v>FY25</v>
      </c>
      <c r="K703">
        <f>IF(COUNTIFS(GiftData[Constituent_ID], GiftData[[#This Row],[Constituent_ID]], GiftData[Fiscal_Year], "FY24")&gt;0, 1, 0)</f>
        <v>1</v>
      </c>
      <c r="L703">
        <f>IF(COUNTIFS(GiftData[Constituent_ID], GiftData[[#This Row],[Constituent_ID]], GiftData[Fiscal_Year], "FY25")&gt;0, 1, 0)</f>
        <v>1</v>
      </c>
      <c r="M703">
        <f>IF(COUNTIFS(GiftData[Constituent_ID], GiftData[[#This Row],[Constituent_ID]], GiftData[Fiscal_Year], "FY26")&gt;0, 1, 0)</f>
        <v>1</v>
      </c>
      <c r="N703" t="str" cm="1">
        <f t="array" ref="N7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4" spans="1:14" x14ac:dyDescent="0.2">
      <c r="A704" t="s">
        <v>1049</v>
      </c>
      <c r="B704" t="s">
        <v>740</v>
      </c>
      <c r="C704" t="s">
        <v>11</v>
      </c>
      <c r="D704" s="1">
        <v>46047</v>
      </c>
      <c r="E704">
        <v>72.58</v>
      </c>
      <c r="F704" t="s">
        <v>12</v>
      </c>
      <c r="G704" t="s">
        <v>13</v>
      </c>
      <c r="H704" t="s">
        <v>20</v>
      </c>
      <c r="I704" t="s">
        <v>15</v>
      </c>
      <c r="J704" t="str">
        <f>"FY" &amp; IF(MONTH(GiftData[[#This Row],[Gift_Date]])&gt;=7, RIGHT(YEAR(GiftData[[#This Row],[Gift_Date]])+1, 2), RIGHT(YEAR(GiftData[[#This Row],[Gift_Date]]), 2))</f>
        <v>FY26</v>
      </c>
      <c r="K704">
        <f>IF(COUNTIFS(GiftData[Constituent_ID], GiftData[[#This Row],[Constituent_ID]], GiftData[Fiscal_Year], "FY24")&gt;0, 1, 0)</f>
        <v>0</v>
      </c>
      <c r="L704">
        <f>IF(COUNTIFS(GiftData[Constituent_ID], GiftData[[#This Row],[Constituent_ID]], GiftData[Fiscal_Year], "FY25")&gt;0, 1, 0)</f>
        <v>1</v>
      </c>
      <c r="M704">
        <f>IF(COUNTIFS(GiftData[Constituent_ID], GiftData[[#This Row],[Constituent_ID]], GiftData[Fiscal_Year], "FY26")&gt;0, 1, 0)</f>
        <v>1</v>
      </c>
      <c r="N704" t="str" cm="1">
        <f t="array" ref="N7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5" spans="1:14" x14ac:dyDescent="0.2">
      <c r="A705" t="s">
        <v>1050</v>
      </c>
      <c r="B705" t="s">
        <v>55</v>
      </c>
      <c r="C705" t="s">
        <v>11</v>
      </c>
      <c r="D705" s="1">
        <v>45556</v>
      </c>
      <c r="E705">
        <v>746.67</v>
      </c>
      <c r="F705" t="s">
        <v>12</v>
      </c>
      <c r="G705" t="s">
        <v>13</v>
      </c>
      <c r="H705" t="s">
        <v>20</v>
      </c>
      <c r="I705" t="s">
        <v>15</v>
      </c>
      <c r="J705" t="str">
        <f>"FY" &amp; IF(MONTH(GiftData[[#This Row],[Gift_Date]])&gt;=7, RIGHT(YEAR(GiftData[[#This Row],[Gift_Date]])+1, 2), RIGHT(YEAR(GiftData[[#This Row],[Gift_Date]]), 2))</f>
        <v>FY25</v>
      </c>
      <c r="K705">
        <f>IF(COUNTIFS(GiftData[Constituent_ID], GiftData[[#This Row],[Constituent_ID]], GiftData[Fiscal_Year], "FY24")&gt;0, 1, 0)</f>
        <v>1</v>
      </c>
      <c r="L705">
        <f>IF(COUNTIFS(GiftData[Constituent_ID], GiftData[[#This Row],[Constituent_ID]], GiftData[Fiscal_Year], "FY25")&gt;0, 1, 0)</f>
        <v>1</v>
      </c>
      <c r="M705">
        <f>IF(COUNTIFS(GiftData[Constituent_ID], GiftData[[#This Row],[Constituent_ID]], GiftData[Fiscal_Year], "FY26")&gt;0, 1, 0)</f>
        <v>1</v>
      </c>
      <c r="N705" t="str" cm="1">
        <f t="array" ref="N7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6" spans="1:14" x14ac:dyDescent="0.2">
      <c r="A706" t="s">
        <v>1051</v>
      </c>
      <c r="B706" t="s">
        <v>680</v>
      </c>
      <c r="C706" t="s">
        <v>28</v>
      </c>
      <c r="D706" s="1">
        <v>45194</v>
      </c>
      <c r="E706">
        <v>852.99</v>
      </c>
      <c r="F706" t="s">
        <v>12</v>
      </c>
      <c r="G706" t="s">
        <v>13</v>
      </c>
      <c r="H706" t="s">
        <v>20</v>
      </c>
      <c r="I706" t="s">
        <v>56</v>
      </c>
      <c r="J706" t="str">
        <f>"FY" &amp; IF(MONTH(GiftData[[#This Row],[Gift_Date]])&gt;=7, RIGHT(YEAR(GiftData[[#This Row],[Gift_Date]])+1, 2), RIGHT(YEAR(GiftData[[#This Row],[Gift_Date]]), 2))</f>
        <v>FY24</v>
      </c>
      <c r="K706">
        <f>IF(COUNTIFS(GiftData[Constituent_ID], GiftData[[#This Row],[Constituent_ID]], GiftData[Fiscal_Year], "FY24")&gt;0, 1, 0)</f>
        <v>1</v>
      </c>
      <c r="L706">
        <f>IF(COUNTIFS(GiftData[Constituent_ID], GiftData[[#This Row],[Constituent_ID]], GiftData[Fiscal_Year], "FY25")&gt;0, 1, 0)</f>
        <v>1</v>
      </c>
      <c r="M706">
        <f>IF(COUNTIFS(GiftData[Constituent_ID], GiftData[[#This Row],[Constituent_ID]], GiftData[Fiscal_Year], "FY26")&gt;0, 1, 0)</f>
        <v>0</v>
      </c>
      <c r="N706" t="str" cm="1">
        <f t="array" ref="N7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07" spans="1:14" x14ac:dyDescent="0.2">
      <c r="A707" t="s">
        <v>1052</v>
      </c>
      <c r="B707" t="s">
        <v>277</v>
      </c>
      <c r="C707" t="s">
        <v>28</v>
      </c>
      <c r="D707" s="1">
        <v>45208</v>
      </c>
      <c r="E707">
        <v>121.58</v>
      </c>
      <c r="F707" t="s">
        <v>19</v>
      </c>
      <c r="G707" t="s">
        <v>13</v>
      </c>
      <c r="H707" t="s">
        <v>14</v>
      </c>
      <c r="I707" t="s">
        <v>30</v>
      </c>
      <c r="J707" t="str">
        <f>"FY" &amp; IF(MONTH(GiftData[[#This Row],[Gift_Date]])&gt;=7, RIGHT(YEAR(GiftData[[#This Row],[Gift_Date]])+1, 2), RIGHT(YEAR(GiftData[[#This Row],[Gift_Date]]), 2))</f>
        <v>FY24</v>
      </c>
      <c r="K707">
        <f>IF(COUNTIFS(GiftData[Constituent_ID], GiftData[[#This Row],[Constituent_ID]], GiftData[Fiscal_Year], "FY24")&gt;0, 1, 0)</f>
        <v>1</v>
      </c>
      <c r="L707">
        <f>IF(COUNTIFS(GiftData[Constituent_ID], GiftData[[#This Row],[Constituent_ID]], GiftData[Fiscal_Year], "FY25")&gt;0, 1, 0)</f>
        <v>1</v>
      </c>
      <c r="M707">
        <f>IF(COUNTIFS(GiftData[Constituent_ID], GiftData[[#This Row],[Constituent_ID]], GiftData[Fiscal_Year], "FY26")&gt;0, 1, 0)</f>
        <v>1</v>
      </c>
      <c r="N707" t="str" cm="1">
        <f t="array" ref="N7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8" spans="1:14" x14ac:dyDescent="0.2">
      <c r="A708" t="s">
        <v>1053</v>
      </c>
      <c r="B708" t="s">
        <v>958</v>
      </c>
      <c r="C708" t="s">
        <v>28</v>
      </c>
      <c r="D708" s="1">
        <v>46139</v>
      </c>
      <c r="E708">
        <v>22.67</v>
      </c>
      <c r="F708" t="s">
        <v>12</v>
      </c>
      <c r="G708" t="s">
        <v>13</v>
      </c>
      <c r="H708" t="s">
        <v>41</v>
      </c>
      <c r="I708" t="s">
        <v>38</v>
      </c>
      <c r="J708" t="str">
        <f>"FY" &amp; IF(MONTH(GiftData[[#This Row],[Gift_Date]])&gt;=7, RIGHT(YEAR(GiftData[[#This Row],[Gift_Date]])+1, 2), RIGHT(YEAR(GiftData[[#This Row],[Gift_Date]]), 2))</f>
        <v>FY26</v>
      </c>
      <c r="K708">
        <f>IF(COUNTIFS(GiftData[Constituent_ID], GiftData[[#This Row],[Constituent_ID]], GiftData[Fiscal_Year], "FY24")&gt;0, 1, 0)</f>
        <v>1</v>
      </c>
      <c r="L708">
        <f>IF(COUNTIFS(GiftData[Constituent_ID], GiftData[[#This Row],[Constituent_ID]], GiftData[Fiscal_Year], "FY25")&gt;0, 1, 0)</f>
        <v>1</v>
      </c>
      <c r="M708">
        <f>IF(COUNTIFS(GiftData[Constituent_ID], GiftData[[#This Row],[Constituent_ID]], GiftData[Fiscal_Year], "FY26")&gt;0, 1, 0)</f>
        <v>1</v>
      </c>
      <c r="N708" t="str" cm="1">
        <f t="array" ref="N7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09" spans="1:14" x14ac:dyDescent="0.2">
      <c r="A709" t="s">
        <v>1054</v>
      </c>
      <c r="B709" t="s">
        <v>1055</v>
      </c>
      <c r="C709" t="s">
        <v>48</v>
      </c>
      <c r="D709" s="1">
        <v>45952</v>
      </c>
      <c r="E709">
        <v>211.71</v>
      </c>
      <c r="F709" t="s">
        <v>25</v>
      </c>
      <c r="G709" t="s">
        <v>13</v>
      </c>
      <c r="H709" t="s">
        <v>14</v>
      </c>
      <c r="I709" t="s">
        <v>15</v>
      </c>
      <c r="J709" t="str">
        <f>"FY" &amp; IF(MONTH(GiftData[[#This Row],[Gift_Date]])&gt;=7, RIGHT(YEAR(GiftData[[#This Row],[Gift_Date]])+1, 2), RIGHT(YEAR(GiftData[[#This Row],[Gift_Date]]), 2))</f>
        <v>FY26</v>
      </c>
      <c r="K709">
        <f>IF(COUNTIFS(GiftData[Constituent_ID], GiftData[[#This Row],[Constituent_ID]], GiftData[Fiscal_Year], "FY24")&gt;0, 1, 0)</f>
        <v>0</v>
      </c>
      <c r="L709">
        <f>IF(COUNTIFS(GiftData[Constituent_ID], GiftData[[#This Row],[Constituent_ID]], GiftData[Fiscal_Year], "FY25")&gt;0, 1, 0)</f>
        <v>1</v>
      </c>
      <c r="M709">
        <f>IF(COUNTIFS(GiftData[Constituent_ID], GiftData[[#This Row],[Constituent_ID]], GiftData[Fiscal_Year], "FY26")&gt;0, 1, 0)</f>
        <v>1</v>
      </c>
      <c r="N709" t="str" cm="1">
        <f t="array" ref="N7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0" spans="1:14" x14ac:dyDescent="0.2">
      <c r="A710" t="s">
        <v>1056</v>
      </c>
      <c r="B710" t="s">
        <v>632</v>
      </c>
      <c r="C710" t="s">
        <v>11</v>
      </c>
      <c r="D710" s="1">
        <v>45194</v>
      </c>
      <c r="E710">
        <v>15</v>
      </c>
      <c r="F710" t="s">
        <v>25</v>
      </c>
      <c r="G710" t="s">
        <v>13</v>
      </c>
      <c r="H710" t="s">
        <v>164</v>
      </c>
      <c r="I710" t="s">
        <v>30</v>
      </c>
      <c r="J710" t="str">
        <f>"FY" &amp; IF(MONTH(GiftData[[#This Row],[Gift_Date]])&gt;=7, RIGHT(YEAR(GiftData[[#This Row],[Gift_Date]])+1, 2), RIGHT(YEAR(GiftData[[#This Row],[Gift_Date]]), 2))</f>
        <v>FY24</v>
      </c>
      <c r="K710">
        <f>IF(COUNTIFS(GiftData[Constituent_ID], GiftData[[#This Row],[Constituent_ID]], GiftData[Fiscal_Year], "FY24")&gt;0, 1, 0)</f>
        <v>1</v>
      </c>
      <c r="L710">
        <f>IF(COUNTIFS(GiftData[Constituent_ID], GiftData[[#This Row],[Constituent_ID]], GiftData[Fiscal_Year], "FY25")&gt;0, 1, 0)</f>
        <v>1</v>
      </c>
      <c r="M710">
        <f>IF(COUNTIFS(GiftData[Constituent_ID], GiftData[[#This Row],[Constituent_ID]], GiftData[Fiscal_Year], "FY26")&gt;0, 1, 0)</f>
        <v>1</v>
      </c>
      <c r="N710" t="str" cm="1">
        <f t="array" ref="N7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1" spans="1:14" x14ac:dyDescent="0.2">
      <c r="A711" t="s">
        <v>1057</v>
      </c>
      <c r="B711" t="s">
        <v>958</v>
      </c>
      <c r="C711" t="s">
        <v>18</v>
      </c>
      <c r="D711" s="1">
        <v>45150</v>
      </c>
      <c r="E711">
        <v>1006.25</v>
      </c>
      <c r="F711" t="s">
        <v>12</v>
      </c>
      <c r="G711" t="s">
        <v>13</v>
      </c>
      <c r="H711" t="s">
        <v>164</v>
      </c>
      <c r="I711" t="s">
        <v>56</v>
      </c>
      <c r="J711" t="str">
        <f>"FY" &amp; IF(MONTH(GiftData[[#This Row],[Gift_Date]])&gt;=7, RIGHT(YEAR(GiftData[[#This Row],[Gift_Date]])+1, 2), RIGHT(YEAR(GiftData[[#This Row],[Gift_Date]]), 2))</f>
        <v>FY24</v>
      </c>
      <c r="K711">
        <f>IF(COUNTIFS(GiftData[Constituent_ID], GiftData[[#This Row],[Constituent_ID]], GiftData[Fiscal_Year], "FY24")&gt;0, 1, 0)</f>
        <v>1</v>
      </c>
      <c r="L711">
        <f>IF(COUNTIFS(GiftData[Constituent_ID], GiftData[[#This Row],[Constituent_ID]], GiftData[Fiscal_Year], "FY25")&gt;0, 1, 0)</f>
        <v>1</v>
      </c>
      <c r="M711">
        <f>IF(COUNTIFS(GiftData[Constituent_ID], GiftData[[#This Row],[Constituent_ID]], GiftData[Fiscal_Year], "FY26")&gt;0, 1, 0)</f>
        <v>1</v>
      </c>
      <c r="N711" t="str" cm="1">
        <f t="array" ref="N7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2" spans="1:14" x14ac:dyDescent="0.2">
      <c r="A712" t="s">
        <v>1058</v>
      </c>
      <c r="B712" t="s">
        <v>427</v>
      </c>
      <c r="C712" t="s">
        <v>28</v>
      </c>
      <c r="D712" s="1">
        <v>45515</v>
      </c>
      <c r="E712">
        <v>65.69</v>
      </c>
      <c r="F712" t="s">
        <v>25</v>
      </c>
      <c r="G712" t="s">
        <v>13</v>
      </c>
      <c r="H712" t="s">
        <v>14</v>
      </c>
      <c r="I712" t="s">
        <v>15</v>
      </c>
      <c r="J712" t="str">
        <f>"FY" &amp; IF(MONTH(GiftData[[#This Row],[Gift_Date]])&gt;=7, RIGHT(YEAR(GiftData[[#This Row],[Gift_Date]])+1, 2), RIGHT(YEAR(GiftData[[#This Row],[Gift_Date]]), 2))</f>
        <v>FY25</v>
      </c>
      <c r="K712">
        <f>IF(COUNTIFS(GiftData[Constituent_ID], GiftData[[#This Row],[Constituent_ID]], GiftData[Fiscal_Year], "FY24")&gt;0, 1, 0)</f>
        <v>1</v>
      </c>
      <c r="L712">
        <f>IF(COUNTIFS(GiftData[Constituent_ID], GiftData[[#This Row],[Constituent_ID]], GiftData[Fiscal_Year], "FY25")&gt;0, 1, 0)</f>
        <v>1</v>
      </c>
      <c r="M712">
        <f>IF(COUNTIFS(GiftData[Constituent_ID], GiftData[[#This Row],[Constituent_ID]], GiftData[Fiscal_Year], "FY26")&gt;0, 1, 0)</f>
        <v>0</v>
      </c>
      <c r="N712" t="str" cm="1">
        <f t="array" ref="N7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13" spans="1:14" x14ac:dyDescent="0.2">
      <c r="A713" t="s">
        <v>1059</v>
      </c>
      <c r="B713" t="s">
        <v>1060</v>
      </c>
      <c r="C713" t="s">
        <v>18</v>
      </c>
      <c r="D713" s="1">
        <v>45771</v>
      </c>
      <c r="E713">
        <v>116.78</v>
      </c>
      <c r="F713" t="s">
        <v>12</v>
      </c>
      <c r="G713" t="s">
        <v>13</v>
      </c>
      <c r="H713" t="s">
        <v>41</v>
      </c>
      <c r="I713" t="s">
        <v>56</v>
      </c>
      <c r="J713" t="str">
        <f>"FY" &amp; IF(MONTH(GiftData[[#This Row],[Gift_Date]])&gt;=7, RIGHT(YEAR(GiftData[[#This Row],[Gift_Date]])+1, 2), RIGHT(YEAR(GiftData[[#This Row],[Gift_Date]]), 2))</f>
        <v>FY25</v>
      </c>
      <c r="K713">
        <f>IF(COUNTIFS(GiftData[Constituent_ID], GiftData[[#This Row],[Constituent_ID]], GiftData[Fiscal_Year], "FY24")&gt;0, 1, 0)</f>
        <v>0</v>
      </c>
      <c r="L713">
        <f>IF(COUNTIFS(GiftData[Constituent_ID], GiftData[[#This Row],[Constituent_ID]], GiftData[Fiscal_Year], "FY25")&gt;0, 1, 0)</f>
        <v>1</v>
      </c>
      <c r="M713">
        <f>IF(COUNTIFS(GiftData[Constituent_ID], GiftData[[#This Row],[Constituent_ID]], GiftData[Fiscal_Year], "FY26")&gt;0, 1, 0)</f>
        <v>1</v>
      </c>
      <c r="N713" t="str" cm="1">
        <f t="array" ref="N7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4" spans="1:14" x14ac:dyDescent="0.2">
      <c r="A714" t="s">
        <v>1061</v>
      </c>
      <c r="B714" t="s">
        <v>876</v>
      </c>
      <c r="C714" t="s">
        <v>11</v>
      </c>
      <c r="D714" s="1">
        <v>46148</v>
      </c>
      <c r="E714">
        <v>50.14</v>
      </c>
      <c r="F714" t="s">
        <v>12</v>
      </c>
      <c r="G714" t="s">
        <v>13</v>
      </c>
      <c r="H714" t="s">
        <v>41</v>
      </c>
      <c r="I714" t="s">
        <v>56</v>
      </c>
      <c r="J714" t="str">
        <f>"FY" &amp; IF(MONTH(GiftData[[#This Row],[Gift_Date]])&gt;=7, RIGHT(YEAR(GiftData[[#This Row],[Gift_Date]])+1, 2), RIGHT(YEAR(GiftData[[#This Row],[Gift_Date]]), 2))</f>
        <v>FY26</v>
      </c>
      <c r="K714">
        <f>IF(COUNTIFS(GiftData[Constituent_ID], GiftData[[#This Row],[Constituent_ID]], GiftData[Fiscal_Year], "FY24")&gt;0, 1, 0)</f>
        <v>1</v>
      </c>
      <c r="L714">
        <f>IF(COUNTIFS(GiftData[Constituent_ID], GiftData[[#This Row],[Constituent_ID]], GiftData[Fiscal_Year], "FY25")&gt;0, 1, 0)</f>
        <v>0</v>
      </c>
      <c r="M714">
        <f>IF(COUNTIFS(GiftData[Constituent_ID], GiftData[[#This Row],[Constituent_ID]], GiftData[Fiscal_Year], "FY26")&gt;0, 1, 0)</f>
        <v>1</v>
      </c>
      <c r="N714" t="str" cm="1">
        <f t="array" ref="N7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5" spans="1:14" x14ac:dyDescent="0.2">
      <c r="A715" t="s">
        <v>1062</v>
      </c>
      <c r="B715" t="s">
        <v>852</v>
      </c>
      <c r="C715" t="s">
        <v>18</v>
      </c>
      <c r="D715" s="1">
        <v>45255</v>
      </c>
      <c r="E715">
        <v>37.630000000000003</v>
      </c>
      <c r="F715" t="s">
        <v>12</v>
      </c>
      <c r="G715" t="s">
        <v>29</v>
      </c>
      <c r="H715" t="s">
        <v>51</v>
      </c>
      <c r="I715" t="s">
        <v>56</v>
      </c>
      <c r="J715" t="str">
        <f>"FY" &amp; IF(MONTH(GiftData[[#This Row],[Gift_Date]])&gt;=7, RIGHT(YEAR(GiftData[[#This Row],[Gift_Date]])+1, 2), RIGHT(YEAR(GiftData[[#This Row],[Gift_Date]]), 2))</f>
        <v>FY24</v>
      </c>
      <c r="K715">
        <f>IF(COUNTIFS(GiftData[Constituent_ID], GiftData[[#This Row],[Constituent_ID]], GiftData[Fiscal_Year], "FY24")&gt;0, 1, 0)</f>
        <v>1</v>
      </c>
      <c r="L715">
        <f>IF(COUNTIFS(GiftData[Constituent_ID], GiftData[[#This Row],[Constituent_ID]], GiftData[Fiscal_Year], "FY25")&gt;0, 1, 0)</f>
        <v>1</v>
      </c>
      <c r="M715">
        <f>IF(COUNTIFS(GiftData[Constituent_ID], GiftData[[#This Row],[Constituent_ID]], GiftData[Fiscal_Year], "FY26")&gt;0, 1, 0)</f>
        <v>1</v>
      </c>
      <c r="N715" t="str" cm="1">
        <f t="array" ref="N7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6" spans="1:14" x14ac:dyDescent="0.2">
      <c r="A716" t="s">
        <v>1063</v>
      </c>
      <c r="B716" t="s">
        <v>251</v>
      </c>
      <c r="C716" t="s">
        <v>18</v>
      </c>
      <c r="D716" s="1">
        <v>45384</v>
      </c>
      <c r="E716">
        <v>316.87</v>
      </c>
      <c r="F716" t="s">
        <v>59</v>
      </c>
      <c r="G716" t="s">
        <v>13</v>
      </c>
      <c r="H716" t="s">
        <v>14</v>
      </c>
      <c r="I716" t="s">
        <v>56</v>
      </c>
      <c r="J716" t="str">
        <f>"FY" &amp; IF(MONTH(GiftData[[#This Row],[Gift_Date]])&gt;=7, RIGHT(YEAR(GiftData[[#This Row],[Gift_Date]])+1, 2), RIGHT(YEAR(GiftData[[#This Row],[Gift_Date]]), 2))</f>
        <v>FY24</v>
      </c>
      <c r="K716">
        <f>IF(COUNTIFS(GiftData[Constituent_ID], GiftData[[#This Row],[Constituent_ID]], GiftData[Fiscal_Year], "FY24")&gt;0, 1, 0)</f>
        <v>1</v>
      </c>
      <c r="L716">
        <f>IF(COUNTIFS(GiftData[Constituent_ID], GiftData[[#This Row],[Constituent_ID]], GiftData[Fiscal_Year], "FY25")&gt;0, 1, 0)</f>
        <v>1</v>
      </c>
      <c r="M716">
        <f>IF(COUNTIFS(GiftData[Constituent_ID], GiftData[[#This Row],[Constituent_ID]], GiftData[Fiscal_Year], "FY26")&gt;0, 1, 0)</f>
        <v>1</v>
      </c>
      <c r="N716" t="str" cm="1">
        <f t="array" ref="N7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7" spans="1:14" x14ac:dyDescent="0.2">
      <c r="A717" t="s">
        <v>1064</v>
      </c>
      <c r="B717" t="s">
        <v>128</v>
      </c>
      <c r="C717" t="s">
        <v>35</v>
      </c>
      <c r="D717" s="1">
        <v>45339</v>
      </c>
      <c r="E717">
        <v>98.87</v>
      </c>
      <c r="F717" t="s">
        <v>19</v>
      </c>
      <c r="G717" t="s">
        <v>29</v>
      </c>
      <c r="H717" t="s">
        <v>14</v>
      </c>
      <c r="I717" t="s">
        <v>38</v>
      </c>
      <c r="J717" t="str">
        <f>"FY" &amp; IF(MONTH(GiftData[[#This Row],[Gift_Date]])&gt;=7, RIGHT(YEAR(GiftData[[#This Row],[Gift_Date]])+1, 2), RIGHT(YEAR(GiftData[[#This Row],[Gift_Date]]), 2))</f>
        <v>FY24</v>
      </c>
      <c r="K717">
        <f>IF(COUNTIFS(GiftData[Constituent_ID], GiftData[[#This Row],[Constituent_ID]], GiftData[Fiscal_Year], "FY24")&gt;0, 1, 0)</f>
        <v>1</v>
      </c>
      <c r="L717">
        <f>IF(COUNTIFS(GiftData[Constituent_ID], GiftData[[#This Row],[Constituent_ID]], GiftData[Fiscal_Year], "FY25")&gt;0, 1, 0)</f>
        <v>1</v>
      </c>
      <c r="M717">
        <f>IF(COUNTIFS(GiftData[Constituent_ID], GiftData[[#This Row],[Constituent_ID]], GiftData[Fiscal_Year], "FY26")&gt;0, 1, 0)</f>
        <v>1</v>
      </c>
      <c r="N717" t="str" cm="1">
        <f t="array" ref="N7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18" spans="1:14" x14ac:dyDescent="0.2">
      <c r="A718" t="s">
        <v>1065</v>
      </c>
      <c r="B718" t="s">
        <v>870</v>
      </c>
      <c r="C718" t="s">
        <v>11</v>
      </c>
      <c r="D718" s="1">
        <v>45473</v>
      </c>
      <c r="E718">
        <v>128.41</v>
      </c>
      <c r="F718" t="s">
        <v>12</v>
      </c>
      <c r="G718" t="s">
        <v>13</v>
      </c>
      <c r="H718" t="s">
        <v>14</v>
      </c>
      <c r="I718" t="s">
        <v>38</v>
      </c>
      <c r="J718" t="str">
        <f>"FY" &amp; IF(MONTH(GiftData[[#This Row],[Gift_Date]])&gt;=7, RIGHT(YEAR(GiftData[[#This Row],[Gift_Date]])+1, 2), RIGHT(YEAR(GiftData[[#This Row],[Gift_Date]]), 2))</f>
        <v>FY24</v>
      </c>
      <c r="K718">
        <f>IF(COUNTIFS(GiftData[Constituent_ID], GiftData[[#This Row],[Constituent_ID]], GiftData[Fiscal_Year], "FY24")&gt;0, 1, 0)</f>
        <v>1</v>
      </c>
      <c r="L718">
        <f>IF(COUNTIFS(GiftData[Constituent_ID], GiftData[[#This Row],[Constituent_ID]], GiftData[Fiscal_Year], "FY25")&gt;0, 1, 0)</f>
        <v>1</v>
      </c>
      <c r="M718">
        <f>IF(COUNTIFS(GiftData[Constituent_ID], GiftData[[#This Row],[Constituent_ID]], GiftData[Fiscal_Year], "FY26")&gt;0, 1, 0)</f>
        <v>0</v>
      </c>
      <c r="N718" t="str" cm="1">
        <f t="array" ref="N7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19" spans="1:14" x14ac:dyDescent="0.2">
      <c r="A719" t="s">
        <v>1066</v>
      </c>
      <c r="B719" t="s">
        <v>929</v>
      </c>
      <c r="C719" t="s">
        <v>11</v>
      </c>
      <c r="D719" s="1">
        <v>45543</v>
      </c>
      <c r="E719">
        <v>32.950000000000003</v>
      </c>
      <c r="F719" t="s">
        <v>12</v>
      </c>
      <c r="G719" t="s">
        <v>29</v>
      </c>
      <c r="H719" t="s">
        <v>51</v>
      </c>
      <c r="I719" t="s">
        <v>15</v>
      </c>
      <c r="J719" t="str">
        <f>"FY" &amp; IF(MONTH(GiftData[[#This Row],[Gift_Date]])&gt;=7, RIGHT(YEAR(GiftData[[#This Row],[Gift_Date]])+1, 2), RIGHT(YEAR(GiftData[[#This Row],[Gift_Date]]), 2))</f>
        <v>FY25</v>
      </c>
      <c r="K719">
        <f>IF(COUNTIFS(GiftData[Constituent_ID], GiftData[[#This Row],[Constituent_ID]], GiftData[Fiscal_Year], "FY24")&gt;0, 1, 0)</f>
        <v>1</v>
      </c>
      <c r="L719">
        <f>IF(COUNTIFS(GiftData[Constituent_ID], GiftData[[#This Row],[Constituent_ID]], GiftData[Fiscal_Year], "FY25")&gt;0, 1, 0)</f>
        <v>1</v>
      </c>
      <c r="M719">
        <f>IF(COUNTIFS(GiftData[Constituent_ID], GiftData[[#This Row],[Constituent_ID]], GiftData[Fiscal_Year], "FY26")&gt;0, 1, 0)</f>
        <v>0</v>
      </c>
      <c r="N719" t="str" cm="1">
        <f t="array" ref="N7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20" spans="1:14" x14ac:dyDescent="0.2">
      <c r="A720" t="s">
        <v>1067</v>
      </c>
      <c r="B720" t="s">
        <v>718</v>
      </c>
      <c r="C720" t="s">
        <v>18</v>
      </c>
      <c r="D720" s="1">
        <v>45506</v>
      </c>
      <c r="E720">
        <v>369.77</v>
      </c>
      <c r="F720" t="s">
        <v>25</v>
      </c>
      <c r="G720" t="s">
        <v>13</v>
      </c>
      <c r="H720" t="s">
        <v>20</v>
      </c>
      <c r="I720" t="s">
        <v>38</v>
      </c>
      <c r="J720" t="str">
        <f>"FY" &amp; IF(MONTH(GiftData[[#This Row],[Gift_Date]])&gt;=7, RIGHT(YEAR(GiftData[[#This Row],[Gift_Date]])+1, 2), RIGHT(YEAR(GiftData[[#This Row],[Gift_Date]]), 2))</f>
        <v>FY25</v>
      </c>
      <c r="K720">
        <f>IF(COUNTIFS(GiftData[Constituent_ID], GiftData[[#This Row],[Constituent_ID]], GiftData[Fiscal_Year], "FY24")&gt;0, 1, 0)</f>
        <v>0</v>
      </c>
      <c r="L720">
        <f>IF(COUNTIFS(GiftData[Constituent_ID], GiftData[[#This Row],[Constituent_ID]], GiftData[Fiscal_Year], "FY25")&gt;0, 1, 0)</f>
        <v>1</v>
      </c>
      <c r="M720">
        <f>IF(COUNTIFS(GiftData[Constituent_ID], GiftData[[#This Row],[Constituent_ID]], GiftData[Fiscal_Year], "FY26")&gt;0, 1, 0)</f>
        <v>0</v>
      </c>
      <c r="N720" t="str" cm="1">
        <f t="array" ref="N7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21" spans="1:14" x14ac:dyDescent="0.2">
      <c r="A721" t="s">
        <v>1068</v>
      </c>
      <c r="B721" t="s">
        <v>606</v>
      </c>
      <c r="C721" t="s">
        <v>28</v>
      </c>
      <c r="D721" s="1">
        <v>45606</v>
      </c>
      <c r="E721">
        <v>422.05</v>
      </c>
      <c r="F721" t="s">
        <v>12</v>
      </c>
      <c r="G721" t="s">
        <v>13</v>
      </c>
      <c r="H721" t="s">
        <v>20</v>
      </c>
      <c r="I721" t="s">
        <v>38</v>
      </c>
      <c r="J721" t="str">
        <f>"FY" &amp; IF(MONTH(GiftData[[#This Row],[Gift_Date]])&gt;=7, RIGHT(YEAR(GiftData[[#This Row],[Gift_Date]])+1, 2), RIGHT(YEAR(GiftData[[#This Row],[Gift_Date]]), 2))</f>
        <v>FY25</v>
      </c>
      <c r="K721">
        <f>IF(COUNTIFS(GiftData[Constituent_ID], GiftData[[#This Row],[Constituent_ID]], GiftData[Fiscal_Year], "FY24")&gt;0, 1, 0)</f>
        <v>0</v>
      </c>
      <c r="L721">
        <f>IF(COUNTIFS(GiftData[Constituent_ID], GiftData[[#This Row],[Constituent_ID]], GiftData[Fiscal_Year], "FY25")&gt;0, 1, 0)</f>
        <v>1</v>
      </c>
      <c r="M721">
        <f>IF(COUNTIFS(GiftData[Constituent_ID], GiftData[[#This Row],[Constituent_ID]], GiftData[Fiscal_Year], "FY26")&gt;0, 1, 0)</f>
        <v>1</v>
      </c>
      <c r="N721" t="str" cm="1">
        <f t="array" ref="N7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2" spans="1:14" x14ac:dyDescent="0.2">
      <c r="A722" t="s">
        <v>1069</v>
      </c>
      <c r="B722" t="s">
        <v>664</v>
      </c>
      <c r="C722" t="s">
        <v>11</v>
      </c>
      <c r="D722" s="1">
        <v>45647</v>
      </c>
      <c r="E722">
        <v>92.61</v>
      </c>
      <c r="F722" t="s">
        <v>59</v>
      </c>
      <c r="G722" t="s">
        <v>13</v>
      </c>
      <c r="H722" t="s">
        <v>14</v>
      </c>
      <c r="I722" t="s">
        <v>30</v>
      </c>
      <c r="J722" t="str">
        <f>"FY" &amp; IF(MONTH(GiftData[[#This Row],[Gift_Date]])&gt;=7, RIGHT(YEAR(GiftData[[#This Row],[Gift_Date]])+1, 2), RIGHT(YEAR(GiftData[[#This Row],[Gift_Date]]), 2))</f>
        <v>FY25</v>
      </c>
      <c r="K722">
        <f>IF(COUNTIFS(GiftData[Constituent_ID], GiftData[[#This Row],[Constituent_ID]], GiftData[Fiscal_Year], "FY24")&gt;0, 1, 0)</f>
        <v>1</v>
      </c>
      <c r="L722">
        <f>IF(COUNTIFS(GiftData[Constituent_ID], GiftData[[#This Row],[Constituent_ID]], GiftData[Fiscal_Year], "FY25")&gt;0, 1, 0)</f>
        <v>1</v>
      </c>
      <c r="M722">
        <f>IF(COUNTIFS(GiftData[Constituent_ID], GiftData[[#This Row],[Constituent_ID]], GiftData[Fiscal_Year], "FY26")&gt;0, 1, 0)</f>
        <v>0</v>
      </c>
      <c r="N722" t="str" cm="1">
        <f t="array" ref="N7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23" spans="1:14" x14ac:dyDescent="0.2">
      <c r="A723" t="s">
        <v>1070</v>
      </c>
      <c r="B723" t="s">
        <v>1071</v>
      </c>
      <c r="C723" t="s">
        <v>28</v>
      </c>
      <c r="D723" s="1">
        <v>45670</v>
      </c>
      <c r="E723">
        <v>631.63</v>
      </c>
      <c r="F723" t="s">
        <v>12</v>
      </c>
      <c r="G723" t="s">
        <v>13</v>
      </c>
      <c r="H723" t="s">
        <v>20</v>
      </c>
      <c r="I723" t="s">
        <v>15</v>
      </c>
      <c r="J723" t="str">
        <f>"FY" &amp; IF(MONTH(GiftData[[#This Row],[Gift_Date]])&gt;=7, RIGHT(YEAR(GiftData[[#This Row],[Gift_Date]])+1, 2), RIGHT(YEAR(GiftData[[#This Row],[Gift_Date]]), 2))</f>
        <v>FY25</v>
      </c>
      <c r="K723">
        <f>IF(COUNTIFS(GiftData[Constituent_ID], GiftData[[#This Row],[Constituent_ID]], GiftData[Fiscal_Year], "FY24")&gt;0, 1, 0)</f>
        <v>0</v>
      </c>
      <c r="L723">
        <f>IF(COUNTIFS(GiftData[Constituent_ID], GiftData[[#This Row],[Constituent_ID]], GiftData[Fiscal_Year], "FY25")&gt;0, 1, 0)</f>
        <v>1</v>
      </c>
      <c r="M723">
        <f>IF(COUNTIFS(GiftData[Constituent_ID], GiftData[[#This Row],[Constituent_ID]], GiftData[Fiscal_Year], "FY26")&gt;0, 1, 0)</f>
        <v>1</v>
      </c>
      <c r="N723" t="str" cm="1">
        <f t="array" ref="N7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4" spans="1:14" x14ac:dyDescent="0.2">
      <c r="A724" t="s">
        <v>1072</v>
      </c>
      <c r="B724" t="s">
        <v>1073</v>
      </c>
      <c r="C724" t="s">
        <v>11</v>
      </c>
      <c r="D724" s="1">
        <v>45549</v>
      </c>
      <c r="E724">
        <v>106.13</v>
      </c>
      <c r="F724" t="s">
        <v>12</v>
      </c>
      <c r="G724" t="s">
        <v>29</v>
      </c>
      <c r="H724" t="s">
        <v>14</v>
      </c>
      <c r="I724" t="s">
        <v>38</v>
      </c>
      <c r="J724" t="str">
        <f>"FY" &amp; IF(MONTH(GiftData[[#This Row],[Gift_Date]])&gt;=7, RIGHT(YEAR(GiftData[[#This Row],[Gift_Date]])+1, 2), RIGHT(YEAR(GiftData[[#This Row],[Gift_Date]]), 2))</f>
        <v>FY25</v>
      </c>
      <c r="K724">
        <f>IF(COUNTIFS(GiftData[Constituent_ID], GiftData[[#This Row],[Constituent_ID]], GiftData[Fiscal_Year], "FY24")&gt;0, 1, 0)</f>
        <v>0</v>
      </c>
      <c r="L724">
        <f>IF(COUNTIFS(GiftData[Constituent_ID], GiftData[[#This Row],[Constituent_ID]], GiftData[Fiscal_Year], "FY25")&gt;0, 1, 0)</f>
        <v>1</v>
      </c>
      <c r="M724">
        <f>IF(COUNTIFS(GiftData[Constituent_ID], GiftData[[#This Row],[Constituent_ID]], GiftData[Fiscal_Year], "FY26")&gt;0, 1, 0)</f>
        <v>1</v>
      </c>
      <c r="N724" t="str" cm="1">
        <f t="array" ref="N7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5" spans="1:14" x14ac:dyDescent="0.2">
      <c r="A725" t="s">
        <v>1074</v>
      </c>
      <c r="B725" t="s">
        <v>282</v>
      </c>
      <c r="C725" t="s">
        <v>18</v>
      </c>
      <c r="D725" s="1">
        <v>45880</v>
      </c>
      <c r="E725">
        <v>334.85</v>
      </c>
      <c r="F725" t="s">
        <v>59</v>
      </c>
      <c r="G725" t="s">
        <v>13</v>
      </c>
      <c r="H725" t="s">
        <v>20</v>
      </c>
      <c r="I725" t="s">
        <v>15</v>
      </c>
      <c r="J725" t="str">
        <f>"FY" &amp; IF(MONTH(GiftData[[#This Row],[Gift_Date]])&gt;=7, RIGHT(YEAR(GiftData[[#This Row],[Gift_Date]])+1, 2), RIGHT(YEAR(GiftData[[#This Row],[Gift_Date]]), 2))</f>
        <v>FY26</v>
      </c>
      <c r="K725">
        <f>IF(COUNTIFS(GiftData[Constituent_ID], GiftData[[#This Row],[Constituent_ID]], GiftData[Fiscal_Year], "FY24")&gt;0, 1, 0)</f>
        <v>0</v>
      </c>
      <c r="L725">
        <f>IF(COUNTIFS(GiftData[Constituent_ID], GiftData[[#This Row],[Constituent_ID]], GiftData[Fiscal_Year], "FY25")&gt;0, 1, 0)</f>
        <v>1</v>
      </c>
      <c r="M725">
        <f>IF(COUNTIFS(GiftData[Constituent_ID], GiftData[[#This Row],[Constituent_ID]], GiftData[Fiscal_Year], "FY26")&gt;0, 1, 0)</f>
        <v>1</v>
      </c>
      <c r="N725" t="str" cm="1">
        <f t="array" ref="N7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6" spans="1:14" x14ac:dyDescent="0.2">
      <c r="A726" t="s">
        <v>1075</v>
      </c>
      <c r="B726" t="s">
        <v>527</v>
      </c>
      <c r="C726" t="s">
        <v>11</v>
      </c>
      <c r="D726" s="1">
        <v>45457</v>
      </c>
      <c r="E726">
        <v>15</v>
      </c>
      <c r="F726" t="s">
        <v>12</v>
      </c>
      <c r="G726" t="s">
        <v>13</v>
      </c>
      <c r="H726" t="s">
        <v>20</v>
      </c>
      <c r="I726" t="s">
        <v>38</v>
      </c>
      <c r="J726" t="str">
        <f>"FY" &amp; IF(MONTH(GiftData[[#This Row],[Gift_Date]])&gt;=7, RIGHT(YEAR(GiftData[[#This Row],[Gift_Date]])+1, 2), RIGHT(YEAR(GiftData[[#This Row],[Gift_Date]]), 2))</f>
        <v>FY24</v>
      </c>
      <c r="K726">
        <f>IF(COUNTIFS(GiftData[Constituent_ID], GiftData[[#This Row],[Constituent_ID]], GiftData[Fiscal_Year], "FY24")&gt;0, 1, 0)</f>
        <v>1</v>
      </c>
      <c r="L726">
        <f>IF(COUNTIFS(GiftData[Constituent_ID], GiftData[[#This Row],[Constituent_ID]], GiftData[Fiscal_Year], "FY25")&gt;0, 1, 0)</f>
        <v>0</v>
      </c>
      <c r="M726">
        <f>IF(COUNTIFS(GiftData[Constituent_ID], GiftData[[#This Row],[Constituent_ID]], GiftData[Fiscal_Year], "FY26")&gt;0, 1, 0)</f>
        <v>1</v>
      </c>
      <c r="N726" t="str" cm="1">
        <f t="array" ref="N7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7" spans="1:14" x14ac:dyDescent="0.2">
      <c r="A727" t="s">
        <v>1076</v>
      </c>
      <c r="B727" t="s">
        <v>291</v>
      </c>
      <c r="C727" t="s">
        <v>18</v>
      </c>
      <c r="D727" s="1">
        <v>45627</v>
      </c>
      <c r="E727">
        <v>192.38</v>
      </c>
      <c r="F727" t="s">
        <v>59</v>
      </c>
      <c r="G727" t="s">
        <v>13</v>
      </c>
      <c r="H727" t="s">
        <v>164</v>
      </c>
      <c r="I727" t="s">
        <v>38</v>
      </c>
      <c r="J727" t="str">
        <f>"FY" &amp; IF(MONTH(GiftData[[#This Row],[Gift_Date]])&gt;=7, RIGHT(YEAR(GiftData[[#This Row],[Gift_Date]])+1, 2), RIGHT(YEAR(GiftData[[#This Row],[Gift_Date]]), 2))</f>
        <v>FY25</v>
      </c>
      <c r="K727">
        <f>IF(COUNTIFS(GiftData[Constituent_ID], GiftData[[#This Row],[Constituent_ID]], GiftData[Fiscal_Year], "FY24")&gt;0, 1, 0)</f>
        <v>1</v>
      </c>
      <c r="L727">
        <f>IF(COUNTIFS(GiftData[Constituent_ID], GiftData[[#This Row],[Constituent_ID]], GiftData[Fiscal_Year], "FY25")&gt;0, 1, 0)</f>
        <v>1</v>
      </c>
      <c r="M727">
        <f>IF(COUNTIFS(GiftData[Constituent_ID], GiftData[[#This Row],[Constituent_ID]], GiftData[Fiscal_Year], "FY26")&gt;0, 1, 0)</f>
        <v>1</v>
      </c>
      <c r="N727" t="str" cm="1">
        <f t="array" ref="N7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8" spans="1:14" x14ac:dyDescent="0.2">
      <c r="A728" t="s">
        <v>1077</v>
      </c>
      <c r="B728" t="s">
        <v>921</v>
      </c>
      <c r="C728" t="s">
        <v>11</v>
      </c>
      <c r="D728" s="1">
        <v>45245</v>
      </c>
      <c r="E728">
        <v>85.38</v>
      </c>
      <c r="F728" t="s">
        <v>59</v>
      </c>
      <c r="G728" t="s">
        <v>13</v>
      </c>
      <c r="H728" t="s">
        <v>14</v>
      </c>
      <c r="I728" t="s">
        <v>15</v>
      </c>
      <c r="J728" t="str">
        <f>"FY" &amp; IF(MONTH(GiftData[[#This Row],[Gift_Date]])&gt;=7, RIGHT(YEAR(GiftData[[#This Row],[Gift_Date]])+1, 2), RIGHT(YEAR(GiftData[[#This Row],[Gift_Date]]), 2))</f>
        <v>FY24</v>
      </c>
      <c r="K728">
        <f>IF(COUNTIFS(GiftData[Constituent_ID], GiftData[[#This Row],[Constituent_ID]], GiftData[Fiscal_Year], "FY24")&gt;0, 1, 0)</f>
        <v>1</v>
      </c>
      <c r="L728">
        <f>IF(COUNTIFS(GiftData[Constituent_ID], GiftData[[#This Row],[Constituent_ID]], GiftData[Fiscal_Year], "FY25")&gt;0, 1, 0)</f>
        <v>1</v>
      </c>
      <c r="M728">
        <f>IF(COUNTIFS(GiftData[Constituent_ID], GiftData[[#This Row],[Constituent_ID]], GiftData[Fiscal_Year], "FY26")&gt;0, 1, 0)</f>
        <v>1</v>
      </c>
      <c r="N728" t="str" cm="1">
        <f t="array" ref="N7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29" spans="1:14" x14ac:dyDescent="0.2">
      <c r="A729" t="s">
        <v>1078</v>
      </c>
      <c r="B729" t="s">
        <v>1079</v>
      </c>
      <c r="C729" t="s">
        <v>11</v>
      </c>
      <c r="D729" s="1">
        <v>46099</v>
      </c>
      <c r="E729">
        <v>148.74</v>
      </c>
      <c r="F729" t="s">
        <v>12</v>
      </c>
      <c r="G729" t="s">
        <v>13</v>
      </c>
      <c r="H729" t="s">
        <v>41</v>
      </c>
      <c r="I729" t="s">
        <v>15</v>
      </c>
      <c r="J729" t="str">
        <f>"FY" &amp; IF(MONTH(GiftData[[#This Row],[Gift_Date]])&gt;=7, RIGHT(YEAR(GiftData[[#This Row],[Gift_Date]])+1, 2), RIGHT(YEAR(GiftData[[#This Row],[Gift_Date]]), 2))</f>
        <v>FY26</v>
      </c>
      <c r="K729">
        <f>IF(COUNTIFS(GiftData[Constituent_ID], GiftData[[#This Row],[Constituent_ID]], GiftData[Fiscal_Year], "FY24")&gt;0, 1, 0)</f>
        <v>0</v>
      </c>
      <c r="L729">
        <f>IF(COUNTIFS(GiftData[Constituent_ID], GiftData[[#This Row],[Constituent_ID]], GiftData[Fiscal_Year], "FY25")&gt;0, 1, 0)</f>
        <v>0</v>
      </c>
      <c r="M729">
        <f>IF(COUNTIFS(GiftData[Constituent_ID], GiftData[[#This Row],[Constituent_ID]], GiftData[Fiscal_Year], "FY26")&gt;0, 1, 0)</f>
        <v>1</v>
      </c>
      <c r="N729" t="str" cm="1">
        <f t="array" ref="N7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0" spans="1:14" x14ac:dyDescent="0.2">
      <c r="A730" t="s">
        <v>1080</v>
      </c>
      <c r="B730" t="s">
        <v>690</v>
      </c>
      <c r="C730" t="s">
        <v>48</v>
      </c>
      <c r="D730" s="1">
        <v>45475</v>
      </c>
      <c r="E730">
        <v>140.31</v>
      </c>
      <c r="F730" t="s">
        <v>12</v>
      </c>
      <c r="G730" t="s">
        <v>13</v>
      </c>
      <c r="H730" t="s">
        <v>20</v>
      </c>
      <c r="I730" t="s">
        <v>15</v>
      </c>
      <c r="J730" t="str">
        <f>"FY" &amp; IF(MONTH(GiftData[[#This Row],[Gift_Date]])&gt;=7, RIGHT(YEAR(GiftData[[#This Row],[Gift_Date]])+1, 2), RIGHT(YEAR(GiftData[[#This Row],[Gift_Date]]), 2))</f>
        <v>FY25</v>
      </c>
      <c r="K730">
        <f>IF(COUNTIFS(GiftData[Constituent_ID], GiftData[[#This Row],[Constituent_ID]], GiftData[Fiscal_Year], "FY24")&gt;0, 1, 0)</f>
        <v>0</v>
      </c>
      <c r="L730">
        <f>IF(COUNTIFS(GiftData[Constituent_ID], GiftData[[#This Row],[Constituent_ID]], GiftData[Fiscal_Year], "FY25")&gt;0, 1, 0)</f>
        <v>1</v>
      </c>
      <c r="M730">
        <f>IF(COUNTIFS(GiftData[Constituent_ID], GiftData[[#This Row],[Constituent_ID]], GiftData[Fiscal_Year], "FY26")&gt;0, 1, 0)</f>
        <v>1</v>
      </c>
      <c r="N730" t="str" cm="1">
        <f t="array" ref="N7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1" spans="1:14" x14ac:dyDescent="0.2">
      <c r="A731" t="s">
        <v>1081</v>
      </c>
      <c r="B731" t="s">
        <v>482</v>
      </c>
      <c r="C731" t="s">
        <v>18</v>
      </c>
      <c r="D731" s="1">
        <v>45467</v>
      </c>
      <c r="E731">
        <v>143.08000000000001</v>
      </c>
      <c r="F731" t="s">
        <v>19</v>
      </c>
      <c r="G731" t="s">
        <v>13</v>
      </c>
      <c r="H731" t="s">
        <v>20</v>
      </c>
      <c r="I731" t="s">
        <v>15</v>
      </c>
      <c r="J731" t="str">
        <f>"FY" &amp; IF(MONTH(GiftData[[#This Row],[Gift_Date]])&gt;=7, RIGHT(YEAR(GiftData[[#This Row],[Gift_Date]])+1, 2), RIGHT(YEAR(GiftData[[#This Row],[Gift_Date]]), 2))</f>
        <v>FY24</v>
      </c>
      <c r="K731">
        <f>IF(COUNTIFS(GiftData[Constituent_ID], GiftData[[#This Row],[Constituent_ID]], GiftData[Fiscal_Year], "FY24")&gt;0, 1, 0)</f>
        <v>1</v>
      </c>
      <c r="L731">
        <f>IF(COUNTIFS(GiftData[Constituent_ID], GiftData[[#This Row],[Constituent_ID]], GiftData[Fiscal_Year], "FY25")&gt;0, 1, 0)</f>
        <v>0</v>
      </c>
      <c r="M731">
        <f>IF(COUNTIFS(GiftData[Constituent_ID], GiftData[[#This Row],[Constituent_ID]], GiftData[Fiscal_Year], "FY26")&gt;0, 1, 0)</f>
        <v>1</v>
      </c>
      <c r="N731" t="str" cm="1">
        <f t="array" ref="N7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2" spans="1:14" x14ac:dyDescent="0.2">
      <c r="A732" t="s">
        <v>1082</v>
      </c>
      <c r="B732" t="s">
        <v>22</v>
      </c>
      <c r="C732" t="s">
        <v>28</v>
      </c>
      <c r="D732" s="1">
        <v>46028</v>
      </c>
      <c r="E732">
        <v>270.54000000000002</v>
      </c>
      <c r="F732" t="s">
        <v>59</v>
      </c>
      <c r="G732" t="s">
        <v>13</v>
      </c>
      <c r="H732" t="s">
        <v>51</v>
      </c>
      <c r="I732" t="s">
        <v>38</v>
      </c>
      <c r="J732" t="str">
        <f>"FY" &amp; IF(MONTH(GiftData[[#This Row],[Gift_Date]])&gt;=7, RIGHT(YEAR(GiftData[[#This Row],[Gift_Date]])+1, 2), RIGHT(YEAR(GiftData[[#This Row],[Gift_Date]]), 2))</f>
        <v>FY26</v>
      </c>
      <c r="K732">
        <f>IF(COUNTIFS(GiftData[Constituent_ID], GiftData[[#This Row],[Constituent_ID]], GiftData[Fiscal_Year], "FY24")&gt;0, 1, 0)</f>
        <v>1</v>
      </c>
      <c r="L732">
        <f>IF(COUNTIFS(GiftData[Constituent_ID], GiftData[[#This Row],[Constituent_ID]], GiftData[Fiscal_Year], "FY25")&gt;0, 1, 0)</f>
        <v>1</v>
      </c>
      <c r="M732">
        <f>IF(COUNTIFS(GiftData[Constituent_ID], GiftData[[#This Row],[Constituent_ID]], GiftData[Fiscal_Year], "FY26")&gt;0, 1, 0)</f>
        <v>1</v>
      </c>
      <c r="N732" t="str" cm="1">
        <f t="array" ref="N7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3" spans="1:14" x14ac:dyDescent="0.2">
      <c r="A733" t="s">
        <v>1083</v>
      </c>
      <c r="B733" t="s">
        <v>93</v>
      </c>
      <c r="C733" t="s">
        <v>18</v>
      </c>
      <c r="D733" s="1">
        <v>45436</v>
      </c>
      <c r="E733">
        <v>58.28</v>
      </c>
      <c r="F733" t="s">
        <v>12</v>
      </c>
      <c r="G733" t="s">
        <v>29</v>
      </c>
      <c r="H733" t="s">
        <v>41</v>
      </c>
      <c r="I733" t="s">
        <v>15</v>
      </c>
      <c r="J733" t="str">
        <f>"FY" &amp; IF(MONTH(GiftData[[#This Row],[Gift_Date]])&gt;=7, RIGHT(YEAR(GiftData[[#This Row],[Gift_Date]])+1, 2), RIGHT(YEAR(GiftData[[#This Row],[Gift_Date]]), 2))</f>
        <v>FY24</v>
      </c>
      <c r="K733">
        <f>IF(COUNTIFS(GiftData[Constituent_ID], GiftData[[#This Row],[Constituent_ID]], GiftData[Fiscal_Year], "FY24")&gt;0, 1, 0)</f>
        <v>1</v>
      </c>
      <c r="L733">
        <f>IF(COUNTIFS(GiftData[Constituent_ID], GiftData[[#This Row],[Constituent_ID]], GiftData[Fiscal_Year], "FY25")&gt;0, 1, 0)</f>
        <v>1</v>
      </c>
      <c r="M733">
        <f>IF(COUNTIFS(GiftData[Constituent_ID], GiftData[[#This Row],[Constituent_ID]], GiftData[Fiscal_Year], "FY26")&gt;0, 1, 0)</f>
        <v>1</v>
      </c>
      <c r="N733" t="str" cm="1">
        <f t="array" ref="N7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4" spans="1:14" x14ac:dyDescent="0.2">
      <c r="A734" t="s">
        <v>1084</v>
      </c>
      <c r="B734" t="s">
        <v>69</v>
      </c>
      <c r="C734" t="s">
        <v>11</v>
      </c>
      <c r="D734" s="1">
        <v>46069</v>
      </c>
      <c r="E734">
        <v>254.63</v>
      </c>
      <c r="F734" t="s">
        <v>59</v>
      </c>
      <c r="G734" t="s">
        <v>13</v>
      </c>
      <c r="H734" t="s">
        <v>14</v>
      </c>
      <c r="I734" t="s">
        <v>15</v>
      </c>
      <c r="J734" t="str">
        <f>"FY" &amp; IF(MONTH(GiftData[[#This Row],[Gift_Date]])&gt;=7, RIGHT(YEAR(GiftData[[#This Row],[Gift_Date]])+1, 2), RIGHT(YEAR(GiftData[[#This Row],[Gift_Date]]), 2))</f>
        <v>FY26</v>
      </c>
      <c r="K734">
        <f>IF(COUNTIFS(GiftData[Constituent_ID], GiftData[[#This Row],[Constituent_ID]], GiftData[Fiscal_Year], "FY24")&gt;0, 1, 0)</f>
        <v>1</v>
      </c>
      <c r="L734">
        <f>IF(COUNTIFS(GiftData[Constituent_ID], GiftData[[#This Row],[Constituent_ID]], GiftData[Fiscal_Year], "FY25")&gt;0, 1, 0)</f>
        <v>0</v>
      </c>
      <c r="M734">
        <f>IF(COUNTIFS(GiftData[Constituent_ID], GiftData[[#This Row],[Constituent_ID]], GiftData[Fiscal_Year], "FY26")&gt;0, 1, 0)</f>
        <v>1</v>
      </c>
      <c r="N734" t="str" cm="1">
        <f t="array" ref="N7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5" spans="1:14" x14ac:dyDescent="0.2">
      <c r="A735" t="s">
        <v>1085</v>
      </c>
      <c r="B735" t="s">
        <v>329</v>
      </c>
      <c r="C735" t="s">
        <v>11</v>
      </c>
      <c r="D735" s="1">
        <v>45570</v>
      </c>
      <c r="E735">
        <v>603.22</v>
      </c>
      <c r="F735" t="s">
        <v>12</v>
      </c>
      <c r="G735" t="s">
        <v>13</v>
      </c>
      <c r="H735" t="s">
        <v>164</v>
      </c>
      <c r="I735" t="s">
        <v>15</v>
      </c>
      <c r="J735" t="str">
        <f>"FY" &amp; IF(MONTH(GiftData[[#This Row],[Gift_Date]])&gt;=7, RIGHT(YEAR(GiftData[[#This Row],[Gift_Date]])+1, 2), RIGHT(YEAR(GiftData[[#This Row],[Gift_Date]]), 2))</f>
        <v>FY25</v>
      </c>
      <c r="K735">
        <f>IF(COUNTIFS(GiftData[Constituent_ID], GiftData[[#This Row],[Constituent_ID]], GiftData[Fiscal_Year], "FY24")&gt;0, 1, 0)</f>
        <v>0</v>
      </c>
      <c r="L735">
        <f>IF(COUNTIFS(GiftData[Constituent_ID], GiftData[[#This Row],[Constituent_ID]], GiftData[Fiscal_Year], "FY25")&gt;0, 1, 0)</f>
        <v>1</v>
      </c>
      <c r="M735">
        <f>IF(COUNTIFS(GiftData[Constituent_ID], GiftData[[#This Row],[Constituent_ID]], GiftData[Fiscal_Year], "FY26")&gt;0, 1, 0)</f>
        <v>0</v>
      </c>
      <c r="N735" t="str" cm="1">
        <f t="array" ref="N7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36" spans="1:14" x14ac:dyDescent="0.2">
      <c r="A736" t="s">
        <v>1086</v>
      </c>
      <c r="B736" t="s">
        <v>1087</v>
      </c>
      <c r="C736" t="s">
        <v>48</v>
      </c>
      <c r="D736" s="1">
        <v>46053</v>
      </c>
      <c r="E736">
        <v>19.43</v>
      </c>
      <c r="F736" t="s">
        <v>12</v>
      </c>
      <c r="G736" t="s">
        <v>13</v>
      </c>
      <c r="H736" t="s">
        <v>164</v>
      </c>
      <c r="I736" t="s">
        <v>15</v>
      </c>
      <c r="J736" t="str">
        <f>"FY" &amp; IF(MONTH(GiftData[[#This Row],[Gift_Date]])&gt;=7, RIGHT(YEAR(GiftData[[#This Row],[Gift_Date]])+1, 2), RIGHT(YEAR(GiftData[[#This Row],[Gift_Date]]), 2))</f>
        <v>FY26</v>
      </c>
      <c r="K736">
        <f>IF(COUNTIFS(GiftData[Constituent_ID], GiftData[[#This Row],[Constituent_ID]], GiftData[Fiscal_Year], "FY24")&gt;0, 1, 0)</f>
        <v>0</v>
      </c>
      <c r="L736">
        <f>IF(COUNTIFS(GiftData[Constituent_ID], GiftData[[#This Row],[Constituent_ID]], GiftData[Fiscal_Year], "FY25")&gt;0, 1, 0)</f>
        <v>0</v>
      </c>
      <c r="M736">
        <f>IF(COUNTIFS(GiftData[Constituent_ID], GiftData[[#This Row],[Constituent_ID]], GiftData[Fiscal_Year], "FY26")&gt;0, 1, 0)</f>
        <v>1</v>
      </c>
      <c r="N736" t="str" cm="1">
        <f t="array" ref="N7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7" spans="1:14" x14ac:dyDescent="0.2">
      <c r="A737" t="s">
        <v>1088</v>
      </c>
      <c r="B737" t="s">
        <v>132</v>
      </c>
      <c r="C737" t="s">
        <v>18</v>
      </c>
      <c r="D737" s="1">
        <v>46070</v>
      </c>
      <c r="E737">
        <v>44.05</v>
      </c>
      <c r="F737" t="s">
        <v>59</v>
      </c>
      <c r="G737" t="s">
        <v>13</v>
      </c>
      <c r="H737" t="s">
        <v>164</v>
      </c>
      <c r="I737" t="s">
        <v>38</v>
      </c>
      <c r="J737" t="str">
        <f>"FY" &amp; IF(MONTH(GiftData[[#This Row],[Gift_Date]])&gt;=7, RIGHT(YEAR(GiftData[[#This Row],[Gift_Date]])+1, 2), RIGHT(YEAR(GiftData[[#This Row],[Gift_Date]]), 2))</f>
        <v>FY26</v>
      </c>
      <c r="K737">
        <f>IF(COUNTIFS(GiftData[Constituent_ID], GiftData[[#This Row],[Constituent_ID]], GiftData[Fiscal_Year], "FY24")&gt;0, 1, 0)</f>
        <v>1</v>
      </c>
      <c r="L737">
        <f>IF(COUNTIFS(GiftData[Constituent_ID], GiftData[[#This Row],[Constituent_ID]], GiftData[Fiscal_Year], "FY25")&gt;0, 1, 0)</f>
        <v>0</v>
      </c>
      <c r="M737">
        <f>IF(COUNTIFS(GiftData[Constituent_ID], GiftData[[#This Row],[Constituent_ID]], GiftData[Fiscal_Year], "FY26")&gt;0, 1, 0)</f>
        <v>1</v>
      </c>
      <c r="N737" t="str" cm="1">
        <f t="array" ref="N7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8" spans="1:14" x14ac:dyDescent="0.2">
      <c r="A738" t="s">
        <v>1089</v>
      </c>
      <c r="B738" t="s">
        <v>565</v>
      </c>
      <c r="C738" t="s">
        <v>18</v>
      </c>
      <c r="D738" s="1">
        <v>45943</v>
      </c>
      <c r="E738">
        <v>46.52</v>
      </c>
      <c r="F738" t="s">
        <v>12</v>
      </c>
      <c r="G738" t="s">
        <v>13</v>
      </c>
      <c r="H738" t="s">
        <v>14</v>
      </c>
      <c r="I738" t="s">
        <v>15</v>
      </c>
      <c r="J738" t="str">
        <f>"FY" &amp; IF(MONTH(GiftData[[#This Row],[Gift_Date]])&gt;=7, RIGHT(YEAR(GiftData[[#This Row],[Gift_Date]])+1, 2), RIGHT(YEAR(GiftData[[#This Row],[Gift_Date]]), 2))</f>
        <v>FY26</v>
      </c>
      <c r="K738">
        <f>IF(COUNTIFS(GiftData[Constituent_ID], GiftData[[#This Row],[Constituent_ID]], GiftData[Fiscal_Year], "FY24")&gt;0, 1, 0)</f>
        <v>1</v>
      </c>
      <c r="L738">
        <f>IF(COUNTIFS(GiftData[Constituent_ID], GiftData[[#This Row],[Constituent_ID]], GiftData[Fiscal_Year], "FY25")&gt;0, 1, 0)</f>
        <v>0</v>
      </c>
      <c r="M738">
        <f>IF(COUNTIFS(GiftData[Constituent_ID], GiftData[[#This Row],[Constituent_ID]], GiftData[Fiscal_Year], "FY26")&gt;0, 1, 0)</f>
        <v>1</v>
      </c>
      <c r="N738" t="str" cm="1">
        <f t="array" ref="N7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39" spans="1:14" x14ac:dyDescent="0.2">
      <c r="A739" t="s">
        <v>1090</v>
      </c>
      <c r="B739" t="s">
        <v>351</v>
      </c>
      <c r="C739" t="s">
        <v>11</v>
      </c>
      <c r="D739" s="1">
        <v>45276</v>
      </c>
      <c r="E739">
        <v>29.38</v>
      </c>
      <c r="F739" t="s">
        <v>59</v>
      </c>
      <c r="G739" t="s">
        <v>13</v>
      </c>
      <c r="H739" t="s">
        <v>20</v>
      </c>
      <c r="I739" t="s">
        <v>56</v>
      </c>
      <c r="J739" t="str">
        <f>"FY" &amp; IF(MONTH(GiftData[[#This Row],[Gift_Date]])&gt;=7, RIGHT(YEAR(GiftData[[#This Row],[Gift_Date]])+1, 2), RIGHT(YEAR(GiftData[[#This Row],[Gift_Date]]), 2))</f>
        <v>FY24</v>
      </c>
      <c r="K739">
        <f>IF(COUNTIFS(GiftData[Constituent_ID], GiftData[[#This Row],[Constituent_ID]], GiftData[Fiscal_Year], "FY24")&gt;0, 1, 0)</f>
        <v>1</v>
      </c>
      <c r="L739">
        <f>IF(COUNTIFS(GiftData[Constituent_ID], GiftData[[#This Row],[Constituent_ID]], GiftData[Fiscal_Year], "FY25")&gt;0, 1, 0)</f>
        <v>1</v>
      </c>
      <c r="M739">
        <f>IF(COUNTIFS(GiftData[Constituent_ID], GiftData[[#This Row],[Constituent_ID]], GiftData[Fiscal_Year], "FY26")&gt;0, 1, 0)</f>
        <v>1</v>
      </c>
      <c r="N739" t="str" cm="1">
        <f t="array" ref="N7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0" spans="1:14" x14ac:dyDescent="0.2">
      <c r="A740" t="s">
        <v>1091</v>
      </c>
      <c r="B740" t="s">
        <v>699</v>
      </c>
      <c r="C740" t="s">
        <v>18</v>
      </c>
      <c r="D740" s="1">
        <v>45324</v>
      </c>
      <c r="E740">
        <v>65.56</v>
      </c>
      <c r="F740" t="s">
        <v>12</v>
      </c>
      <c r="G740" t="s">
        <v>13</v>
      </c>
      <c r="H740" t="s">
        <v>41</v>
      </c>
      <c r="I740" t="s">
        <v>15</v>
      </c>
      <c r="J740" t="str">
        <f>"FY" &amp; IF(MONTH(GiftData[[#This Row],[Gift_Date]])&gt;=7, RIGHT(YEAR(GiftData[[#This Row],[Gift_Date]])+1, 2), RIGHT(YEAR(GiftData[[#This Row],[Gift_Date]]), 2))</f>
        <v>FY24</v>
      </c>
      <c r="K740">
        <f>IF(COUNTIFS(GiftData[Constituent_ID], GiftData[[#This Row],[Constituent_ID]], GiftData[Fiscal_Year], "FY24")&gt;0, 1, 0)</f>
        <v>1</v>
      </c>
      <c r="L740">
        <f>IF(COUNTIFS(GiftData[Constituent_ID], GiftData[[#This Row],[Constituent_ID]], GiftData[Fiscal_Year], "FY25")&gt;0, 1, 0)</f>
        <v>1</v>
      </c>
      <c r="M740">
        <f>IF(COUNTIFS(GiftData[Constituent_ID], GiftData[[#This Row],[Constituent_ID]], GiftData[Fiscal_Year], "FY26")&gt;0, 1, 0)</f>
        <v>1</v>
      </c>
      <c r="N740" t="str" cm="1">
        <f t="array" ref="N7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1" spans="1:14" x14ac:dyDescent="0.2">
      <c r="A741" t="s">
        <v>1092</v>
      </c>
      <c r="B741" t="s">
        <v>1093</v>
      </c>
      <c r="C741" t="s">
        <v>18</v>
      </c>
      <c r="D741" s="1">
        <v>45485</v>
      </c>
      <c r="E741">
        <v>465.47</v>
      </c>
      <c r="F741" t="s">
        <v>25</v>
      </c>
      <c r="G741" t="s">
        <v>29</v>
      </c>
      <c r="H741" t="s">
        <v>41</v>
      </c>
      <c r="I741" t="s">
        <v>15</v>
      </c>
      <c r="J741" t="str">
        <f>"FY" &amp; IF(MONTH(GiftData[[#This Row],[Gift_Date]])&gt;=7, RIGHT(YEAR(GiftData[[#This Row],[Gift_Date]])+1, 2), RIGHT(YEAR(GiftData[[#This Row],[Gift_Date]]), 2))</f>
        <v>FY25</v>
      </c>
      <c r="K741">
        <f>IF(COUNTIFS(GiftData[Constituent_ID], GiftData[[#This Row],[Constituent_ID]], GiftData[Fiscal_Year], "FY24")&gt;0, 1, 0)</f>
        <v>0</v>
      </c>
      <c r="L741">
        <f>IF(COUNTIFS(GiftData[Constituent_ID], GiftData[[#This Row],[Constituent_ID]], GiftData[Fiscal_Year], "FY25")&gt;0, 1, 0)</f>
        <v>1</v>
      </c>
      <c r="M741">
        <f>IF(COUNTIFS(GiftData[Constituent_ID], GiftData[[#This Row],[Constituent_ID]], GiftData[Fiscal_Year], "FY26")&gt;0, 1, 0)</f>
        <v>0</v>
      </c>
      <c r="N741" t="str" cm="1">
        <f t="array" ref="N7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42" spans="1:14" x14ac:dyDescent="0.2">
      <c r="A742" t="s">
        <v>1094</v>
      </c>
      <c r="B742" t="s">
        <v>456</v>
      </c>
      <c r="C742" t="s">
        <v>28</v>
      </c>
      <c r="D742" s="1">
        <v>45226</v>
      </c>
      <c r="E742">
        <v>797.8</v>
      </c>
      <c r="F742" t="s">
        <v>12</v>
      </c>
      <c r="G742" t="s">
        <v>13</v>
      </c>
      <c r="H742" t="s">
        <v>20</v>
      </c>
      <c r="I742" t="s">
        <v>15</v>
      </c>
      <c r="J742" t="str">
        <f>"FY" &amp; IF(MONTH(GiftData[[#This Row],[Gift_Date]])&gt;=7, RIGHT(YEAR(GiftData[[#This Row],[Gift_Date]])+1, 2), RIGHT(YEAR(GiftData[[#This Row],[Gift_Date]]), 2))</f>
        <v>FY24</v>
      </c>
      <c r="K742">
        <f>IF(COUNTIFS(GiftData[Constituent_ID], GiftData[[#This Row],[Constituent_ID]], GiftData[Fiscal_Year], "FY24")&gt;0, 1, 0)</f>
        <v>1</v>
      </c>
      <c r="L742">
        <f>IF(COUNTIFS(GiftData[Constituent_ID], GiftData[[#This Row],[Constituent_ID]], GiftData[Fiscal_Year], "FY25")&gt;0, 1, 0)</f>
        <v>1</v>
      </c>
      <c r="M742">
        <f>IF(COUNTIFS(GiftData[Constituent_ID], GiftData[[#This Row],[Constituent_ID]], GiftData[Fiscal_Year], "FY26")&gt;0, 1, 0)</f>
        <v>1</v>
      </c>
      <c r="N742" t="str" cm="1">
        <f t="array" ref="N7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3" spans="1:14" x14ac:dyDescent="0.2">
      <c r="A743" t="s">
        <v>1095</v>
      </c>
      <c r="B743" t="s">
        <v>904</v>
      </c>
      <c r="C743" t="s">
        <v>18</v>
      </c>
      <c r="D743" s="1">
        <v>45297</v>
      </c>
      <c r="E743">
        <v>139.49</v>
      </c>
      <c r="F743" t="s">
        <v>12</v>
      </c>
      <c r="G743" t="s">
        <v>13</v>
      </c>
      <c r="H743" t="s">
        <v>41</v>
      </c>
      <c r="I743" t="s">
        <v>38</v>
      </c>
      <c r="J743" t="str">
        <f>"FY" &amp; IF(MONTH(GiftData[[#This Row],[Gift_Date]])&gt;=7, RIGHT(YEAR(GiftData[[#This Row],[Gift_Date]])+1, 2), RIGHT(YEAR(GiftData[[#This Row],[Gift_Date]]), 2))</f>
        <v>FY24</v>
      </c>
      <c r="K743">
        <f>IF(COUNTIFS(GiftData[Constituent_ID], GiftData[[#This Row],[Constituent_ID]], GiftData[Fiscal_Year], "FY24")&gt;0, 1, 0)</f>
        <v>1</v>
      </c>
      <c r="L743">
        <f>IF(COUNTIFS(GiftData[Constituent_ID], GiftData[[#This Row],[Constituent_ID]], GiftData[Fiscal_Year], "FY25")&gt;0, 1, 0)</f>
        <v>0</v>
      </c>
      <c r="M743">
        <f>IF(COUNTIFS(GiftData[Constituent_ID], GiftData[[#This Row],[Constituent_ID]], GiftData[Fiscal_Year], "FY26")&gt;0, 1, 0)</f>
        <v>1</v>
      </c>
      <c r="N743" t="str" cm="1">
        <f t="array" ref="N7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4" spans="1:14" x14ac:dyDescent="0.2">
      <c r="A744" t="s">
        <v>1096</v>
      </c>
      <c r="B744" t="s">
        <v>375</v>
      </c>
      <c r="C744" t="s">
        <v>18</v>
      </c>
      <c r="D744" s="1">
        <v>45874</v>
      </c>
      <c r="E744">
        <v>79.72</v>
      </c>
      <c r="F744" t="s">
        <v>25</v>
      </c>
      <c r="G744" t="s">
        <v>29</v>
      </c>
      <c r="H744" t="s">
        <v>20</v>
      </c>
      <c r="I744" t="s">
        <v>38</v>
      </c>
      <c r="J744" t="str">
        <f>"FY" &amp; IF(MONTH(GiftData[[#This Row],[Gift_Date]])&gt;=7, RIGHT(YEAR(GiftData[[#This Row],[Gift_Date]])+1, 2), RIGHT(YEAR(GiftData[[#This Row],[Gift_Date]]), 2))</f>
        <v>FY26</v>
      </c>
      <c r="K744">
        <f>IF(COUNTIFS(GiftData[Constituent_ID], GiftData[[#This Row],[Constituent_ID]], GiftData[Fiscal_Year], "FY24")&gt;0, 1, 0)</f>
        <v>1</v>
      </c>
      <c r="L744">
        <f>IF(COUNTIFS(GiftData[Constituent_ID], GiftData[[#This Row],[Constituent_ID]], GiftData[Fiscal_Year], "FY25")&gt;0, 1, 0)</f>
        <v>0</v>
      </c>
      <c r="M744">
        <f>IF(COUNTIFS(GiftData[Constituent_ID], GiftData[[#This Row],[Constituent_ID]], GiftData[Fiscal_Year], "FY26")&gt;0, 1, 0)</f>
        <v>1</v>
      </c>
      <c r="N744" t="str" cm="1">
        <f t="array" ref="N7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5" spans="1:14" x14ac:dyDescent="0.2">
      <c r="A745" t="s">
        <v>1097</v>
      </c>
      <c r="B745" t="s">
        <v>186</v>
      </c>
      <c r="C745" t="s">
        <v>28</v>
      </c>
      <c r="D745" s="1">
        <v>45477</v>
      </c>
      <c r="E745">
        <v>345.09</v>
      </c>
      <c r="F745" t="s">
        <v>12</v>
      </c>
      <c r="G745" t="s">
        <v>13</v>
      </c>
      <c r="H745" t="s">
        <v>14</v>
      </c>
      <c r="I745" t="s">
        <v>56</v>
      </c>
      <c r="J745" t="str">
        <f>"FY" &amp; IF(MONTH(GiftData[[#This Row],[Gift_Date]])&gt;=7, RIGHT(YEAR(GiftData[[#This Row],[Gift_Date]])+1, 2), RIGHT(YEAR(GiftData[[#This Row],[Gift_Date]]), 2))</f>
        <v>FY25</v>
      </c>
      <c r="K745">
        <f>IF(COUNTIFS(GiftData[Constituent_ID], GiftData[[#This Row],[Constituent_ID]], GiftData[Fiscal_Year], "FY24")&gt;0, 1, 0)</f>
        <v>1</v>
      </c>
      <c r="L745">
        <f>IF(COUNTIFS(GiftData[Constituent_ID], GiftData[[#This Row],[Constituent_ID]], GiftData[Fiscal_Year], "FY25")&gt;0, 1, 0)</f>
        <v>1</v>
      </c>
      <c r="M745">
        <f>IF(COUNTIFS(GiftData[Constituent_ID], GiftData[[#This Row],[Constituent_ID]], GiftData[Fiscal_Year], "FY26")&gt;0, 1, 0)</f>
        <v>0</v>
      </c>
      <c r="N745" t="str" cm="1">
        <f t="array" ref="N7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46" spans="1:14" x14ac:dyDescent="0.2">
      <c r="A746" t="s">
        <v>1098</v>
      </c>
      <c r="B746" t="s">
        <v>815</v>
      </c>
      <c r="C746" t="s">
        <v>11</v>
      </c>
      <c r="D746" s="1">
        <v>45256</v>
      </c>
      <c r="E746">
        <v>15</v>
      </c>
      <c r="F746" t="s">
        <v>12</v>
      </c>
      <c r="G746" t="s">
        <v>13</v>
      </c>
      <c r="H746" t="s">
        <v>20</v>
      </c>
      <c r="I746" t="s">
        <v>38</v>
      </c>
      <c r="J746" t="str">
        <f>"FY" &amp; IF(MONTH(GiftData[[#This Row],[Gift_Date]])&gt;=7, RIGHT(YEAR(GiftData[[#This Row],[Gift_Date]])+1, 2), RIGHT(YEAR(GiftData[[#This Row],[Gift_Date]]), 2))</f>
        <v>FY24</v>
      </c>
      <c r="K746">
        <f>IF(COUNTIFS(GiftData[Constituent_ID], GiftData[[#This Row],[Constituent_ID]], GiftData[Fiscal_Year], "FY24")&gt;0, 1, 0)</f>
        <v>1</v>
      </c>
      <c r="L746">
        <f>IF(COUNTIFS(GiftData[Constituent_ID], GiftData[[#This Row],[Constituent_ID]], GiftData[Fiscal_Year], "FY25")&gt;0, 1, 0)</f>
        <v>1</v>
      </c>
      <c r="M746">
        <f>IF(COUNTIFS(GiftData[Constituent_ID], GiftData[[#This Row],[Constituent_ID]], GiftData[Fiscal_Year], "FY26")&gt;0, 1, 0)</f>
        <v>1</v>
      </c>
      <c r="N746" t="str" cm="1">
        <f t="array" ref="N7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7" spans="1:14" x14ac:dyDescent="0.2">
      <c r="A747" t="s">
        <v>1099</v>
      </c>
      <c r="B747" t="s">
        <v>327</v>
      </c>
      <c r="C747" t="s">
        <v>18</v>
      </c>
      <c r="D747" s="1">
        <v>45759</v>
      </c>
      <c r="E747">
        <v>30.82</v>
      </c>
      <c r="F747" t="s">
        <v>12</v>
      </c>
      <c r="G747" t="s">
        <v>13</v>
      </c>
      <c r="H747" t="s">
        <v>41</v>
      </c>
      <c r="I747" t="s">
        <v>15</v>
      </c>
      <c r="J747" t="str">
        <f>"FY" &amp; IF(MONTH(GiftData[[#This Row],[Gift_Date]])&gt;=7, RIGHT(YEAR(GiftData[[#This Row],[Gift_Date]])+1, 2), RIGHT(YEAR(GiftData[[#This Row],[Gift_Date]]), 2))</f>
        <v>FY25</v>
      </c>
      <c r="K747">
        <f>IF(COUNTIFS(GiftData[Constituent_ID], GiftData[[#This Row],[Constituent_ID]], GiftData[Fiscal_Year], "FY24")&gt;0, 1, 0)</f>
        <v>0</v>
      </c>
      <c r="L747">
        <f>IF(COUNTIFS(GiftData[Constituent_ID], GiftData[[#This Row],[Constituent_ID]], GiftData[Fiscal_Year], "FY25")&gt;0, 1, 0)</f>
        <v>1</v>
      </c>
      <c r="M747">
        <f>IF(COUNTIFS(GiftData[Constituent_ID], GiftData[[#This Row],[Constituent_ID]], GiftData[Fiscal_Year], "FY26")&gt;0, 1, 0)</f>
        <v>1</v>
      </c>
      <c r="N747" t="str" cm="1">
        <f t="array" ref="N7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8" spans="1:14" x14ac:dyDescent="0.2">
      <c r="A748" t="s">
        <v>1100</v>
      </c>
      <c r="B748" t="s">
        <v>565</v>
      </c>
      <c r="C748" t="s">
        <v>11</v>
      </c>
      <c r="D748" s="1">
        <v>45877</v>
      </c>
      <c r="E748">
        <v>15</v>
      </c>
      <c r="F748" t="s">
        <v>12</v>
      </c>
      <c r="G748" t="s">
        <v>13</v>
      </c>
      <c r="H748" t="s">
        <v>20</v>
      </c>
      <c r="I748" t="s">
        <v>38</v>
      </c>
      <c r="J748" t="str">
        <f>"FY" &amp; IF(MONTH(GiftData[[#This Row],[Gift_Date]])&gt;=7, RIGHT(YEAR(GiftData[[#This Row],[Gift_Date]])+1, 2), RIGHT(YEAR(GiftData[[#This Row],[Gift_Date]]), 2))</f>
        <v>FY26</v>
      </c>
      <c r="K748">
        <f>IF(COUNTIFS(GiftData[Constituent_ID], GiftData[[#This Row],[Constituent_ID]], GiftData[Fiscal_Year], "FY24")&gt;0, 1, 0)</f>
        <v>1</v>
      </c>
      <c r="L748">
        <f>IF(COUNTIFS(GiftData[Constituent_ID], GiftData[[#This Row],[Constituent_ID]], GiftData[Fiscal_Year], "FY25")&gt;0, 1, 0)</f>
        <v>0</v>
      </c>
      <c r="M748">
        <f>IF(COUNTIFS(GiftData[Constituent_ID], GiftData[[#This Row],[Constituent_ID]], GiftData[Fiscal_Year], "FY26")&gt;0, 1, 0)</f>
        <v>1</v>
      </c>
      <c r="N748" t="str" cm="1">
        <f t="array" ref="N7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49" spans="1:14" x14ac:dyDescent="0.2">
      <c r="A749" t="s">
        <v>1101</v>
      </c>
      <c r="B749" t="s">
        <v>363</v>
      </c>
      <c r="C749" t="s">
        <v>28</v>
      </c>
      <c r="D749" s="1">
        <v>45481</v>
      </c>
      <c r="E749">
        <v>30.4</v>
      </c>
      <c r="F749" t="s">
        <v>59</v>
      </c>
      <c r="G749" t="s">
        <v>13</v>
      </c>
      <c r="H749" t="s">
        <v>51</v>
      </c>
      <c r="I749" t="s">
        <v>56</v>
      </c>
      <c r="J749" t="str">
        <f>"FY" &amp; IF(MONTH(GiftData[[#This Row],[Gift_Date]])&gt;=7, RIGHT(YEAR(GiftData[[#This Row],[Gift_Date]])+1, 2), RIGHT(YEAR(GiftData[[#This Row],[Gift_Date]]), 2))</f>
        <v>FY25</v>
      </c>
      <c r="K749">
        <f>IF(COUNTIFS(GiftData[Constituent_ID], GiftData[[#This Row],[Constituent_ID]], GiftData[Fiscal_Year], "FY24")&gt;0, 1, 0)</f>
        <v>0</v>
      </c>
      <c r="L749">
        <f>IF(COUNTIFS(GiftData[Constituent_ID], GiftData[[#This Row],[Constituent_ID]], GiftData[Fiscal_Year], "FY25")&gt;0, 1, 0)</f>
        <v>1</v>
      </c>
      <c r="M749">
        <f>IF(COUNTIFS(GiftData[Constituent_ID], GiftData[[#This Row],[Constituent_ID]], GiftData[Fiscal_Year], "FY26")&gt;0, 1, 0)</f>
        <v>1</v>
      </c>
      <c r="N749" t="str" cm="1">
        <f t="array" ref="N7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0" spans="1:14" x14ac:dyDescent="0.2">
      <c r="A750" t="s">
        <v>1102</v>
      </c>
      <c r="B750" t="s">
        <v>544</v>
      </c>
      <c r="C750" t="s">
        <v>11</v>
      </c>
      <c r="D750" s="1">
        <v>45888</v>
      </c>
      <c r="E750">
        <v>44.83</v>
      </c>
      <c r="F750" t="s">
        <v>12</v>
      </c>
      <c r="G750" t="s">
        <v>13</v>
      </c>
      <c r="H750" t="s">
        <v>14</v>
      </c>
      <c r="I750" t="s">
        <v>15</v>
      </c>
      <c r="J750" t="str">
        <f>"FY" &amp; IF(MONTH(GiftData[[#This Row],[Gift_Date]])&gt;=7, RIGHT(YEAR(GiftData[[#This Row],[Gift_Date]])+1, 2), RIGHT(YEAR(GiftData[[#This Row],[Gift_Date]]), 2))</f>
        <v>FY26</v>
      </c>
      <c r="K750">
        <f>IF(COUNTIFS(GiftData[Constituent_ID], GiftData[[#This Row],[Constituent_ID]], GiftData[Fiscal_Year], "FY24")&gt;0, 1, 0)</f>
        <v>1</v>
      </c>
      <c r="L750">
        <f>IF(COUNTIFS(GiftData[Constituent_ID], GiftData[[#This Row],[Constituent_ID]], GiftData[Fiscal_Year], "FY25")&gt;0, 1, 0)</f>
        <v>1</v>
      </c>
      <c r="M750">
        <f>IF(COUNTIFS(GiftData[Constituent_ID], GiftData[[#This Row],[Constituent_ID]], GiftData[Fiscal_Year], "FY26")&gt;0, 1, 0)</f>
        <v>1</v>
      </c>
      <c r="N750" t="str" cm="1">
        <f t="array" ref="N7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1" spans="1:14" x14ac:dyDescent="0.2">
      <c r="A751" t="s">
        <v>1103</v>
      </c>
      <c r="B751" t="s">
        <v>938</v>
      </c>
      <c r="C751" t="s">
        <v>11</v>
      </c>
      <c r="D751" s="1">
        <v>45267</v>
      </c>
      <c r="E751">
        <v>829.64</v>
      </c>
      <c r="F751" t="s">
        <v>12</v>
      </c>
      <c r="G751" t="s">
        <v>13</v>
      </c>
      <c r="H751" t="s">
        <v>41</v>
      </c>
      <c r="I751" t="s">
        <v>15</v>
      </c>
      <c r="J751" t="str">
        <f>"FY" &amp; IF(MONTH(GiftData[[#This Row],[Gift_Date]])&gt;=7, RIGHT(YEAR(GiftData[[#This Row],[Gift_Date]])+1, 2), RIGHT(YEAR(GiftData[[#This Row],[Gift_Date]]), 2))</f>
        <v>FY24</v>
      </c>
      <c r="K751">
        <f>IF(COUNTIFS(GiftData[Constituent_ID], GiftData[[#This Row],[Constituent_ID]], GiftData[Fiscal_Year], "FY24")&gt;0, 1, 0)</f>
        <v>1</v>
      </c>
      <c r="L751">
        <f>IF(COUNTIFS(GiftData[Constituent_ID], GiftData[[#This Row],[Constituent_ID]], GiftData[Fiscal_Year], "FY25")&gt;0, 1, 0)</f>
        <v>0</v>
      </c>
      <c r="M751">
        <f>IF(COUNTIFS(GiftData[Constituent_ID], GiftData[[#This Row],[Constituent_ID]], GiftData[Fiscal_Year], "FY26")&gt;0, 1, 0)</f>
        <v>1</v>
      </c>
      <c r="N751" t="str" cm="1">
        <f t="array" ref="N7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2" spans="1:14" x14ac:dyDescent="0.2">
      <c r="A752" t="s">
        <v>1104</v>
      </c>
      <c r="B752" t="s">
        <v>488</v>
      </c>
      <c r="C752" t="s">
        <v>18</v>
      </c>
      <c r="D752" s="1">
        <v>45458</v>
      </c>
      <c r="E752">
        <v>15</v>
      </c>
      <c r="F752" t="s">
        <v>12</v>
      </c>
      <c r="G752" t="s">
        <v>29</v>
      </c>
      <c r="H752" t="s">
        <v>164</v>
      </c>
      <c r="I752" t="s">
        <v>38</v>
      </c>
      <c r="J752" t="str">
        <f>"FY" &amp; IF(MONTH(GiftData[[#This Row],[Gift_Date]])&gt;=7, RIGHT(YEAR(GiftData[[#This Row],[Gift_Date]])+1, 2), RIGHT(YEAR(GiftData[[#This Row],[Gift_Date]]), 2))</f>
        <v>FY24</v>
      </c>
      <c r="K752">
        <f>IF(COUNTIFS(GiftData[Constituent_ID], GiftData[[#This Row],[Constituent_ID]], GiftData[Fiscal_Year], "FY24")&gt;0, 1, 0)</f>
        <v>1</v>
      </c>
      <c r="L752">
        <f>IF(COUNTIFS(GiftData[Constituent_ID], GiftData[[#This Row],[Constituent_ID]], GiftData[Fiscal_Year], "FY25")&gt;0, 1, 0)</f>
        <v>1</v>
      </c>
      <c r="M752">
        <f>IF(COUNTIFS(GiftData[Constituent_ID], GiftData[[#This Row],[Constituent_ID]], GiftData[Fiscal_Year], "FY26")&gt;0, 1, 0)</f>
        <v>1</v>
      </c>
      <c r="N752" t="str" cm="1">
        <f t="array" ref="N7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3" spans="1:14" x14ac:dyDescent="0.2">
      <c r="A753" t="s">
        <v>1105</v>
      </c>
      <c r="B753" t="s">
        <v>1106</v>
      </c>
      <c r="C753" t="s">
        <v>28</v>
      </c>
      <c r="D753" s="1">
        <v>45999</v>
      </c>
      <c r="E753">
        <v>70.69</v>
      </c>
      <c r="F753" t="s">
        <v>12</v>
      </c>
      <c r="G753" t="s">
        <v>13</v>
      </c>
      <c r="H753" t="s">
        <v>41</v>
      </c>
      <c r="I753" t="s">
        <v>15</v>
      </c>
      <c r="J753" t="str">
        <f>"FY" &amp; IF(MONTH(GiftData[[#This Row],[Gift_Date]])&gt;=7, RIGHT(YEAR(GiftData[[#This Row],[Gift_Date]])+1, 2), RIGHT(YEAR(GiftData[[#This Row],[Gift_Date]]), 2))</f>
        <v>FY26</v>
      </c>
      <c r="K753">
        <f>IF(COUNTIFS(GiftData[Constituent_ID], GiftData[[#This Row],[Constituent_ID]], GiftData[Fiscal_Year], "FY24")&gt;0, 1, 0)</f>
        <v>0</v>
      </c>
      <c r="L753">
        <f>IF(COUNTIFS(GiftData[Constituent_ID], GiftData[[#This Row],[Constituent_ID]], GiftData[Fiscal_Year], "FY25")&gt;0, 1, 0)</f>
        <v>1</v>
      </c>
      <c r="M753">
        <f>IF(COUNTIFS(GiftData[Constituent_ID], GiftData[[#This Row],[Constituent_ID]], GiftData[Fiscal_Year], "FY26")&gt;0, 1, 0)</f>
        <v>1</v>
      </c>
      <c r="N753" t="str" cm="1">
        <f t="array" ref="N7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4" spans="1:14" x14ac:dyDescent="0.2">
      <c r="A754" t="s">
        <v>1107</v>
      </c>
      <c r="B754" t="s">
        <v>226</v>
      </c>
      <c r="C754" t="s">
        <v>11</v>
      </c>
      <c r="D754" s="1">
        <v>45630</v>
      </c>
      <c r="E754">
        <v>271.89999999999998</v>
      </c>
      <c r="F754" t="s">
        <v>12</v>
      </c>
      <c r="G754" t="s">
        <v>29</v>
      </c>
      <c r="H754" t="s">
        <v>164</v>
      </c>
      <c r="I754" t="s">
        <v>30</v>
      </c>
      <c r="J754" t="str">
        <f>"FY" &amp; IF(MONTH(GiftData[[#This Row],[Gift_Date]])&gt;=7, RIGHT(YEAR(GiftData[[#This Row],[Gift_Date]])+1, 2), RIGHT(YEAR(GiftData[[#This Row],[Gift_Date]]), 2))</f>
        <v>FY25</v>
      </c>
      <c r="K754">
        <f>IF(COUNTIFS(GiftData[Constituent_ID], GiftData[[#This Row],[Constituent_ID]], GiftData[Fiscal_Year], "FY24")&gt;0, 1, 0)</f>
        <v>1</v>
      </c>
      <c r="L754">
        <f>IF(COUNTIFS(GiftData[Constituent_ID], GiftData[[#This Row],[Constituent_ID]], GiftData[Fiscal_Year], "FY25")&gt;0, 1, 0)</f>
        <v>1</v>
      </c>
      <c r="M754">
        <f>IF(COUNTIFS(GiftData[Constituent_ID], GiftData[[#This Row],[Constituent_ID]], GiftData[Fiscal_Year], "FY26")&gt;0, 1, 0)</f>
        <v>1</v>
      </c>
      <c r="N754" t="str" cm="1">
        <f t="array" ref="N7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5" spans="1:14" x14ac:dyDescent="0.2">
      <c r="A755" t="s">
        <v>1108</v>
      </c>
      <c r="B755" t="s">
        <v>107</v>
      </c>
      <c r="C755" t="s">
        <v>28</v>
      </c>
      <c r="D755" s="1">
        <v>45629</v>
      </c>
      <c r="E755">
        <v>207.25</v>
      </c>
      <c r="F755" t="s">
        <v>12</v>
      </c>
      <c r="G755" t="s">
        <v>29</v>
      </c>
      <c r="H755" t="s">
        <v>20</v>
      </c>
      <c r="I755" t="s">
        <v>15</v>
      </c>
      <c r="J755" t="str">
        <f>"FY" &amp; IF(MONTH(GiftData[[#This Row],[Gift_Date]])&gt;=7, RIGHT(YEAR(GiftData[[#This Row],[Gift_Date]])+1, 2), RIGHT(YEAR(GiftData[[#This Row],[Gift_Date]]), 2))</f>
        <v>FY25</v>
      </c>
      <c r="K755">
        <f>IF(COUNTIFS(GiftData[Constituent_ID], GiftData[[#This Row],[Constituent_ID]], GiftData[Fiscal_Year], "FY24")&gt;0, 1, 0)</f>
        <v>1</v>
      </c>
      <c r="L755">
        <f>IF(COUNTIFS(GiftData[Constituent_ID], GiftData[[#This Row],[Constituent_ID]], GiftData[Fiscal_Year], "FY25")&gt;0, 1, 0)</f>
        <v>1</v>
      </c>
      <c r="M755">
        <f>IF(COUNTIFS(GiftData[Constituent_ID], GiftData[[#This Row],[Constituent_ID]], GiftData[Fiscal_Year], "FY26")&gt;0, 1, 0)</f>
        <v>1</v>
      </c>
      <c r="N755" t="str" cm="1">
        <f t="array" ref="N7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6" spans="1:14" x14ac:dyDescent="0.2">
      <c r="A756" t="s">
        <v>1109</v>
      </c>
      <c r="B756" t="s">
        <v>126</v>
      </c>
      <c r="C756" t="s">
        <v>35</v>
      </c>
      <c r="D756" s="1">
        <v>45890</v>
      </c>
      <c r="E756">
        <v>812.62</v>
      </c>
      <c r="F756" t="s">
        <v>12</v>
      </c>
      <c r="G756" t="s">
        <v>13</v>
      </c>
      <c r="H756" t="s">
        <v>20</v>
      </c>
      <c r="I756" t="s">
        <v>15</v>
      </c>
      <c r="J756" t="str">
        <f>"FY" &amp; IF(MONTH(GiftData[[#This Row],[Gift_Date]])&gt;=7, RIGHT(YEAR(GiftData[[#This Row],[Gift_Date]])+1, 2), RIGHT(YEAR(GiftData[[#This Row],[Gift_Date]]), 2))</f>
        <v>FY26</v>
      </c>
      <c r="K756">
        <f>IF(COUNTIFS(GiftData[Constituent_ID], GiftData[[#This Row],[Constituent_ID]], GiftData[Fiscal_Year], "FY24")&gt;0, 1, 0)</f>
        <v>1</v>
      </c>
      <c r="L756">
        <f>IF(COUNTIFS(GiftData[Constituent_ID], GiftData[[#This Row],[Constituent_ID]], GiftData[Fiscal_Year], "FY25")&gt;0, 1, 0)</f>
        <v>1</v>
      </c>
      <c r="M756">
        <f>IF(COUNTIFS(GiftData[Constituent_ID], GiftData[[#This Row],[Constituent_ID]], GiftData[Fiscal_Year], "FY26")&gt;0, 1, 0)</f>
        <v>1</v>
      </c>
      <c r="N756" t="str" cm="1">
        <f t="array" ref="N7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7" spans="1:14" x14ac:dyDescent="0.2">
      <c r="A757" t="s">
        <v>1110</v>
      </c>
      <c r="B757" t="s">
        <v>586</v>
      </c>
      <c r="C757" t="s">
        <v>28</v>
      </c>
      <c r="D757" s="1">
        <v>45380</v>
      </c>
      <c r="E757">
        <v>149.81</v>
      </c>
      <c r="F757" t="s">
        <v>25</v>
      </c>
      <c r="G757" t="s">
        <v>13</v>
      </c>
      <c r="H757" t="s">
        <v>20</v>
      </c>
      <c r="I757" t="s">
        <v>30</v>
      </c>
      <c r="J757" t="str">
        <f>"FY" &amp; IF(MONTH(GiftData[[#This Row],[Gift_Date]])&gt;=7, RIGHT(YEAR(GiftData[[#This Row],[Gift_Date]])+1, 2), RIGHT(YEAR(GiftData[[#This Row],[Gift_Date]]), 2))</f>
        <v>FY24</v>
      </c>
      <c r="K757">
        <f>IF(COUNTIFS(GiftData[Constituent_ID], GiftData[[#This Row],[Constituent_ID]], GiftData[Fiscal_Year], "FY24")&gt;0, 1, 0)</f>
        <v>1</v>
      </c>
      <c r="L757">
        <f>IF(COUNTIFS(GiftData[Constituent_ID], GiftData[[#This Row],[Constituent_ID]], GiftData[Fiscal_Year], "FY25")&gt;0, 1, 0)</f>
        <v>1</v>
      </c>
      <c r="M757">
        <f>IF(COUNTIFS(GiftData[Constituent_ID], GiftData[[#This Row],[Constituent_ID]], GiftData[Fiscal_Year], "FY26")&gt;0, 1, 0)</f>
        <v>1</v>
      </c>
      <c r="N757" t="str" cm="1">
        <f t="array" ref="N7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8" spans="1:14" x14ac:dyDescent="0.2">
      <c r="A758" t="s">
        <v>1111</v>
      </c>
      <c r="B758" t="s">
        <v>95</v>
      </c>
      <c r="C758" t="s">
        <v>11</v>
      </c>
      <c r="D758" s="1">
        <v>46043</v>
      </c>
      <c r="E758">
        <v>197.66</v>
      </c>
      <c r="F758" t="s">
        <v>59</v>
      </c>
      <c r="G758" t="s">
        <v>13</v>
      </c>
      <c r="H758" t="s">
        <v>20</v>
      </c>
      <c r="I758" t="s">
        <v>56</v>
      </c>
      <c r="J758" t="str">
        <f>"FY" &amp; IF(MONTH(GiftData[[#This Row],[Gift_Date]])&gt;=7, RIGHT(YEAR(GiftData[[#This Row],[Gift_Date]])+1, 2), RIGHT(YEAR(GiftData[[#This Row],[Gift_Date]]), 2))</f>
        <v>FY26</v>
      </c>
      <c r="K758">
        <f>IF(COUNTIFS(GiftData[Constituent_ID], GiftData[[#This Row],[Constituent_ID]], GiftData[Fiscal_Year], "FY24")&gt;0, 1, 0)</f>
        <v>1</v>
      </c>
      <c r="L758">
        <f>IF(COUNTIFS(GiftData[Constituent_ID], GiftData[[#This Row],[Constituent_ID]], GiftData[Fiscal_Year], "FY25")&gt;0, 1, 0)</f>
        <v>0</v>
      </c>
      <c r="M758">
        <f>IF(COUNTIFS(GiftData[Constituent_ID], GiftData[[#This Row],[Constituent_ID]], GiftData[Fiscal_Year], "FY26")&gt;0, 1, 0)</f>
        <v>1</v>
      </c>
      <c r="N758" t="str" cm="1">
        <f t="array" ref="N7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59" spans="1:14" x14ac:dyDescent="0.2">
      <c r="A759" t="s">
        <v>1112</v>
      </c>
      <c r="B759" t="s">
        <v>118</v>
      </c>
      <c r="C759" t="s">
        <v>11</v>
      </c>
      <c r="D759" s="1">
        <v>45290</v>
      </c>
      <c r="E759">
        <v>15</v>
      </c>
      <c r="F759" t="s">
        <v>12</v>
      </c>
      <c r="G759" t="s">
        <v>13</v>
      </c>
      <c r="H759" t="s">
        <v>51</v>
      </c>
      <c r="I759" t="s">
        <v>15</v>
      </c>
      <c r="J759" t="str">
        <f>"FY" &amp; IF(MONTH(GiftData[[#This Row],[Gift_Date]])&gt;=7, RIGHT(YEAR(GiftData[[#This Row],[Gift_Date]])+1, 2), RIGHT(YEAR(GiftData[[#This Row],[Gift_Date]]), 2))</f>
        <v>FY24</v>
      </c>
      <c r="K759">
        <f>IF(COUNTIFS(GiftData[Constituent_ID], GiftData[[#This Row],[Constituent_ID]], GiftData[Fiscal_Year], "FY24")&gt;0, 1, 0)</f>
        <v>1</v>
      </c>
      <c r="L759">
        <f>IF(COUNTIFS(GiftData[Constituent_ID], GiftData[[#This Row],[Constituent_ID]], GiftData[Fiscal_Year], "FY25")&gt;0, 1, 0)</f>
        <v>1</v>
      </c>
      <c r="M759">
        <f>IF(COUNTIFS(GiftData[Constituent_ID], GiftData[[#This Row],[Constituent_ID]], GiftData[Fiscal_Year], "FY26")&gt;0, 1, 0)</f>
        <v>1</v>
      </c>
      <c r="N759" t="str" cm="1">
        <f t="array" ref="N7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0" spans="1:14" x14ac:dyDescent="0.2">
      <c r="A760" t="s">
        <v>1113</v>
      </c>
      <c r="B760" t="s">
        <v>1055</v>
      </c>
      <c r="C760" t="s">
        <v>11</v>
      </c>
      <c r="D760" s="1">
        <v>45595</v>
      </c>
      <c r="E760">
        <v>33.619999999999997</v>
      </c>
      <c r="F760" t="s">
        <v>12</v>
      </c>
      <c r="G760" t="s">
        <v>13</v>
      </c>
      <c r="H760" t="s">
        <v>20</v>
      </c>
      <c r="I760" t="s">
        <v>56</v>
      </c>
      <c r="J760" t="str">
        <f>"FY" &amp; IF(MONTH(GiftData[[#This Row],[Gift_Date]])&gt;=7, RIGHT(YEAR(GiftData[[#This Row],[Gift_Date]])+1, 2), RIGHT(YEAR(GiftData[[#This Row],[Gift_Date]]), 2))</f>
        <v>FY25</v>
      </c>
      <c r="K760">
        <f>IF(COUNTIFS(GiftData[Constituent_ID], GiftData[[#This Row],[Constituent_ID]], GiftData[Fiscal_Year], "FY24")&gt;0, 1, 0)</f>
        <v>0</v>
      </c>
      <c r="L760">
        <f>IF(COUNTIFS(GiftData[Constituent_ID], GiftData[[#This Row],[Constituent_ID]], GiftData[Fiscal_Year], "FY25")&gt;0, 1, 0)</f>
        <v>1</v>
      </c>
      <c r="M760">
        <f>IF(COUNTIFS(GiftData[Constituent_ID], GiftData[[#This Row],[Constituent_ID]], GiftData[Fiscal_Year], "FY26")&gt;0, 1, 0)</f>
        <v>1</v>
      </c>
      <c r="N760" t="str" cm="1">
        <f t="array" ref="N7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1" spans="1:14" x14ac:dyDescent="0.2">
      <c r="A761" t="s">
        <v>1114</v>
      </c>
      <c r="B761" t="s">
        <v>595</v>
      </c>
      <c r="C761" t="s">
        <v>18</v>
      </c>
      <c r="D761" s="1">
        <v>45953</v>
      </c>
      <c r="E761">
        <v>15</v>
      </c>
      <c r="F761" t="s">
        <v>12</v>
      </c>
      <c r="G761" t="s">
        <v>29</v>
      </c>
      <c r="H761" t="s">
        <v>14</v>
      </c>
      <c r="I761" t="s">
        <v>15</v>
      </c>
      <c r="J761" t="str">
        <f>"FY" &amp; IF(MONTH(GiftData[[#This Row],[Gift_Date]])&gt;=7, RIGHT(YEAR(GiftData[[#This Row],[Gift_Date]])+1, 2), RIGHT(YEAR(GiftData[[#This Row],[Gift_Date]]), 2))</f>
        <v>FY26</v>
      </c>
      <c r="K761">
        <f>IF(COUNTIFS(GiftData[Constituent_ID], GiftData[[#This Row],[Constituent_ID]], GiftData[Fiscal_Year], "FY24")&gt;0, 1, 0)</f>
        <v>1</v>
      </c>
      <c r="L761">
        <f>IF(COUNTIFS(GiftData[Constituent_ID], GiftData[[#This Row],[Constituent_ID]], GiftData[Fiscal_Year], "FY25")&gt;0, 1, 0)</f>
        <v>0</v>
      </c>
      <c r="M761">
        <f>IF(COUNTIFS(GiftData[Constituent_ID], GiftData[[#This Row],[Constituent_ID]], GiftData[Fiscal_Year], "FY26")&gt;0, 1, 0)</f>
        <v>1</v>
      </c>
      <c r="N761" t="str" cm="1">
        <f t="array" ref="N7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2" spans="1:14" x14ac:dyDescent="0.2">
      <c r="A762" t="s">
        <v>1115</v>
      </c>
      <c r="B762" t="s">
        <v>1116</v>
      </c>
      <c r="C762" t="s">
        <v>18</v>
      </c>
      <c r="D762" s="1">
        <v>45231</v>
      </c>
      <c r="E762">
        <v>255.8</v>
      </c>
      <c r="F762" t="s">
        <v>12</v>
      </c>
      <c r="G762" t="s">
        <v>13</v>
      </c>
      <c r="H762" t="s">
        <v>14</v>
      </c>
      <c r="I762" t="s">
        <v>15</v>
      </c>
      <c r="J762" t="str">
        <f>"FY" &amp; IF(MONTH(GiftData[[#This Row],[Gift_Date]])&gt;=7, RIGHT(YEAR(GiftData[[#This Row],[Gift_Date]])+1, 2), RIGHT(YEAR(GiftData[[#This Row],[Gift_Date]]), 2))</f>
        <v>FY24</v>
      </c>
      <c r="K762">
        <f>IF(COUNTIFS(GiftData[Constituent_ID], GiftData[[#This Row],[Constituent_ID]], GiftData[Fiscal_Year], "FY24")&gt;0, 1, 0)</f>
        <v>1</v>
      </c>
      <c r="L762">
        <f>IF(COUNTIFS(GiftData[Constituent_ID], GiftData[[#This Row],[Constituent_ID]], GiftData[Fiscal_Year], "FY25")&gt;0, 1, 0)</f>
        <v>1</v>
      </c>
      <c r="M762">
        <f>IF(COUNTIFS(GiftData[Constituent_ID], GiftData[[#This Row],[Constituent_ID]], GiftData[Fiscal_Year], "FY26")&gt;0, 1, 0)</f>
        <v>0</v>
      </c>
      <c r="N762" t="str" cm="1">
        <f t="array" ref="N7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63" spans="1:14" x14ac:dyDescent="0.2">
      <c r="A763" t="s">
        <v>1117</v>
      </c>
      <c r="B763" t="s">
        <v>1118</v>
      </c>
      <c r="C763" t="s">
        <v>35</v>
      </c>
      <c r="D763" s="1">
        <v>46092</v>
      </c>
      <c r="E763">
        <v>191.2</v>
      </c>
      <c r="F763" t="s">
        <v>12</v>
      </c>
      <c r="G763" t="s">
        <v>13</v>
      </c>
      <c r="H763" t="s">
        <v>14</v>
      </c>
      <c r="I763" t="s">
        <v>56</v>
      </c>
      <c r="J763" t="str">
        <f>"FY" &amp; IF(MONTH(GiftData[[#This Row],[Gift_Date]])&gt;=7, RIGHT(YEAR(GiftData[[#This Row],[Gift_Date]])+1, 2), RIGHT(YEAR(GiftData[[#This Row],[Gift_Date]]), 2))</f>
        <v>FY26</v>
      </c>
      <c r="K763">
        <f>IF(COUNTIFS(GiftData[Constituent_ID], GiftData[[#This Row],[Constituent_ID]], GiftData[Fiscal_Year], "FY24")&gt;0, 1, 0)</f>
        <v>0</v>
      </c>
      <c r="L763">
        <f>IF(COUNTIFS(GiftData[Constituent_ID], GiftData[[#This Row],[Constituent_ID]], GiftData[Fiscal_Year], "FY25")&gt;0, 1, 0)</f>
        <v>1</v>
      </c>
      <c r="M763">
        <f>IF(COUNTIFS(GiftData[Constituent_ID], GiftData[[#This Row],[Constituent_ID]], GiftData[Fiscal_Year], "FY26")&gt;0, 1, 0)</f>
        <v>1</v>
      </c>
      <c r="N763" t="str" cm="1">
        <f t="array" ref="N7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4" spans="1:14" x14ac:dyDescent="0.2">
      <c r="A764" t="s">
        <v>1119</v>
      </c>
      <c r="B764" t="s">
        <v>320</v>
      </c>
      <c r="C764" t="s">
        <v>11</v>
      </c>
      <c r="D764" s="1">
        <v>45897</v>
      </c>
      <c r="E764">
        <v>182.66</v>
      </c>
      <c r="F764" t="s">
        <v>12</v>
      </c>
      <c r="G764" t="s">
        <v>13</v>
      </c>
      <c r="H764" t="s">
        <v>14</v>
      </c>
      <c r="I764" t="s">
        <v>15</v>
      </c>
      <c r="J764" t="str">
        <f>"FY" &amp; IF(MONTH(GiftData[[#This Row],[Gift_Date]])&gt;=7, RIGHT(YEAR(GiftData[[#This Row],[Gift_Date]])+1, 2), RIGHT(YEAR(GiftData[[#This Row],[Gift_Date]]), 2))</f>
        <v>FY26</v>
      </c>
      <c r="K764">
        <f>IF(COUNTIFS(GiftData[Constituent_ID], GiftData[[#This Row],[Constituent_ID]], GiftData[Fiscal_Year], "FY24")&gt;0, 1, 0)</f>
        <v>1</v>
      </c>
      <c r="L764">
        <f>IF(COUNTIFS(GiftData[Constituent_ID], GiftData[[#This Row],[Constituent_ID]], GiftData[Fiscal_Year], "FY25")&gt;0, 1, 0)</f>
        <v>1</v>
      </c>
      <c r="M764">
        <f>IF(COUNTIFS(GiftData[Constituent_ID], GiftData[[#This Row],[Constituent_ID]], GiftData[Fiscal_Year], "FY26")&gt;0, 1, 0)</f>
        <v>1</v>
      </c>
      <c r="N764" t="str" cm="1">
        <f t="array" ref="N7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5" spans="1:14" x14ac:dyDescent="0.2">
      <c r="A765" t="s">
        <v>1120</v>
      </c>
      <c r="B765" t="s">
        <v>468</v>
      </c>
      <c r="C765" t="s">
        <v>11</v>
      </c>
      <c r="D765" s="1">
        <v>45521</v>
      </c>
      <c r="E765">
        <v>38.630000000000003</v>
      </c>
      <c r="F765" t="s">
        <v>12</v>
      </c>
      <c r="G765" t="s">
        <v>13</v>
      </c>
      <c r="H765" t="s">
        <v>41</v>
      </c>
      <c r="I765" t="s">
        <v>15</v>
      </c>
      <c r="J765" t="str">
        <f>"FY" &amp; IF(MONTH(GiftData[[#This Row],[Gift_Date]])&gt;=7, RIGHT(YEAR(GiftData[[#This Row],[Gift_Date]])+1, 2), RIGHT(YEAR(GiftData[[#This Row],[Gift_Date]]), 2))</f>
        <v>FY25</v>
      </c>
      <c r="K765">
        <f>IF(COUNTIFS(GiftData[Constituent_ID], GiftData[[#This Row],[Constituent_ID]], GiftData[Fiscal_Year], "FY24")&gt;0, 1, 0)</f>
        <v>0</v>
      </c>
      <c r="L765">
        <f>IF(COUNTIFS(GiftData[Constituent_ID], GiftData[[#This Row],[Constituent_ID]], GiftData[Fiscal_Year], "FY25")&gt;0, 1, 0)</f>
        <v>1</v>
      </c>
      <c r="M765">
        <f>IF(COUNTIFS(GiftData[Constituent_ID], GiftData[[#This Row],[Constituent_ID]], GiftData[Fiscal_Year], "FY26")&gt;0, 1, 0)</f>
        <v>1</v>
      </c>
      <c r="N765" t="str" cm="1">
        <f t="array" ref="N7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6" spans="1:14" x14ac:dyDescent="0.2">
      <c r="A766" t="s">
        <v>1121</v>
      </c>
      <c r="B766" t="s">
        <v>67</v>
      </c>
      <c r="C766" t="s">
        <v>28</v>
      </c>
      <c r="D766" s="1">
        <v>45793</v>
      </c>
      <c r="E766">
        <v>34.299999999999997</v>
      </c>
      <c r="F766" t="s">
        <v>12</v>
      </c>
      <c r="G766" t="s">
        <v>13</v>
      </c>
      <c r="H766" t="s">
        <v>20</v>
      </c>
      <c r="I766" t="s">
        <v>15</v>
      </c>
      <c r="J766" t="str">
        <f>"FY" &amp; IF(MONTH(GiftData[[#This Row],[Gift_Date]])&gt;=7, RIGHT(YEAR(GiftData[[#This Row],[Gift_Date]])+1, 2), RIGHT(YEAR(GiftData[[#This Row],[Gift_Date]]), 2))</f>
        <v>FY25</v>
      </c>
      <c r="K766">
        <f>IF(COUNTIFS(GiftData[Constituent_ID], GiftData[[#This Row],[Constituent_ID]], GiftData[Fiscal_Year], "FY24")&gt;0, 1, 0)</f>
        <v>0</v>
      </c>
      <c r="L766">
        <f>IF(COUNTIFS(GiftData[Constituent_ID], GiftData[[#This Row],[Constituent_ID]], GiftData[Fiscal_Year], "FY25")&gt;0, 1, 0)</f>
        <v>1</v>
      </c>
      <c r="M766">
        <f>IF(COUNTIFS(GiftData[Constituent_ID], GiftData[[#This Row],[Constituent_ID]], GiftData[Fiscal_Year], "FY26")&gt;0, 1, 0)</f>
        <v>0</v>
      </c>
      <c r="N766" t="str" cm="1">
        <f t="array" ref="N7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67" spans="1:14" x14ac:dyDescent="0.2">
      <c r="A767" t="s">
        <v>1122</v>
      </c>
      <c r="B767" t="s">
        <v>132</v>
      </c>
      <c r="C767" t="s">
        <v>28</v>
      </c>
      <c r="D767" s="1">
        <v>45220</v>
      </c>
      <c r="E767">
        <v>159.54</v>
      </c>
      <c r="F767" t="s">
        <v>12</v>
      </c>
      <c r="G767" t="s">
        <v>13</v>
      </c>
      <c r="H767" t="s">
        <v>20</v>
      </c>
      <c r="I767" t="s">
        <v>38</v>
      </c>
      <c r="J767" t="str">
        <f>"FY" &amp; IF(MONTH(GiftData[[#This Row],[Gift_Date]])&gt;=7, RIGHT(YEAR(GiftData[[#This Row],[Gift_Date]])+1, 2), RIGHT(YEAR(GiftData[[#This Row],[Gift_Date]]), 2))</f>
        <v>FY24</v>
      </c>
      <c r="K767">
        <f>IF(COUNTIFS(GiftData[Constituent_ID], GiftData[[#This Row],[Constituent_ID]], GiftData[Fiscal_Year], "FY24")&gt;0, 1, 0)</f>
        <v>1</v>
      </c>
      <c r="L767">
        <f>IF(COUNTIFS(GiftData[Constituent_ID], GiftData[[#This Row],[Constituent_ID]], GiftData[Fiscal_Year], "FY25")&gt;0, 1, 0)</f>
        <v>0</v>
      </c>
      <c r="M767">
        <f>IF(COUNTIFS(GiftData[Constituent_ID], GiftData[[#This Row],[Constituent_ID]], GiftData[Fiscal_Year], "FY26")&gt;0, 1, 0)</f>
        <v>1</v>
      </c>
      <c r="N767" t="str" cm="1">
        <f t="array" ref="N7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8" spans="1:14" x14ac:dyDescent="0.2">
      <c r="A768" t="s">
        <v>1123</v>
      </c>
      <c r="B768" t="s">
        <v>53</v>
      </c>
      <c r="C768" t="s">
        <v>18</v>
      </c>
      <c r="D768" s="1">
        <v>45995</v>
      </c>
      <c r="E768">
        <v>50.9</v>
      </c>
      <c r="F768" t="s">
        <v>12</v>
      </c>
      <c r="G768" t="s">
        <v>13</v>
      </c>
      <c r="H768" t="s">
        <v>41</v>
      </c>
      <c r="I768" t="s">
        <v>15</v>
      </c>
      <c r="J768" t="str">
        <f>"FY" &amp; IF(MONTH(GiftData[[#This Row],[Gift_Date]])&gt;=7, RIGHT(YEAR(GiftData[[#This Row],[Gift_Date]])+1, 2), RIGHT(YEAR(GiftData[[#This Row],[Gift_Date]]), 2))</f>
        <v>FY26</v>
      </c>
      <c r="K768">
        <f>IF(COUNTIFS(GiftData[Constituent_ID], GiftData[[#This Row],[Constituent_ID]], GiftData[Fiscal_Year], "FY24")&gt;0, 1, 0)</f>
        <v>1</v>
      </c>
      <c r="L768">
        <f>IF(COUNTIFS(GiftData[Constituent_ID], GiftData[[#This Row],[Constituent_ID]], GiftData[Fiscal_Year], "FY25")&gt;0, 1, 0)</f>
        <v>1</v>
      </c>
      <c r="M768">
        <f>IF(COUNTIFS(GiftData[Constituent_ID], GiftData[[#This Row],[Constituent_ID]], GiftData[Fiscal_Year], "FY26")&gt;0, 1, 0)</f>
        <v>1</v>
      </c>
      <c r="N768" t="str" cm="1">
        <f t="array" ref="N7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69" spans="1:14" x14ac:dyDescent="0.2">
      <c r="A769" t="s">
        <v>1124</v>
      </c>
      <c r="B769" t="s">
        <v>226</v>
      </c>
      <c r="C769" t="s">
        <v>35</v>
      </c>
      <c r="D769" s="1">
        <v>45229</v>
      </c>
      <c r="E769">
        <v>32.25</v>
      </c>
      <c r="F769" t="s">
        <v>12</v>
      </c>
      <c r="G769" t="s">
        <v>13</v>
      </c>
      <c r="H769" t="s">
        <v>41</v>
      </c>
      <c r="I769" t="s">
        <v>38</v>
      </c>
      <c r="J769" t="str">
        <f>"FY" &amp; IF(MONTH(GiftData[[#This Row],[Gift_Date]])&gt;=7, RIGHT(YEAR(GiftData[[#This Row],[Gift_Date]])+1, 2), RIGHT(YEAR(GiftData[[#This Row],[Gift_Date]]), 2))</f>
        <v>FY24</v>
      </c>
      <c r="K769">
        <f>IF(COUNTIFS(GiftData[Constituent_ID], GiftData[[#This Row],[Constituent_ID]], GiftData[Fiscal_Year], "FY24")&gt;0, 1, 0)</f>
        <v>1</v>
      </c>
      <c r="L769">
        <f>IF(COUNTIFS(GiftData[Constituent_ID], GiftData[[#This Row],[Constituent_ID]], GiftData[Fiscal_Year], "FY25")&gt;0, 1, 0)</f>
        <v>1</v>
      </c>
      <c r="M769">
        <f>IF(COUNTIFS(GiftData[Constituent_ID], GiftData[[#This Row],[Constituent_ID]], GiftData[Fiscal_Year], "FY26")&gt;0, 1, 0)</f>
        <v>1</v>
      </c>
      <c r="N769" t="str" cm="1">
        <f t="array" ref="N7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0" spans="1:14" x14ac:dyDescent="0.2">
      <c r="A770" t="s">
        <v>1125</v>
      </c>
      <c r="B770" t="s">
        <v>714</v>
      </c>
      <c r="C770" t="s">
        <v>18</v>
      </c>
      <c r="D770" s="1">
        <v>45146</v>
      </c>
      <c r="E770">
        <v>62.75</v>
      </c>
      <c r="F770" t="s">
        <v>12</v>
      </c>
      <c r="G770" t="s">
        <v>13</v>
      </c>
      <c r="H770" t="s">
        <v>14</v>
      </c>
      <c r="I770" t="s">
        <v>38</v>
      </c>
      <c r="J770" t="str">
        <f>"FY" &amp; IF(MONTH(GiftData[[#This Row],[Gift_Date]])&gt;=7, RIGHT(YEAR(GiftData[[#This Row],[Gift_Date]])+1, 2), RIGHT(YEAR(GiftData[[#This Row],[Gift_Date]]), 2))</f>
        <v>FY24</v>
      </c>
      <c r="K770">
        <f>IF(COUNTIFS(GiftData[Constituent_ID], GiftData[[#This Row],[Constituent_ID]], GiftData[Fiscal_Year], "FY24")&gt;0, 1, 0)</f>
        <v>1</v>
      </c>
      <c r="L770">
        <f>IF(COUNTIFS(GiftData[Constituent_ID], GiftData[[#This Row],[Constituent_ID]], GiftData[Fiscal_Year], "FY25")&gt;0, 1, 0)</f>
        <v>1</v>
      </c>
      <c r="M770">
        <f>IF(COUNTIFS(GiftData[Constituent_ID], GiftData[[#This Row],[Constituent_ID]], GiftData[Fiscal_Year], "FY26")&gt;0, 1, 0)</f>
        <v>0</v>
      </c>
      <c r="N770" t="str" cm="1">
        <f t="array" ref="N7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71" spans="1:14" x14ac:dyDescent="0.2">
      <c r="A771" t="s">
        <v>1126</v>
      </c>
      <c r="B771" t="s">
        <v>802</v>
      </c>
      <c r="C771" t="s">
        <v>28</v>
      </c>
      <c r="D771" s="1">
        <v>45604</v>
      </c>
      <c r="E771">
        <v>51.47</v>
      </c>
      <c r="F771" t="s">
        <v>12</v>
      </c>
      <c r="G771" t="s">
        <v>13</v>
      </c>
      <c r="H771" t="s">
        <v>51</v>
      </c>
      <c r="I771" t="s">
        <v>15</v>
      </c>
      <c r="J771" t="str">
        <f>"FY" &amp; IF(MONTH(GiftData[[#This Row],[Gift_Date]])&gt;=7, RIGHT(YEAR(GiftData[[#This Row],[Gift_Date]])+1, 2), RIGHT(YEAR(GiftData[[#This Row],[Gift_Date]]), 2))</f>
        <v>FY25</v>
      </c>
      <c r="K771">
        <f>IF(COUNTIFS(GiftData[Constituent_ID], GiftData[[#This Row],[Constituent_ID]], GiftData[Fiscal_Year], "FY24")&gt;0, 1, 0)</f>
        <v>1</v>
      </c>
      <c r="L771">
        <f>IF(COUNTIFS(GiftData[Constituent_ID], GiftData[[#This Row],[Constituent_ID]], GiftData[Fiscal_Year], "FY25")&gt;0, 1, 0)</f>
        <v>1</v>
      </c>
      <c r="M771">
        <f>IF(COUNTIFS(GiftData[Constituent_ID], GiftData[[#This Row],[Constituent_ID]], GiftData[Fiscal_Year], "FY26")&gt;0, 1, 0)</f>
        <v>1</v>
      </c>
      <c r="N771" t="str" cm="1">
        <f t="array" ref="N7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2" spans="1:14" x14ac:dyDescent="0.2">
      <c r="A772" t="s">
        <v>1127</v>
      </c>
      <c r="B772" t="s">
        <v>1128</v>
      </c>
      <c r="C772" t="s">
        <v>35</v>
      </c>
      <c r="D772" s="1">
        <v>45887</v>
      </c>
      <c r="E772">
        <v>39.380000000000003</v>
      </c>
      <c r="F772" t="s">
        <v>12</v>
      </c>
      <c r="G772" t="s">
        <v>13</v>
      </c>
      <c r="H772" t="s">
        <v>14</v>
      </c>
      <c r="I772" t="s">
        <v>38</v>
      </c>
      <c r="J772" t="str">
        <f>"FY" &amp; IF(MONTH(GiftData[[#This Row],[Gift_Date]])&gt;=7, RIGHT(YEAR(GiftData[[#This Row],[Gift_Date]])+1, 2), RIGHT(YEAR(GiftData[[#This Row],[Gift_Date]]), 2))</f>
        <v>FY26</v>
      </c>
      <c r="K772">
        <f>IF(COUNTIFS(GiftData[Constituent_ID], GiftData[[#This Row],[Constituent_ID]], GiftData[Fiscal_Year], "FY24")&gt;0, 1, 0)</f>
        <v>1</v>
      </c>
      <c r="L772">
        <f>IF(COUNTIFS(GiftData[Constituent_ID], GiftData[[#This Row],[Constituent_ID]], GiftData[Fiscal_Year], "FY25")&gt;0, 1, 0)</f>
        <v>0</v>
      </c>
      <c r="M772">
        <f>IF(COUNTIFS(GiftData[Constituent_ID], GiftData[[#This Row],[Constituent_ID]], GiftData[Fiscal_Year], "FY26")&gt;0, 1, 0)</f>
        <v>1</v>
      </c>
      <c r="N772" t="str" cm="1">
        <f t="array" ref="N7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3" spans="1:14" x14ac:dyDescent="0.2">
      <c r="A773" t="s">
        <v>1129</v>
      </c>
      <c r="B773" t="s">
        <v>881</v>
      </c>
      <c r="C773" t="s">
        <v>28</v>
      </c>
      <c r="D773" s="1">
        <v>46050</v>
      </c>
      <c r="E773">
        <v>24.69</v>
      </c>
      <c r="F773" t="s">
        <v>12</v>
      </c>
      <c r="G773" t="s">
        <v>13</v>
      </c>
      <c r="H773" t="s">
        <v>14</v>
      </c>
      <c r="I773" t="s">
        <v>56</v>
      </c>
      <c r="J773" t="str">
        <f>"FY" &amp; IF(MONTH(GiftData[[#This Row],[Gift_Date]])&gt;=7, RIGHT(YEAR(GiftData[[#This Row],[Gift_Date]])+1, 2), RIGHT(YEAR(GiftData[[#This Row],[Gift_Date]]), 2))</f>
        <v>FY26</v>
      </c>
      <c r="K773">
        <f>IF(COUNTIFS(GiftData[Constituent_ID], GiftData[[#This Row],[Constituent_ID]], GiftData[Fiscal_Year], "FY24")&gt;0, 1, 0)</f>
        <v>1</v>
      </c>
      <c r="L773">
        <f>IF(COUNTIFS(GiftData[Constituent_ID], GiftData[[#This Row],[Constituent_ID]], GiftData[Fiscal_Year], "FY25")&gt;0, 1, 0)</f>
        <v>1</v>
      </c>
      <c r="M773">
        <f>IF(COUNTIFS(GiftData[Constituent_ID], GiftData[[#This Row],[Constituent_ID]], GiftData[Fiscal_Year], "FY26")&gt;0, 1, 0)</f>
        <v>1</v>
      </c>
      <c r="N773" t="str" cm="1">
        <f t="array" ref="N7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4" spans="1:14" x14ac:dyDescent="0.2">
      <c r="A774" t="s">
        <v>1130</v>
      </c>
      <c r="B774" t="s">
        <v>146</v>
      </c>
      <c r="C774" t="s">
        <v>28</v>
      </c>
      <c r="D774" s="1">
        <v>45256</v>
      </c>
      <c r="E774">
        <v>217.74</v>
      </c>
      <c r="F774" t="s">
        <v>12</v>
      </c>
      <c r="G774" t="s">
        <v>13</v>
      </c>
      <c r="H774" t="s">
        <v>20</v>
      </c>
      <c r="I774" t="s">
        <v>15</v>
      </c>
      <c r="J774" t="str">
        <f>"FY" &amp; IF(MONTH(GiftData[[#This Row],[Gift_Date]])&gt;=7, RIGHT(YEAR(GiftData[[#This Row],[Gift_Date]])+1, 2), RIGHT(YEAR(GiftData[[#This Row],[Gift_Date]]), 2))</f>
        <v>FY24</v>
      </c>
      <c r="K774">
        <f>IF(COUNTIFS(GiftData[Constituent_ID], GiftData[[#This Row],[Constituent_ID]], GiftData[Fiscal_Year], "FY24")&gt;0, 1, 0)</f>
        <v>1</v>
      </c>
      <c r="L774">
        <f>IF(COUNTIFS(GiftData[Constituent_ID], GiftData[[#This Row],[Constituent_ID]], GiftData[Fiscal_Year], "FY25")&gt;0, 1, 0)</f>
        <v>1</v>
      </c>
      <c r="M774">
        <f>IF(COUNTIFS(GiftData[Constituent_ID], GiftData[[#This Row],[Constituent_ID]], GiftData[Fiscal_Year], "FY26")&gt;0, 1, 0)</f>
        <v>1</v>
      </c>
      <c r="N774" t="str" cm="1">
        <f t="array" ref="N7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5" spans="1:14" x14ac:dyDescent="0.2">
      <c r="A775" t="s">
        <v>1131</v>
      </c>
      <c r="B775" t="s">
        <v>85</v>
      </c>
      <c r="C775" t="s">
        <v>18</v>
      </c>
      <c r="D775" s="1">
        <v>46129</v>
      </c>
      <c r="E775">
        <v>918.61</v>
      </c>
      <c r="F775" t="s">
        <v>12</v>
      </c>
      <c r="G775" t="s">
        <v>13</v>
      </c>
      <c r="H775" t="s">
        <v>14</v>
      </c>
      <c r="I775" t="s">
        <v>15</v>
      </c>
      <c r="J775" t="str">
        <f>"FY" &amp; IF(MONTH(GiftData[[#This Row],[Gift_Date]])&gt;=7, RIGHT(YEAR(GiftData[[#This Row],[Gift_Date]])+1, 2), RIGHT(YEAR(GiftData[[#This Row],[Gift_Date]]), 2))</f>
        <v>FY26</v>
      </c>
      <c r="K775">
        <f>IF(COUNTIFS(GiftData[Constituent_ID], GiftData[[#This Row],[Constituent_ID]], GiftData[Fiscal_Year], "FY24")&gt;0, 1, 0)</f>
        <v>1</v>
      </c>
      <c r="L775">
        <f>IF(COUNTIFS(GiftData[Constituent_ID], GiftData[[#This Row],[Constituent_ID]], GiftData[Fiscal_Year], "FY25")&gt;0, 1, 0)</f>
        <v>1</v>
      </c>
      <c r="M775">
        <f>IF(COUNTIFS(GiftData[Constituent_ID], GiftData[[#This Row],[Constituent_ID]], GiftData[Fiscal_Year], "FY26")&gt;0, 1, 0)</f>
        <v>1</v>
      </c>
      <c r="N775" t="str" cm="1">
        <f t="array" ref="N7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6" spans="1:14" x14ac:dyDescent="0.2">
      <c r="A776" t="s">
        <v>1132</v>
      </c>
      <c r="B776" t="s">
        <v>488</v>
      </c>
      <c r="C776" t="s">
        <v>11</v>
      </c>
      <c r="D776" s="1">
        <v>45768</v>
      </c>
      <c r="E776">
        <v>115.5</v>
      </c>
      <c r="F776" t="s">
        <v>12</v>
      </c>
      <c r="G776" t="s">
        <v>13</v>
      </c>
      <c r="H776" t="s">
        <v>41</v>
      </c>
      <c r="I776" t="s">
        <v>15</v>
      </c>
      <c r="J776" t="str">
        <f>"FY" &amp; IF(MONTH(GiftData[[#This Row],[Gift_Date]])&gt;=7, RIGHT(YEAR(GiftData[[#This Row],[Gift_Date]])+1, 2), RIGHT(YEAR(GiftData[[#This Row],[Gift_Date]]), 2))</f>
        <v>FY25</v>
      </c>
      <c r="K776">
        <f>IF(COUNTIFS(GiftData[Constituent_ID], GiftData[[#This Row],[Constituent_ID]], GiftData[Fiscal_Year], "FY24")&gt;0, 1, 0)</f>
        <v>1</v>
      </c>
      <c r="L776">
        <f>IF(COUNTIFS(GiftData[Constituent_ID], GiftData[[#This Row],[Constituent_ID]], GiftData[Fiscal_Year], "FY25")&gt;0, 1, 0)</f>
        <v>1</v>
      </c>
      <c r="M776">
        <f>IF(COUNTIFS(GiftData[Constituent_ID], GiftData[[#This Row],[Constituent_ID]], GiftData[Fiscal_Year], "FY26")&gt;0, 1, 0)</f>
        <v>1</v>
      </c>
      <c r="N776" t="str" cm="1">
        <f t="array" ref="N7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7" spans="1:14" x14ac:dyDescent="0.2">
      <c r="A777" t="s">
        <v>1133</v>
      </c>
      <c r="B777" t="s">
        <v>799</v>
      </c>
      <c r="C777" t="s">
        <v>28</v>
      </c>
      <c r="D777" s="1">
        <v>45409</v>
      </c>
      <c r="E777">
        <v>162.25</v>
      </c>
      <c r="F777" t="s">
        <v>12</v>
      </c>
      <c r="G777" t="s">
        <v>29</v>
      </c>
      <c r="H777" t="s">
        <v>20</v>
      </c>
      <c r="I777" t="s">
        <v>38</v>
      </c>
      <c r="J777" t="str">
        <f>"FY" &amp; IF(MONTH(GiftData[[#This Row],[Gift_Date]])&gt;=7, RIGHT(YEAR(GiftData[[#This Row],[Gift_Date]])+1, 2), RIGHT(YEAR(GiftData[[#This Row],[Gift_Date]]), 2))</f>
        <v>FY24</v>
      </c>
      <c r="K777">
        <f>IF(COUNTIFS(GiftData[Constituent_ID], GiftData[[#This Row],[Constituent_ID]], GiftData[Fiscal_Year], "FY24")&gt;0, 1, 0)</f>
        <v>1</v>
      </c>
      <c r="L777">
        <f>IF(COUNTIFS(GiftData[Constituent_ID], GiftData[[#This Row],[Constituent_ID]], GiftData[Fiscal_Year], "FY25")&gt;0, 1, 0)</f>
        <v>0</v>
      </c>
      <c r="M777">
        <f>IF(COUNTIFS(GiftData[Constituent_ID], GiftData[[#This Row],[Constituent_ID]], GiftData[Fiscal_Year], "FY26")&gt;0, 1, 0)</f>
        <v>0</v>
      </c>
      <c r="N777" t="str" cm="1">
        <f t="array" ref="N7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778" spans="1:14" x14ac:dyDescent="0.2">
      <c r="A778" t="s">
        <v>1134</v>
      </c>
      <c r="B778" t="s">
        <v>544</v>
      </c>
      <c r="C778" t="s">
        <v>11</v>
      </c>
      <c r="D778" s="1">
        <v>45345</v>
      </c>
      <c r="E778">
        <v>244.03</v>
      </c>
      <c r="F778" t="s">
        <v>12</v>
      </c>
      <c r="G778" t="s">
        <v>13</v>
      </c>
      <c r="H778" t="s">
        <v>20</v>
      </c>
      <c r="I778" t="s">
        <v>56</v>
      </c>
      <c r="J778" t="str">
        <f>"FY" &amp; IF(MONTH(GiftData[[#This Row],[Gift_Date]])&gt;=7, RIGHT(YEAR(GiftData[[#This Row],[Gift_Date]])+1, 2), RIGHT(YEAR(GiftData[[#This Row],[Gift_Date]]), 2))</f>
        <v>FY24</v>
      </c>
      <c r="K778">
        <f>IF(COUNTIFS(GiftData[Constituent_ID], GiftData[[#This Row],[Constituent_ID]], GiftData[Fiscal_Year], "FY24")&gt;0, 1, 0)</f>
        <v>1</v>
      </c>
      <c r="L778">
        <f>IF(COUNTIFS(GiftData[Constituent_ID], GiftData[[#This Row],[Constituent_ID]], GiftData[Fiscal_Year], "FY25")&gt;0, 1, 0)</f>
        <v>1</v>
      </c>
      <c r="M778">
        <f>IF(COUNTIFS(GiftData[Constituent_ID], GiftData[[#This Row],[Constituent_ID]], GiftData[Fiscal_Year], "FY26")&gt;0, 1, 0)</f>
        <v>1</v>
      </c>
      <c r="N778" t="str" cm="1">
        <f t="array" ref="N7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79" spans="1:14" x14ac:dyDescent="0.2">
      <c r="A779" t="s">
        <v>1135</v>
      </c>
      <c r="B779" t="s">
        <v>416</v>
      </c>
      <c r="C779" t="s">
        <v>35</v>
      </c>
      <c r="D779" s="1">
        <v>45754</v>
      </c>
      <c r="E779">
        <v>195.69</v>
      </c>
      <c r="F779" t="s">
        <v>25</v>
      </c>
      <c r="G779" t="s">
        <v>13</v>
      </c>
      <c r="H779" t="s">
        <v>41</v>
      </c>
      <c r="I779" t="s">
        <v>15</v>
      </c>
      <c r="J779" t="str">
        <f>"FY" &amp; IF(MONTH(GiftData[[#This Row],[Gift_Date]])&gt;=7, RIGHT(YEAR(GiftData[[#This Row],[Gift_Date]])+1, 2), RIGHT(YEAR(GiftData[[#This Row],[Gift_Date]]), 2))</f>
        <v>FY25</v>
      </c>
      <c r="K779">
        <f>IF(COUNTIFS(GiftData[Constituent_ID], GiftData[[#This Row],[Constituent_ID]], GiftData[Fiscal_Year], "FY24")&gt;0, 1, 0)</f>
        <v>0</v>
      </c>
      <c r="L779">
        <f>IF(COUNTIFS(GiftData[Constituent_ID], GiftData[[#This Row],[Constituent_ID]], GiftData[Fiscal_Year], "FY25")&gt;0, 1, 0)</f>
        <v>1</v>
      </c>
      <c r="M779">
        <f>IF(COUNTIFS(GiftData[Constituent_ID], GiftData[[#This Row],[Constituent_ID]], GiftData[Fiscal_Year], "FY26")&gt;0, 1, 0)</f>
        <v>1</v>
      </c>
      <c r="N779" t="str" cm="1">
        <f t="array" ref="N7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0" spans="1:14" x14ac:dyDescent="0.2">
      <c r="A780" t="s">
        <v>1136</v>
      </c>
      <c r="B780" t="s">
        <v>1137</v>
      </c>
      <c r="C780" t="s">
        <v>11</v>
      </c>
      <c r="D780" s="1">
        <v>45770</v>
      </c>
      <c r="E780">
        <v>40.409999999999997</v>
      </c>
      <c r="F780" t="s">
        <v>12</v>
      </c>
      <c r="G780" t="s">
        <v>29</v>
      </c>
      <c r="H780" t="s">
        <v>14</v>
      </c>
      <c r="I780" t="s">
        <v>15</v>
      </c>
      <c r="J780" t="str">
        <f>"FY" &amp; IF(MONTH(GiftData[[#This Row],[Gift_Date]])&gt;=7, RIGHT(YEAR(GiftData[[#This Row],[Gift_Date]])+1, 2), RIGHT(YEAR(GiftData[[#This Row],[Gift_Date]]), 2))</f>
        <v>FY25</v>
      </c>
      <c r="K780">
        <f>IF(COUNTIFS(GiftData[Constituent_ID], GiftData[[#This Row],[Constituent_ID]], GiftData[Fiscal_Year], "FY24")&gt;0, 1, 0)</f>
        <v>0</v>
      </c>
      <c r="L780">
        <f>IF(COUNTIFS(GiftData[Constituent_ID], GiftData[[#This Row],[Constituent_ID]], GiftData[Fiscal_Year], "FY25")&gt;0, 1, 0)</f>
        <v>1</v>
      </c>
      <c r="M780">
        <f>IF(COUNTIFS(GiftData[Constituent_ID], GiftData[[#This Row],[Constituent_ID]], GiftData[Fiscal_Year], "FY26")&gt;0, 1, 0)</f>
        <v>0</v>
      </c>
      <c r="N780" t="str" cm="1">
        <f t="array" ref="N7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81" spans="1:14" x14ac:dyDescent="0.2">
      <c r="A781" t="s">
        <v>1138</v>
      </c>
      <c r="B781" t="s">
        <v>1139</v>
      </c>
      <c r="C781" t="s">
        <v>11</v>
      </c>
      <c r="D781" s="1">
        <v>45343</v>
      </c>
      <c r="E781">
        <v>1136.5999999999999</v>
      </c>
      <c r="F781" t="s">
        <v>12</v>
      </c>
      <c r="G781" t="s">
        <v>13</v>
      </c>
      <c r="H781" t="s">
        <v>20</v>
      </c>
      <c r="I781" t="s">
        <v>15</v>
      </c>
      <c r="J781" t="str">
        <f>"FY" &amp; IF(MONTH(GiftData[[#This Row],[Gift_Date]])&gt;=7, RIGHT(YEAR(GiftData[[#This Row],[Gift_Date]])+1, 2), RIGHT(YEAR(GiftData[[#This Row],[Gift_Date]]), 2))</f>
        <v>FY24</v>
      </c>
      <c r="K781">
        <f>IF(COUNTIFS(GiftData[Constituent_ID], GiftData[[#This Row],[Constituent_ID]], GiftData[Fiscal_Year], "FY24")&gt;0, 1, 0)</f>
        <v>1</v>
      </c>
      <c r="L781">
        <f>IF(COUNTIFS(GiftData[Constituent_ID], GiftData[[#This Row],[Constituent_ID]], GiftData[Fiscal_Year], "FY25")&gt;0, 1, 0)</f>
        <v>1</v>
      </c>
      <c r="M781">
        <f>IF(COUNTIFS(GiftData[Constituent_ID], GiftData[[#This Row],[Constituent_ID]], GiftData[Fiscal_Year], "FY26")&gt;0, 1, 0)</f>
        <v>0</v>
      </c>
      <c r="N781" t="str" cm="1">
        <f t="array" ref="N7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82" spans="1:14" x14ac:dyDescent="0.2">
      <c r="A782" t="s">
        <v>1140</v>
      </c>
      <c r="B782" t="s">
        <v>105</v>
      </c>
      <c r="C782" t="s">
        <v>11</v>
      </c>
      <c r="D782" s="1">
        <v>45310</v>
      </c>
      <c r="E782">
        <v>45.4</v>
      </c>
      <c r="F782" t="s">
        <v>59</v>
      </c>
      <c r="G782" t="s">
        <v>13</v>
      </c>
      <c r="H782" t="s">
        <v>41</v>
      </c>
      <c r="I782" t="s">
        <v>38</v>
      </c>
      <c r="J782" t="str">
        <f>"FY" &amp; IF(MONTH(GiftData[[#This Row],[Gift_Date]])&gt;=7, RIGHT(YEAR(GiftData[[#This Row],[Gift_Date]])+1, 2), RIGHT(YEAR(GiftData[[#This Row],[Gift_Date]]), 2))</f>
        <v>FY24</v>
      </c>
      <c r="K782">
        <f>IF(COUNTIFS(GiftData[Constituent_ID], GiftData[[#This Row],[Constituent_ID]], GiftData[Fiscal_Year], "FY24")&gt;0, 1, 0)</f>
        <v>1</v>
      </c>
      <c r="L782">
        <f>IF(COUNTIFS(GiftData[Constituent_ID], GiftData[[#This Row],[Constituent_ID]], GiftData[Fiscal_Year], "FY25")&gt;0, 1, 0)</f>
        <v>1</v>
      </c>
      <c r="M782">
        <f>IF(COUNTIFS(GiftData[Constituent_ID], GiftData[[#This Row],[Constituent_ID]], GiftData[Fiscal_Year], "FY26")&gt;0, 1, 0)</f>
        <v>1</v>
      </c>
      <c r="N782" t="str" cm="1">
        <f t="array" ref="N7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3" spans="1:14" x14ac:dyDescent="0.2">
      <c r="A783" t="s">
        <v>1141</v>
      </c>
      <c r="B783" t="s">
        <v>184</v>
      </c>
      <c r="C783" t="s">
        <v>11</v>
      </c>
      <c r="D783" s="1">
        <v>45363</v>
      </c>
      <c r="E783">
        <v>282.17</v>
      </c>
      <c r="F783" t="s">
        <v>12</v>
      </c>
      <c r="G783" t="s">
        <v>29</v>
      </c>
      <c r="H783" t="s">
        <v>20</v>
      </c>
      <c r="I783" t="s">
        <v>15</v>
      </c>
      <c r="J783" t="str">
        <f>"FY" &amp; IF(MONTH(GiftData[[#This Row],[Gift_Date]])&gt;=7, RIGHT(YEAR(GiftData[[#This Row],[Gift_Date]])+1, 2), RIGHT(YEAR(GiftData[[#This Row],[Gift_Date]]), 2))</f>
        <v>FY24</v>
      </c>
      <c r="K783">
        <f>IF(COUNTIFS(GiftData[Constituent_ID], GiftData[[#This Row],[Constituent_ID]], GiftData[Fiscal_Year], "FY24")&gt;0, 1, 0)</f>
        <v>1</v>
      </c>
      <c r="L783">
        <f>IF(COUNTIFS(GiftData[Constituent_ID], GiftData[[#This Row],[Constituent_ID]], GiftData[Fiscal_Year], "FY25")&gt;0, 1, 0)</f>
        <v>1</v>
      </c>
      <c r="M783">
        <f>IF(COUNTIFS(GiftData[Constituent_ID], GiftData[[#This Row],[Constituent_ID]], GiftData[Fiscal_Year], "FY26")&gt;0, 1, 0)</f>
        <v>0</v>
      </c>
      <c r="N783" t="str" cm="1">
        <f t="array" ref="N7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84" spans="1:14" x14ac:dyDescent="0.2">
      <c r="A784" t="s">
        <v>1142</v>
      </c>
      <c r="B784" t="s">
        <v>175</v>
      </c>
      <c r="C784" t="s">
        <v>28</v>
      </c>
      <c r="D784" s="1">
        <v>45705</v>
      </c>
      <c r="E784">
        <v>242.08</v>
      </c>
      <c r="F784" t="s">
        <v>12</v>
      </c>
      <c r="G784" t="s">
        <v>13</v>
      </c>
      <c r="H784" t="s">
        <v>51</v>
      </c>
      <c r="I784" t="s">
        <v>56</v>
      </c>
      <c r="J784" t="str">
        <f>"FY" &amp; IF(MONTH(GiftData[[#This Row],[Gift_Date]])&gt;=7, RIGHT(YEAR(GiftData[[#This Row],[Gift_Date]])+1, 2), RIGHT(YEAR(GiftData[[#This Row],[Gift_Date]]), 2))</f>
        <v>FY25</v>
      </c>
      <c r="K784">
        <f>IF(COUNTIFS(GiftData[Constituent_ID], GiftData[[#This Row],[Constituent_ID]], GiftData[Fiscal_Year], "FY24")&gt;0, 1, 0)</f>
        <v>0</v>
      </c>
      <c r="L784">
        <f>IF(COUNTIFS(GiftData[Constituent_ID], GiftData[[#This Row],[Constituent_ID]], GiftData[Fiscal_Year], "FY25")&gt;0, 1, 0)</f>
        <v>1</v>
      </c>
      <c r="M784">
        <f>IF(COUNTIFS(GiftData[Constituent_ID], GiftData[[#This Row],[Constituent_ID]], GiftData[Fiscal_Year], "FY26")&gt;0, 1, 0)</f>
        <v>1</v>
      </c>
      <c r="N784" t="str" cm="1">
        <f t="array" ref="N7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5" spans="1:14" x14ac:dyDescent="0.2">
      <c r="A785" t="s">
        <v>1143</v>
      </c>
      <c r="B785" t="s">
        <v>146</v>
      </c>
      <c r="C785" t="s">
        <v>28</v>
      </c>
      <c r="D785" s="1">
        <v>45769</v>
      </c>
      <c r="E785">
        <v>15</v>
      </c>
      <c r="F785" t="s">
        <v>59</v>
      </c>
      <c r="G785" t="s">
        <v>13</v>
      </c>
      <c r="H785" t="s">
        <v>20</v>
      </c>
      <c r="I785" t="s">
        <v>15</v>
      </c>
      <c r="J785" t="str">
        <f>"FY" &amp; IF(MONTH(GiftData[[#This Row],[Gift_Date]])&gt;=7, RIGHT(YEAR(GiftData[[#This Row],[Gift_Date]])+1, 2), RIGHT(YEAR(GiftData[[#This Row],[Gift_Date]]), 2))</f>
        <v>FY25</v>
      </c>
      <c r="K785">
        <f>IF(COUNTIFS(GiftData[Constituent_ID], GiftData[[#This Row],[Constituent_ID]], GiftData[Fiscal_Year], "FY24")&gt;0, 1, 0)</f>
        <v>1</v>
      </c>
      <c r="L785">
        <f>IF(COUNTIFS(GiftData[Constituent_ID], GiftData[[#This Row],[Constituent_ID]], GiftData[Fiscal_Year], "FY25")&gt;0, 1, 0)</f>
        <v>1</v>
      </c>
      <c r="M785">
        <f>IF(COUNTIFS(GiftData[Constituent_ID], GiftData[[#This Row],[Constituent_ID]], GiftData[Fiscal_Year], "FY26")&gt;0, 1, 0)</f>
        <v>1</v>
      </c>
      <c r="N785" t="str" cm="1">
        <f t="array" ref="N7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6" spans="1:14" x14ac:dyDescent="0.2">
      <c r="A786" t="s">
        <v>1144</v>
      </c>
      <c r="B786" t="s">
        <v>344</v>
      </c>
      <c r="C786" t="s">
        <v>28</v>
      </c>
      <c r="D786" s="1">
        <v>45342</v>
      </c>
      <c r="E786">
        <v>76.209999999999994</v>
      </c>
      <c r="F786" t="s">
        <v>59</v>
      </c>
      <c r="G786" t="s">
        <v>29</v>
      </c>
      <c r="H786" t="s">
        <v>41</v>
      </c>
      <c r="I786" t="s">
        <v>38</v>
      </c>
      <c r="J786" t="str">
        <f>"FY" &amp; IF(MONTH(GiftData[[#This Row],[Gift_Date]])&gt;=7, RIGHT(YEAR(GiftData[[#This Row],[Gift_Date]])+1, 2), RIGHT(YEAR(GiftData[[#This Row],[Gift_Date]]), 2))</f>
        <v>FY24</v>
      </c>
      <c r="K786">
        <f>IF(COUNTIFS(GiftData[Constituent_ID], GiftData[[#This Row],[Constituent_ID]], GiftData[Fiscal_Year], "FY24")&gt;0, 1, 0)</f>
        <v>1</v>
      </c>
      <c r="L786">
        <f>IF(COUNTIFS(GiftData[Constituent_ID], GiftData[[#This Row],[Constituent_ID]], GiftData[Fiscal_Year], "FY25")&gt;0, 1, 0)</f>
        <v>1</v>
      </c>
      <c r="M786">
        <f>IF(COUNTIFS(GiftData[Constituent_ID], GiftData[[#This Row],[Constituent_ID]], GiftData[Fiscal_Year], "FY26")&gt;0, 1, 0)</f>
        <v>1</v>
      </c>
      <c r="N786" t="str" cm="1">
        <f t="array" ref="N7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7" spans="1:14" x14ac:dyDescent="0.2">
      <c r="A787" t="s">
        <v>1145</v>
      </c>
      <c r="B787" t="s">
        <v>550</v>
      </c>
      <c r="C787" t="s">
        <v>35</v>
      </c>
      <c r="D787" s="1">
        <v>45641</v>
      </c>
      <c r="E787">
        <v>130.79</v>
      </c>
      <c r="F787" t="s">
        <v>12</v>
      </c>
      <c r="G787" t="s">
        <v>13</v>
      </c>
      <c r="H787" t="s">
        <v>14</v>
      </c>
      <c r="I787" t="s">
        <v>15</v>
      </c>
      <c r="J787" t="str">
        <f>"FY" &amp; IF(MONTH(GiftData[[#This Row],[Gift_Date]])&gt;=7, RIGHT(YEAR(GiftData[[#This Row],[Gift_Date]])+1, 2), RIGHT(YEAR(GiftData[[#This Row],[Gift_Date]]), 2))</f>
        <v>FY25</v>
      </c>
      <c r="K787">
        <f>IF(COUNTIFS(GiftData[Constituent_ID], GiftData[[#This Row],[Constituent_ID]], GiftData[Fiscal_Year], "FY24")&gt;0, 1, 0)</f>
        <v>1</v>
      </c>
      <c r="L787">
        <f>IF(COUNTIFS(GiftData[Constituent_ID], GiftData[[#This Row],[Constituent_ID]], GiftData[Fiscal_Year], "FY25")&gt;0, 1, 0)</f>
        <v>1</v>
      </c>
      <c r="M787">
        <f>IF(COUNTIFS(GiftData[Constituent_ID], GiftData[[#This Row],[Constituent_ID]], GiftData[Fiscal_Year], "FY26")&gt;0, 1, 0)</f>
        <v>1</v>
      </c>
      <c r="N787" t="str" cm="1">
        <f t="array" ref="N7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8" spans="1:14" x14ac:dyDescent="0.2">
      <c r="A788" t="s">
        <v>1146</v>
      </c>
      <c r="B788" t="s">
        <v>189</v>
      </c>
      <c r="C788" t="s">
        <v>35</v>
      </c>
      <c r="D788" s="1">
        <v>45967</v>
      </c>
      <c r="E788">
        <v>144.47</v>
      </c>
      <c r="F788" t="s">
        <v>12</v>
      </c>
      <c r="G788" t="s">
        <v>13</v>
      </c>
      <c r="H788" t="s">
        <v>51</v>
      </c>
      <c r="I788" t="s">
        <v>38</v>
      </c>
      <c r="J788" t="str">
        <f>"FY" &amp; IF(MONTH(GiftData[[#This Row],[Gift_Date]])&gt;=7, RIGHT(YEAR(GiftData[[#This Row],[Gift_Date]])+1, 2), RIGHT(YEAR(GiftData[[#This Row],[Gift_Date]]), 2))</f>
        <v>FY26</v>
      </c>
      <c r="K788">
        <f>IF(COUNTIFS(GiftData[Constituent_ID], GiftData[[#This Row],[Constituent_ID]], GiftData[Fiscal_Year], "FY24")&gt;0, 1, 0)</f>
        <v>1</v>
      </c>
      <c r="L788">
        <f>IF(COUNTIFS(GiftData[Constituent_ID], GiftData[[#This Row],[Constituent_ID]], GiftData[Fiscal_Year], "FY25")&gt;0, 1, 0)</f>
        <v>1</v>
      </c>
      <c r="M788">
        <f>IF(COUNTIFS(GiftData[Constituent_ID], GiftData[[#This Row],[Constituent_ID]], GiftData[Fiscal_Year], "FY26")&gt;0, 1, 0)</f>
        <v>1</v>
      </c>
      <c r="N788" t="str" cm="1">
        <f t="array" ref="N7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89" spans="1:14" x14ac:dyDescent="0.2">
      <c r="A789" t="s">
        <v>1147</v>
      </c>
      <c r="B789" t="s">
        <v>488</v>
      </c>
      <c r="C789" t="s">
        <v>35</v>
      </c>
      <c r="D789" s="1">
        <v>45877</v>
      </c>
      <c r="E789">
        <v>179.8</v>
      </c>
      <c r="F789" t="s">
        <v>12</v>
      </c>
      <c r="G789" t="s">
        <v>13</v>
      </c>
      <c r="H789" t="s">
        <v>20</v>
      </c>
      <c r="I789" t="s">
        <v>15</v>
      </c>
      <c r="J789" t="str">
        <f>"FY" &amp; IF(MONTH(GiftData[[#This Row],[Gift_Date]])&gt;=7, RIGHT(YEAR(GiftData[[#This Row],[Gift_Date]])+1, 2), RIGHT(YEAR(GiftData[[#This Row],[Gift_Date]]), 2))</f>
        <v>FY26</v>
      </c>
      <c r="K789">
        <f>IF(COUNTIFS(GiftData[Constituent_ID], GiftData[[#This Row],[Constituent_ID]], GiftData[Fiscal_Year], "FY24")&gt;0, 1, 0)</f>
        <v>1</v>
      </c>
      <c r="L789">
        <f>IF(COUNTIFS(GiftData[Constituent_ID], GiftData[[#This Row],[Constituent_ID]], GiftData[Fiscal_Year], "FY25")&gt;0, 1, 0)</f>
        <v>1</v>
      </c>
      <c r="M789">
        <f>IF(COUNTIFS(GiftData[Constituent_ID], GiftData[[#This Row],[Constituent_ID]], GiftData[Fiscal_Year], "FY26")&gt;0, 1, 0)</f>
        <v>1</v>
      </c>
      <c r="N789" t="str" cm="1">
        <f t="array" ref="N7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0" spans="1:14" x14ac:dyDescent="0.2">
      <c r="A790" t="s">
        <v>1148</v>
      </c>
      <c r="B790" t="s">
        <v>725</v>
      </c>
      <c r="C790" t="s">
        <v>18</v>
      </c>
      <c r="D790" s="1">
        <v>45648</v>
      </c>
      <c r="E790">
        <v>325.37</v>
      </c>
      <c r="F790" t="s">
        <v>12</v>
      </c>
      <c r="G790" t="s">
        <v>13</v>
      </c>
      <c r="H790" t="s">
        <v>41</v>
      </c>
      <c r="I790" t="s">
        <v>38</v>
      </c>
      <c r="J790" t="str">
        <f>"FY" &amp; IF(MONTH(GiftData[[#This Row],[Gift_Date]])&gt;=7, RIGHT(YEAR(GiftData[[#This Row],[Gift_Date]])+1, 2), RIGHT(YEAR(GiftData[[#This Row],[Gift_Date]]), 2))</f>
        <v>FY25</v>
      </c>
      <c r="K790">
        <f>IF(COUNTIFS(GiftData[Constituent_ID], GiftData[[#This Row],[Constituent_ID]], GiftData[Fiscal_Year], "FY24")&gt;0, 1, 0)</f>
        <v>1</v>
      </c>
      <c r="L790">
        <f>IF(COUNTIFS(GiftData[Constituent_ID], GiftData[[#This Row],[Constituent_ID]], GiftData[Fiscal_Year], "FY25")&gt;0, 1, 0)</f>
        <v>1</v>
      </c>
      <c r="M790">
        <f>IF(COUNTIFS(GiftData[Constituent_ID], GiftData[[#This Row],[Constituent_ID]], GiftData[Fiscal_Year], "FY26")&gt;0, 1, 0)</f>
        <v>0</v>
      </c>
      <c r="N790" t="str" cm="1">
        <f t="array" ref="N7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91" spans="1:14" x14ac:dyDescent="0.2">
      <c r="A791" t="s">
        <v>1149</v>
      </c>
      <c r="B791" t="s">
        <v>644</v>
      </c>
      <c r="C791" t="s">
        <v>28</v>
      </c>
      <c r="D791" s="1">
        <v>45320</v>
      </c>
      <c r="E791">
        <v>120.33</v>
      </c>
      <c r="F791" t="s">
        <v>12</v>
      </c>
      <c r="G791" t="s">
        <v>13</v>
      </c>
      <c r="H791" t="s">
        <v>14</v>
      </c>
      <c r="I791" t="s">
        <v>15</v>
      </c>
      <c r="J791" t="str">
        <f>"FY" &amp; IF(MONTH(GiftData[[#This Row],[Gift_Date]])&gt;=7, RIGHT(YEAR(GiftData[[#This Row],[Gift_Date]])+1, 2), RIGHT(YEAR(GiftData[[#This Row],[Gift_Date]]), 2))</f>
        <v>FY24</v>
      </c>
      <c r="K791">
        <f>IF(COUNTIFS(GiftData[Constituent_ID], GiftData[[#This Row],[Constituent_ID]], GiftData[Fiscal_Year], "FY24")&gt;0, 1, 0)</f>
        <v>1</v>
      </c>
      <c r="L791">
        <f>IF(COUNTIFS(GiftData[Constituent_ID], GiftData[[#This Row],[Constituent_ID]], GiftData[Fiscal_Year], "FY25")&gt;0, 1, 0)</f>
        <v>1</v>
      </c>
      <c r="M791">
        <f>IF(COUNTIFS(GiftData[Constituent_ID], GiftData[[#This Row],[Constituent_ID]], GiftData[Fiscal_Year], "FY26")&gt;0, 1, 0)</f>
        <v>1</v>
      </c>
      <c r="N791" t="str" cm="1">
        <f t="array" ref="N7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2" spans="1:14" x14ac:dyDescent="0.2">
      <c r="A792" t="s">
        <v>1150</v>
      </c>
      <c r="B792" t="s">
        <v>1139</v>
      </c>
      <c r="C792" t="s">
        <v>18</v>
      </c>
      <c r="D792" s="1">
        <v>45570</v>
      </c>
      <c r="E792">
        <v>192.67</v>
      </c>
      <c r="F792" t="s">
        <v>12</v>
      </c>
      <c r="G792" t="s">
        <v>13</v>
      </c>
      <c r="H792" t="s">
        <v>14</v>
      </c>
      <c r="I792" t="s">
        <v>15</v>
      </c>
      <c r="J792" t="str">
        <f>"FY" &amp; IF(MONTH(GiftData[[#This Row],[Gift_Date]])&gt;=7, RIGHT(YEAR(GiftData[[#This Row],[Gift_Date]])+1, 2), RIGHT(YEAR(GiftData[[#This Row],[Gift_Date]]), 2))</f>
        <v>FY25</v>
      </c>
      <c r="K792">
        <f>IF(COUNTIFS(GiftData[Constituent_ID], GiftData[[#This Row],[Constituent_ID]], GiftData[Fiscal_Year], "FY24")&gt;0, 1, 0)</f>
        <v>1</v>
      </c>
      <c r="L792">
        <f>IF(COUNTIFS(GiftData[Constituent_ID], GiftData[[#This Row],[Constituent_ID]], GiftData[Fiscal_Year], "FY25")&gt;0, 1, 0)</f>
        <v>1</v>
      </c>
      <c r="M792">
        <f>IF(COUNTIFS(GiftData[Constituent_ID], GiftData[[#This Row],[Constituent_ID]], GiftData[Fiscal_Year], "FY26")&gt;0, 1, 0)</f>
        <v>0</v>
      </c>
      <c r="N792" t="str" cm="1">
        <f t="array" ref="N7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93" spans="1:14" x14ac:dyDescent="0.2">
      <c r="A793" t="s">
        <v>1151</v>
      </c>
      <c r="B793" t="s">
        <v>305</v>
      </c>
      <c r="C793" t="s">
        <v>18</v>
      </c>
      <c r="D793" s="1">
        <v>45543</v>
      </c>
      <c r="E793">
        <v>114.61</v>
      </c>
      <c r="F793" t="s">
        <v>12</v>
      </c>
      <c r="G793" t="s">
        <v>29</v>
      </c>
      <c r="H793" t="s">
        <v>14</v>
      </c>
      <c r="I793" t="s">
        <v>15</v>
      </c>
      <c r="J793" t="str">
        <f>"FY" &amp; IF(MONTH(GiftData[[#This Row],[Gift_Date]])&gt;=7, RIGHT(YEAR(GiftData[[#This Row],[Gift_Date]])+1, 2), RIGHT(YEAR(GiftData[[#This Row],[Gift_Date]]), 2))</f>
        <v>FY25</v>
      </c>
      <c r="K793">
        <f>IF(COUNTIFS(GiftData[Constituent_ID], GiftData[[#This Row],[Constituent_ID]], GiftData[Fiscal_Year], "FY24")&gt;0, 1, 0)</f>
        <v>0</v>
      </c>
      <c r="L793">
        <f>IF(COUNTIFS(GiftData[Constituent_ID], GiftData[[#This Row],[Constituent_ID]], GiftData[Fiscal_Year], "FY25")&gt;0, 1, 0)</f>
        <v>1</v>
      </c>
      <c r="M793">
        <f>IF(COUNTIFS(GiftData[Constituent_ID], GiftData[[#This Row],[Constituent_ID]], GiftData[Fiscal_Year], "FY26")&gt;0, 1, 0)</f>
        <v>0</v>
      </c>
      <c r="N793" t="str" cm="1">
        <f t="array" ref="N7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794" spans="1:14" x14ac:dyDescent="0.2">
      <c r="A794" t="s">
        <v>1152</v>
      </c>
      <c r="B794" t="s">
        <v>22</v>
      </c>
      <c r="C794" t="s">
        <v>28</v>
      </c>
      <c r="D794" s="1">
        <v>45390</v>
      </c>
      <c r="E794">
        <v>32.380000000000003</v>
      </c>
      <c r="F794" t="s">
        <v>59</v>
      </c>
      <c r="G794" t="s">
        <v>29</v>
      </c>
      <c r="H794" t="s">
        <v>41</v>
      </c>
      <c r="I794" t="s">
        <v>38</v>
      </c>
      <c r="J794" t="str">
        <f>"FY" &amp; IF(MONTH(GiftData[[#This Row],[Gift_Date]])&gt;=7, RIGHT(YEAR(GiftData[[#This Row],[Gift_Date]])+1, 2), RIGHT(YEAR(GiftData[[#This Row],[Gift_Date]]), 2))</f>
        <v>FY24</v>
      </c>
      <c r="K794">
        <f>IF(COUNTIFS(GiftData[Constituent_ID], GiftData[[#This Row],[Constituent_ID]], GiftData[Fiscal_Year], "FY24")&gt;0, 1, 0)</f>
        <v>1</v>
      </c>
      <c r="L794">
        <f>IF(COUNTIFS(GiftData[Constituent_ID], GiftData[[#This Row],[Constituent_ID]], GiftData[Fiscal_Year], "FY25")&gt;0, 1, 0)</f>
        <v>1</v>
      </c>
      <c r="M794">
        <f>IF(COUNTIFS(GiftData[Constituent_ID], GiftData[[#This Row],[Constituent_ID]], GiftData[Fiscal_Year], "FY26")&gt;0, 1, 0)</f>
        <v>1</v>
      </c>
      <c r="N794" t="str" cm="1">
        <f t="array" ref="N7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5" spans="1:14" x14ac:dyDescent="0.2">
      <c r="A795" t="s">
        <v>1153</v>
      </c>
      <c r="B795" t="s">
        <v>158</v>
      </c>
      <c r="C795" t="s">
        <v>11</v>
      </c>
      <c r="D795" s="1">
        <v>45195</v>
      </c>
      <c r="E795">
        <v>126.74</v>
      </c>
      <c r="F795" t="s">
        <v>19</v>
      </c>
      <c r="G795" t="s">
        <v>29</v>
      </c>
      <c r="H795" t="s">
        <v>164</v>
      </c>
      <c r="I795" t="s">
        <v>15</v>
      </c>
      <c r="J795" t="str">
        <f>"FY" &amp; IF(MONTH(GiftData[[#This Row],[Gift_Date]])&gt;=7, RIGHT(YEAR(GiftData[[#This Row],[Gift_Date]])+1, 2), RIGHT(YEAR(GiftData[[#This Row],[Gift_Date]]), 2))</f>
        <v>FY24</v>
      </c>
      <c r="K795">
        <f>IF(COUNTIFS(GiftData[Constituent_ID], GiftData[[#This Row],[Constituent_ID]], GiftData[Fiscal_Year], "FY24")&gt;0, 1, 0)</f>
        <v>1</v>
      </c>
      <c r="L795">
        <f>IF(COUNTIFS(GiftData[Constituent_ID], GiftData[[#This Row],[Constituent_ID]], GiftData[Fiscal_Year], "FY25")&gt;0, 1, 0)</f>
        <v>1</v>
      </c>
      <c r="M795">
        <f>IF(COUNTIFS(GiftData[Constituent_ID], GiftData[[#This Row],[Constituent_ID]], GiftData[Fiscal_Year], "FY26")&gt;0, 1, 0)</f>
        <v>1</v>
      </c>
      <c r="N795" t="str" cm="1">
        <f t="array" ref="N7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6" spans="1:14" x14ac:dyDescent="0.2">
      <c r="A796" t="s">
        <v>1154</v>
      </c>
      <c r="B796" t="s">
        <v>277</v>
      </c>
      <c r="C796" t="s">
        <v>18</v>
      </c>
      <c r="D796" s="1">
        <v>45568</v>
      </c>
      <c r="E796">
        <v>321.76</v>
      </c>
      <c r="F796" t="s">
        <v>12</v>
      </c>
      <c r="G796" t="s">
        <v>13</v>
      </c>
      <c r="H796" t="s">
        <v>20</v>
      </c>
      <c r="I796" t="s">
        <v>15</v>
      </c>
      <c r="J796" t="str">
        <f>"FY" &amp; IF(MONTH(GiftData[[#This Row],[Gift_Date]])&gt;=7, RIGHT(YEAR(GiftData[[#This Row],[Gift_Date]])+1, 2), RIGHT(YEAR(GiftData[[#This Row],[Gift_Date]]), 2))</f>
        <v>FY25</v>
      </c>
      <c r="K796">
        <f>IF(COUNTIFS(GiftData[Constituent_ID], GiftData[[#This Row],[Constituent_ID]], GiftData[Fiscal_Year], "FY24")&gt;0, 1, 0)</f>
        <v>1</v>
      </c>
      <c r="L796">
        <f>IF(COUNTIFS(GiftData[Constituent_ID], GiftData[[#This Row],[Constituent_ID]], GiftData[Fiscal_Year], "FY25")&gt;0, 1, 0)</f>
        <v>1</v>
      </c>
      <c r="M796">
        <f>IF(COUNTIFS(GiftData[Constituent_ID], GiftData[[#This Row],[Constituent_ID]], GiftData[Fiscal_Year], "FY26")&gt;0, 1, 0)</f>
        <v>1</v>
      </c>
      <c r="N796" t="str" cm="1">
        <f t="array" ref="N7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7" spans="1:14" x14ac:dyDescent="0.2">
      <c r="A797" t="s">
        <v>1155</v>
      </c>
      <c r="B797" t="s">
        <v>103</v>
      </c>
      <c r="C797" t="s">
        <v>18</v>
      </c>
      <c r="D797" s="1">
        <v>45385</v>
      </c>
      <c r="E797">
        <v>513.59</v>
      </c>
      <c r="F797" t="s">
        <v>25</v>
      </c>
      <c r="G797" t="s">
        <v>13</v>
      </c>
      <c r="H797" t="s">
        <v>20</v>
      </c>
      <c r="I797" t="s">
        <v>56</v>
      </c>
      <c r="J797" t="str">
        <f>"FY" &amp; IF(MONTH(GiftData[[#This Row],[Gift_Date]])&gt;=7, RIGHT(YEAR(GiftData[[#This Row],[Gift_Date]])+1, 2), RIGHT(YEAR(GiftData[[#This Row],[Gift_Date]]), 2))</f>
        <v>FY24</v>
      </c>
      <c r="K797">
        <f>IF(COUNTIFS(GiftData[Constituent_ID], GiftData[[#This Row],[Constituent_ID]], GiftData[Fiscal_Year], "FY24")&gt;0, 1, 0)</f>
        <v>1</v>
      </c>
      <c r="L797">
        <f>IF(COUNTIFS(GiftData[Constituent_ID], GiftData[[#This Row],[Constituent_ID]], GiftData[Fiscal_Year], "FY25")&gt;0, 1, 0)</f>
        <v>1</v>
      </c>
      <c r="M797">
        <f>IF(COUNTIFS(GiftData[Constituent_ID], GiftData[[#This Row],[Constituent_ID]], GiftData[Fiscal_Year], "FY26")&gt;0, 1, 0)</f>
        <v>1</v>
      </c>
      <c r="N797" t="str" cm="1">
        <f t="array" ref="N7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8" spans="1:14" x14ac:dyDescent="0.2">
      <c r="A798" t="s">
        <v>1156</v>
      </c>
      <c r="B798" t="s">
        <v>228</v>
      </c>
      <c r="C798" t="s">
        <v>18</v>
      </c>
      <c r="D798" s="1">
        <v>45528</v>
      </c>
      <c r="E798">
        <v>244.33</v>
      </c>
      <c r="F798" t="s">
        <v>12</v>
      </c>
      <c r="G798" t="s">
        <v>29</v>
      </c>
      <c r="H798" t="s">
        <v>51</v>
      </c>
      <c r="I798" t="s">
        <v>56</v>
      </c>
      <c r="J798" t="str">
        <f>"FY" &amp; IF(MONTH(GiftData[[#This Row],[Gift_Date]])&gt;=7, RIGHT(YEAR(GiftData[[#This Row],[Gift_Date]])+1, 2), RIGHT(YEAR(GiftData[[#This Row],[Gift_Date]]), 2))</f>
        <v>FY25</v>
      </c>
      <c r="K798">
        <f>IF(COUNTIFS(GiftData[Constituent_ID], GiftData[[#This Row],[Constituent_ID]], GiftData[Fiscal_Year], "FY24")&gt;0, 1, 0)</f>
        <v>1</v>
      </c>
      <c r="L798">
        <f>IF(COUNTIFS(GiftData[Constituent_ID], GiftData[[#This Row],[Constituent_ID]], GiftData[Fiscal_Year], "FY25")&gt;0, 1, 0)</f>
        <v>1</v>
      </c>
      <c r="M798">
        <f>IF(COUNTIFS(GiftData[Constituent_ID], GiftData[[#This Row],[Constituent_ID]], GiftData[Fiscal_Year], "FY26")&gt;0, 1, 0)</f>
        <v>1</v>
      </c>
      <c r="N798" t="str" cm="1">
        <f t="array" ref="N7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799" spans="1:14" x14ac:dyDescent="0.2">
      <c r="A799" t="s">
        <v>1157</v>
      </c>
      <c r="B799" t="s">
        <v>1158</v>
      </c>
      <c r="C799" t="s">
        <v>48</v>
      </c>
      <c r="D799" s="1">
        <v>45803</v>
      </c>
      <c r="E799">
        <v>688.6</v>
      </c>
      <c r="F799" t="s">
        <v>59</v>
      </c>
      <c r="G799" t="s">
        <v>29</v>
      </c>
      <c r="H799" t="s">
        <v>20</v>
      </c>
      <c r="I799" t="s">
        <v>15</v>
      </c>
      <c r="J799" t="str">
        <f>"FY" &amp; IF(MONTH(GiftData[[#This Row],[Gift_Date]])&gt;=7, RIGHT(YEAR(GiftData[[#This Row],[Gift_Date]])+1, 2), RIGHT(YEAR(GiftData[[#This Row],[Gift_Date]]), 2))</f>
        <v>FY25</v>
      </c>
      <c r="K799">
        <f>IF(COUNTIFS(GiftData[Constituent_ID], GiftData[[#This Row],[Constituent_ID]], GiftData[Fiscal_Year], "FY24")&gt;0, 1, 0)</f>
        <v>0</v>
      </c>
      <c r="L799">
        <f>IF(COUNTIFS(GiftData[Constituent_ID], GiftData[[#This Row],[Constituent_ID]], GiftData[Fiscal_Year], "FY25")&gt;0, 1, 0)</f>
        <v>1</v>
      </c>
      <c r="M799">
        <f>IF(COUNTIFS(GiftData[Constituent_ID], GiftData[[#This Row],[Constituent_ID]], GiftData[Fiscal_Year], "FY26")&gt;0, 1, 0)</f>
        <v>0</v>
      </c>
      <c r="N799" t="str" cm="1">
        <f t="array" ref="N7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00" spans="1:14" x14ac:dyDescent="0.2">
      <c r="A800" t="s">
        <v>1159</v>
      </c>
      <c r="B800" t="s">
        <v>809</v>
      </c>
      <c r="C800" t="s">
        <v>18</v>
      </c>
      <c r="D800" s="1">
        <v>45622</v>
      </c>
      <c r="E800">
        <v>209.46</v>
      </c>
      <c r="F800" t="s">
        <v>12</v>
      </c>
      <c r="G800" t="s">
        <v>13</v>
      </c>
      <c r="H800" t="s">
        <v>164</v>
      </c>
      <c r="I800" t="s">
        <v>38</v>
      </c>
      <c r="J800" t="str">
        <f>"FY" &amp; IF(MONTH(GiftData[[#This Row],[Gift_Date]])&gt;=7, RIGHT(YEAR(GiftData[[#This Row],[Gift_Date]])+1, 2), RIGHT(YEAR(GiftData[[#This Row],[Gift_Date]]), 2))</f>
        <v>FY25</v>
      </c>
      <c r="K800">
        <f>IF(COUNTIFS(GiftData[Constituent_ID], GiftData[[#This Row],[Constituent_ID]], GiftData[Fiscal_Year], "FY24")&gt;0, 1, 0)</f>
        <v>1</v>
      </c>
      <c r="L800">
        <f>IF(COUNTIFS(GiftData[Constituent_ID], GiftData[[#This Row],[Constituent_ID]], GiftData[Fiscal_Year], "FY25")&gt;0, 1, 0)</f>
        <v>1</v>
      </c>
      <c r="M800">
        <f>IF(COUNTIFS(GiftData[Constituent_ID], GiftData[[#This Row],[Constituent_ID]], GiftData[Fiscal_Year], "FY26")&gt;0, 1, 0)</f>
        <v>1</v>
      </c>
      <c r="N800" t="str" cm="1">
        <f t="array" ref="N8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1" spans="1:14" x14ac:dyDescent="0.2">
      <c r="A801" t="s">
        <v>1160</v>
      </c>
      <c r="B801" t="s">
        <v>1161</v>
      </c>
      <c r="C801" t="s">
        <v>18</v>
      </c>
      <c r="D801" s="1">
        <v>45810</v>
      </c>
      <c r="E801">
        <v>373.55</v>
      </c>
      <c r="F801" t="s">
        <v>12</v>
      </c>
      <c r="G801" t="s">
        <v>13</v>
      </c>
      <c r="H801" t="s">
        <v>41</v>
      </c>
      <c r="I801" t="s">
        <v>15</v>
      </c>
      <c r="J801" t="str">
        <f>"FY" &amp; IF(MONTH(GiftData[[#This Row],[Gift_Date]])&gt;=7, RIGHT(YEAR(GiftData[[#This Row],[Gift_Date]])+1, 2), RIGHT(YEAR(GiftData[[#This Row],[Gift_Date]]), 2))</f>
        <v>FY25</v>
      </c>
      <c r="K801">
        <f>IF(COUNTIFS(GiftData[Constituent_ID], GiftData[[#This Row],[Constituent_ID]], GiftData[Fiscal_Year], "FY24")&gt;0, 1, 0)</f>
        <v>0</v>
      </c>
      <c r="L801">
        <f>IF(COUNTIFS(GiftData[Constituent_ID], GiftData[[#This Row],[Constituent_ID]], GiftData[Fiscal_Year], "FY25")&gt;0, 1, 0)</f>
        <v>1</v>
      </c>
      <c r="M801">
        <f>IF(COUNTIFS(GiftData[Constituent_ID], GiftData[[#This Row],[Constituent_ID]], GiftData[Fiscal_Year], "FY26")&gt;0, 1, 0)</f>
        <v>0</v>
      </c>
      <c r="N801" t="str" cm="1">
        <f t="array" ref="N8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02" spans="1:14" x14ac:dyDescent="0.2">
      <c r="A802" t="s">
        <v>1162</v>
      </c>
      <c r="B802" t="s">
        <v>1163</v>
      </c>
      <c r="C802" t="s">
        <v>11</v>
      </c>
      <c r="D802" s="1">
        <v>45126</v>
      </c>
      <c r="E802">
        <v>411.01</v>
      </c>
      <c r="F802" t="s">
        <v>12</v>
      </c>
      <c r="G802" t="s">
        <v>13</v>
      </c>
      <c r="H802" t="s">
        <v>41</v>
      </c>
      <c r="I802" t="s">
        <v>38</v>
      </c>
      <c r="J802" t="str">
        <f>"FY" &amp; IF(MONTH(GiftData[[#This Row],[Gift_Date]])&gt;=7, RIGHT(YEAR(GiftData[[#This Row],[Gift_Date]])+1, 2), RIGHT(YEAR(GiftData[[#This Row],[Gift_Date]]), 2))</f>
        <v>FY24</v>
      </c>
      <c r="K802">
        <f>IF(COUNTIFS(GiftData[Constituent_ID], GiftData[[#This Row],[Constituent_ID]], GiftData[Fiscal_Year], "FY24")&gt;0, 1, 0)</f>
        <v>1</v>
      </c>
      <c r="L802">
        <f>IF(COUNTIFS(GiftData[Constituent_ID], GiftData[[#This Row],[Constituent_ID]], GiftData[Fiscal_Year], "FY25")&gt;0, 1, 0)</f>
        <v>1</v>
      </c>
      <c r="M802">
        <f>IF(COUNTIFS(GiftData[Constituent_ID], GiftData[[#This Row],[Constituent_ID]], GiftData[Fiscal_Year], "FY26")&gt;0, 1, 0)</f>
        <v>1</v>
      </c>
      <c r="N802" t="str" cm="1">
        <f t="array" ref="N8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3" spans="1:14" x14ac:dyDescent="0.2">
      <c r="A803" t="s">
        <v>1164</v>
      </c>
      <c r="B803" t="s">
        <v>85</v>
      </c>
      <c r="C803" t="s">
        <v>11</v>
      </c>
      <c r="D803" s="1">
        <v>45130</v>
      </c>
      <c r="E803">
        <v>90.89</v>
      </c>
      <c r="F803" t="s">
        <v>12</v>
      </c>
      <c r="G803" t="s">
        <v>13</v>
      </c>
      <c r="H803" t="s">
        <v>20</v>
      </c>
      <c r="I803" t="s">
        <v>56</v>
      </c>
      <c r="J803" t="str">
        <f>"FY" &amp; IF(MONTH(GiftData[[#This Row],[Gift_Date]])&gt;=7, RIGHT(YEAR(GiftData[[#This Row],[Gift_Date]])+1, 2), RIGHT(YEAR(GiftData[[#This Row],[Gift_Date]]), 2))</f>
        <v>FY24</v>
      </c>
      <c r="K803">
        <f>IF(COUNTIFS(GiftData[Constituent_ID], GiftData[[#This Row],[Constituent_ID]], GiftData[Fiscal_Year], "FY24")&gt;0, 1, 0)</f>
        <v>1</v>
      </c>
      <c r="L803">
        <f>IF(COUNTIFS(GiftData[Constituent_ID], GiftData[[#This Row],[Constituent_ID]], GiftData[Fiscal_Year], "FY25")&gt;0, 1, 0)</f>
        <v>1</v>
      </c>
      <c r="M803">
        <f>IF(COUNTIFS(GiftData[Constituent_ID], GiftData[[#This Row],[Constituent_ID]], GiftData[Fiscal_Year], "FY26")&gt;0, 1, 0)</f>
        <v>1</v>
      </c>
      <c r="N803" t="str" cm="1">
        <f t="array" ref="N8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4" spans="1:14" x14ac:dyDescent="0.2">
      <c r="A804" t="s">
        <v>1165</v>
      </c>
      <c r="B804" t="s">
        <v>396</v>
      </c>
      <c r="C804" t="s">
        <v>48</v>
      </c>
      <c r="D804" s="1">
        <v>45520</v>
      </c>
      <c r="E804">
        <v>312.25</v>
      </c>
      <c r="F804" t="s">
        <v>12</v>
      </c>
      <c r="G804" t="s">
        <v>13</v>
      </c>
      <c r="H804" t="s">
        <v>20</v>
      </c>
      <c r="I804" t="s">
        <v>15</v>
      </c>
      <c r="J804" t="str">
        <f>"FY" &amp; IF(MONTH(GiftData[[#This Row],[Gift_Date]])&gt;=7, RIGHT(YEAR(GiftData[[#This Row],[Gift_Date]])+1, 2), RIGHT(YEAR(GiftData[[#This Row],[Gift_Date]]), 2))</f>
        <v>FY25</v>
      </c>
      <c r="K804">
        <f>IF(COUNTIFS(GiftData[Constituent_ID], GiftData[[#This Row],[Constituent_ID]], GiftData[Fiscal_Year], "FY24")&gt;0, 1, 0)</f>
        <v>1</v>
      </c>
      <c r="L804">
        <f>IF(COUNTIFS(GiftData[Constituent_ID], GiftData[[#This Row],[Constituent_ID]], GiftData[Fiscal_Year], "FY25")&gt;0, 1, 0)</f>
        <v>1</v>
      </c>
      <c r="M804">
        <f>IF(COUNTIFS(GiftData[Constituent_ID], GiftData[[#This Row],[Constituent_ID]], GiftData[Fiscal_Year], "FY26")&gt;0, 1, 0)</f>
        <v>0</v>
      </c>
      <c r="N804" t="str" cm="1">
        <f t="array" ref="N8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05" spans="1:14" x14ac:dyDescent="0.2">
      <c r="A805" t="s">
        <v>1166</v>
      </c>
      <c r="B805" t="s">
        <v>177</v>
      </c>
      <c r="C805" t="s">
        <v>18</v>
      </c>
      <c r="D805" s="1">
        <v>45215</v>
      </c>
      <c r="E805">
        <v>35.770000000000003</v>
      </c>
      <c r="F805" t="s">
        <v>25</v>
      </c>
      <c r="G805" t="s">
        <v>29</v>
      </c>
      <c r="H805" t="s">
        <v>41</v>
      </c>
      <c r="I805" t="s">
        <v>38</v>
      </c>
      <c r="J805" t="str">
        <f>"FY" &amp; IF(MONTH(GiftData[[#This Row],[Gift_Date]])&gt;=7, RIGHT(YEAR(GiftData[[#This Row],[Gift_Date]])+1, 2), RIGHT(YEAR(GiftData[[#This Row],[Gift_Date]]), 2))</f>
        <v>FY24</v>
      </c>
      <c r="K805">
        <f>IF(COUNTIFS(GiftData[Constituent_ID], GiftData[[#This Row],[Constituent_ID]], GiftData[Fiscal_Year], "FY24")&gt;0, 1, 0)</f>
        <v>1</v>
      </c>
      <c r="L805">
        <f>IF(COUNTIFS(GiftData[Constituent_ID], GiftData[[#This Row],[Constituent_ID]], GiftData[Fiscal_Year], "FY25")&gt;0, 1, 0)</f>
        <v>1</v>
      </c>
      <c r="M805">
        <f>IF(COUNTIFS(GiftData[Constituent_ID], GiftData[[#This Row],[Constituent_ID]], GiftData[Fiscal_Year], "FY26")&gt;0, 1, 0)</f>
        <v>1</v>
      </c>
      <c r="N805" t="str" cm="1">
        <f t="array" ref="N8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6" spans="1:14" x14ac:dyDescent="0.2">
      <c r="A806" t="s">
        <v>1167</v>
      </c>
      <c r="B806" t="s">
        <v>218</v>
      </c>
      <c r="C806" t="s">
        <v>11</v>
      </c>
      <c r="D806" s="1">
        <v>45243</v>
      </c>
      <c r="E806">
        <v>191.47</v>
      </c>
      <c r="F806" t="s">
        <v>25</v>
      </c>
      <c r="G806" t="s">
        <v>13</v>
      </c>
      <c r="H806" t="s">
        <v>164</v>
      </c>
      <c r="I806" t="s">
        <v>15</v>
      </c>
      <c r="J806" t="str">
        <f>"FY" &amp; IF(MONTH(GiftData[[#This Row],[Gift_Date]])&gt;=7, RIGHT(YEAR(GiftData[[#This Row],[Gift_Date]])+1, 2), RIGHT(YEAR(GiftData[[#This Row],[Gift_Date]]), 2))</f>
        <v>FY24</v>
      </c>
      <c r="K806">
        <f>IF(COUNTIFS(GiftData[Constituent_ID], GiftData[[#This Row],[Constituent_ID]], GiftData[Fiscal_Year], "FY24")&gt;0, 1, 0)</f>
        <v>1</v>
      </c>
      <c r="L806">
        <f>IF(COUNTIFS(GiftData[Constituent_ID], GiftData[[#This Row],[Constituent_ID]], GiftData[Fiscal_Year], "FY25")&gt;0, 1, 0)</f>
        <v>0</v>
      </c>
      <c r="M806">
        <f>IF(COUNTIFS(GiftData[Constituent_ID], GiftData[[#This Row],[Constituent_ID]], GiftData[Fiscal_Year], "FY26")&gt;0, 1, 0)</f>
        <v>1</v>
      </c>
      <c r="N806" t="str" cm="1">
        <f t="array" ref="N8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7" spans="1:14" x14ac:dyDescent="0.2">
      <c r="A807" t="s">
        <v>1168</v>
      </c>
      <c r="B807" t="s">
        <v>97</v>
      </c>
      <c r="C807" t="s">
        <v>28</v>
      </c>
      <c r="D807" s="1">
        <v>45469</v>
      </c>
      <c r="E807">
        <v>257.27</v>
      </c>
      <c r="F807" t="s">
        <v>12</v>
      </c>
      <c r="G807" t="s">
        <v>13</v>
      </c>
      <c r="H807" t="s">
        <v>164</v>
      </c>
      <c r="I807" t="s">
        <v>38</v>
      </c>
      <c r="J807" t="str">
        <f>"FY" &amp; IF(MONTH(GiftData[[#This Row],[Gift_Date]])&gt;=7, RIGHT(YEAR(GiftData[[#This Row],[Gift_Date]])+1, 2), RIGHT(YEAR(GiftData[[#This Row],[Gift_Date]]), 2))</f>
        <v>FY24</v>
      </c>
      <c r="K807">
        <f>IF(COUNTIFS(GiftData[Constituent_ID], GiftData[[#This Row],[Constituent_ID]], GiftData[Fiscal_Year], "FY24")&gt;0, 1, 0)</f>
        <v>1</v>
      </c>
      <c r="L807">
        <f>IF(COUNTIFS(GiftData[Constituent_ID], GiftData[[#This Row],[Constituent_ID]], GiftData[Fiscal_Year], "FY25")&gt;0, 1, 0)</f>
        <v>1</v>
      </c>
      <c r="M807">
        <f>IF(COUNTIFS(GiftData[Constituent_ID], GiftData[[#This Row],[Constituent_ID]], GiftData[Fiscal_Year], "FY26")&gt;0, 1, 0)</f>
        <v>1</v>
      </c>
      <c r="N807" t="str" cm="1">
        <f t="array" ref="N8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8" spans="1:14" x14ac:dyDescent="0.2">
      <c r="A808" t="s">
        <v>1169</v>
      </c>
      <c r="B808" t="s">
        <v>535</v>
      </c>
      <c r="C808" t="s">
        <v>48</v>
      </c>
      <c r="D808" s="1">
        <v>45236</v>
      </c>
      <c r="E808">
        <v>476.48</v>
      </c>
      <c r="F808" t="s">
        <v>12</v>
      </c>
      <c r="G808" t="s">
        <v>13</v>
      </c>
      <c r="H808" t="s">
        <v>20</v>
      </c>
      <c r="I808" t="s">
        <v>38</v>
      </c>
      <c r="J808" t="str">
        <f>"FY" &amp; IF(MONTH(GiftData[[#This Row],[Gift_Date]])&gt;=7, RIGHT(YEAR(GiftData[[#This Row],[Gift_Date]])+1, 2), RIGHT(YEAR(GiftData[[#This Row],[Gift_Date]]), 2))</f>
        <v>FY24</v>
      </c>
      <c r="K808">
        <f>IF(COUNTIFS(GiftData[Constituent_ID], GiftData[[#This Row],[Constituent_ID]], GiftData[Fiscal_Year], "FY24")&gt;0, 1, 0)</f>
        <v>1</v>
      </c>
      <c r="L808">
        <f>IF(COUNTIFS(GiftData[Constituent_ID], GiftData[[#This Row],[Constituent_ID]], GiftData[Fiscal_Year], "FY25")&gt;0, 1, 0)</f>
        <v>1</v>
      </c>
      <c r="M808">
        <f>IF(COUNTIFS(GiftData[Constituent_ID], GiftData[[#This Row],[Constituent_ID]], GiftData[Fiscal_Year], "FY26")&gt;0, 1, 0)</f>
        <v>1</v>
      </c>
      <c r="N808" t="str" cm="1">
        <f t="array" ref="N8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09" spans="1:14" x14ac:dyDescent="0.2">
      <c r="A809" t="s">
        <v>1170</v>
      </c>
      <c r="B809" t="s">
        <v>22</v>
      </c>
      <c r="C809" t="s">
        <v>28</v>
      </c>
      <c r="D809" s="1">
        <v>45622</v>
      </c>
      <c r="E809">
        <v>353.18</v>
      </c>
      <c r="F809" t="s">
        <v>12</v>
      </c>
      <c r="G809" t="s">
        <v>13</v>
      </c>
      <c r="H809" t="s">
        <v>20</v>
      </c>
      <c r="I809" t="s">
        <v>56</v>
      </c>
      <c r="J809" t="str">
        <f>"FY" &amp; IF(MONTH(GiftData[[#This Row],[Gift_Date]])&gt;=7, RIGHT(YEAR(GiftData[[#This Row],[Gift_Date]])+1, 2), RIGHT(YEAR(GiftData[[#This Row],[Gift_Date]]), 2))</f>
        <v>FY25</v>
      </c>
      <c r="K809">
        <f>IF(COUNTIFS(GiftData[Constituent_ID], GiftData[[#This Row],[Constituent_ID]], GiftData[Fiscal_Year], "FY24")&gt;0, 1, 0)</f>
        <v>1</v>
      </c>
      <c r="L809">
        <f>IF(COUNTIFS(GiftData[Constituent_ID], GiftData[[#This Row],[Constituent_ID]], GiftData[Fiscal_Year], "FY25")&gt;0, 1, 0)</f>
        <v>1</v>
      </c>
      <c r="M809">
        <f>IF(COUNTIFS(GiftData[Constituent_ID], GiftData[[#This Row],[Constituent_ID]], GiftData[Fiscal_Year], "FY26")&gt;0, 1, 0)</f>
        <v>1</v>
      </c>
      <c r="N809" t="str" cm="1">
        <f t="array" ref="N8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0" spans="1:14" x14ac:dyDescent="0.2">
      <c r="A810" t="s">
        <v>1171</v>
      </c>
      <c r="B810" t="s">
        <v>522</v>
      </c>
      <c r="C810" t="s">
        <v>35</v>
      </c>
      <c r="D810" s="1">
        <v>45556</v>
      </c>
      <c r="E810">
        <v>484.61</v>
      </c>
      <c r="F810" t="s">
        <v>59</v>
      </c>
      <c r="G810" t="s">
        <v>13</v>
      </c>
      <c r="H810" t="s">
        <v>20</v>
      </c>
      <c r="I810" t="s">
        <v>15</v>
      </c>
      <c r="J810" t="str">
        <f>"FY" &amp; IF(MONTH(GiftData[[#This Row],[Gift_Date]])&gt;=7, RIGHT(YEAR(GiftData[[#This Row],[Gift_Date]])+1, 2), RIGHT(YEAR(GiftData[[#This Row],[Gift_Date]]), 2))</f>
        <v>FY25</v>
      </c>
      <c r="K810">
        <f>IF(COUNTIFS(GiftData[Constituent_ID], GiftData[[#This Row],[Constituent_ID]], GiftData[Fiscal_Year], "FY24")&gt;0, 1, 0)</f>
        <v>1</v>
      </c>
      <c r="L810">
        <f>IF(COUNTIFS(GiftData[Constituent_ID], GiftData[[#This Row],[Constituent_ID]], GiftData[Fiscal_Year], "FY25")&gt;0, 1, 0)</f>
        <v>1</v>
      </c>
      <c r="M810">
        <f>IF(COUNTIFS(GiftData[Constituent_ID], GiftData[[#This Row],[Constituent_ID]], GiftData[Fiscal_Year], "FY26")&gt;0, 1, 0)</f>
        <v>1</v>
      </c>
      <c r="N810" t="str" cm="1">
        <f t="array" ref="N8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1" spans="1:14" x14ac:dyDescent="0.2">
      <c r="A811" t="s">
        <v>1172</v>
      </c>
      <c r="B811" t="s">
        <v>456</v>
      </c>
      <c r="C811" t="s">
        <v>18</v>
      </c>
      <c r="D811" s="1">
        <v>45981</v>
      </c>
      <c r="E811">
        <v>106.78</v>
      </c>
      <c r="F811" t="s">
        <v>59</v>
      </c>
      <c r="G811" t="s">
        <v>13</v>
      </c>
      <c r="H811" t="s">
        <v>51</v>
      </c>
      <c r="I811" t="s">
        <v>15</v>
      </c>
      <c r="J811" t="str">
        <f>"FY" &amp; IF(MONTH(GiftData[[#This Row],[Gift_Date]])&gt;=7, RIGHT(YEAR(GiftData[[#This Row],[Gift_Date]])+1, 2), RIGHT(YEAR(GiftData[[#This Row],[Gift_Date]]), 2))</f>
        <v>FY26</v>
      </c>
      <c r="K811">
        <f>IF(COUNTIFS(GiftData[Constituent_ID], GiftData[[#This Row],[Constituent_ID]], GiftData[Fiscal_Year], "FY24")&gt;0, 1, 0)</f>
        <v>1</v>
      </c>
      <c r="L811">
        <f>IF(COUNTIFS(GiftData[Constituent_ID], GiftData[[#This Row],[Constituent_ID]], GiftData[Fiscal_Year], "FY25")&gt;0, 1, 0)</f>
        <v>1</v>
      </c>
      <c r="M811">
        <f>IF(COUNTIFS(GiftData[Constituent_ID], GiftData[[#This Row],[Constituent_ID]], GiftData[Fiscal_Year], "FY26")&gt;0, 1, 0)</f>
        <v>1</v>
      </c>
      <c r="N811" t="str" cm="1">
        <f t="array" ref="N8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2" spans="1:14" x14ac:dyDescent="0.2">
      <c r="A812" t="s">
        <v>1173</v>
      </c>
      <c r="B812" t="s">
        <v>1174</v>
      </c>
      <c r="C812" t="s">
        <v>11</v>
      </c>
      <c r="D812" s="1">
        <v>45580</v>
      </c>
      <c r="E812">
        <v>77.56</v>
      </c>
      <c r="F812" t="s">
        <v>19</v>
      </c>
      <c r="G812" t="s">
        <v>13</v>
      </c>
      <c r="H812" t="s">
        <v>20</v>
      </c>
      <c r="I812" t="s">
        <v>15</v>
      </c>
      <c r="J812" t="str">
        <f>"FY" &amp; IF(MONTH(GiftData[[#This Row],[Gift_Date]])&gt;=7, RIGHT(YEAR(GiftData[[#This Row],[Gift_Date]])+1, 2), RIGHT(YEAR(GiftData[[#This Row],[Gift_Date]]), 2))</f>
        <v>FY25</v>
      </c>
      <c r="K812">
        <f>IF(COUNTIFS(GiftData[Constituent_ID], GiftData[[#This Row],[Constituent_ID]], GiftData[Fiscal_Year], "FY24")&gt;0, 1, 0)</f>
        <v>0</v>
      </c>
      <c r="L812">
        <f>IF(COUNTIFS(GiftData[Constituent_ID], GiftData[[#This Row],[Constituent_ID]], GiftData[Fiscal_Year], "FY25")&gt;0, 1, 0)</f>
        <v>1</v>
      </c>
      <c r="M812">
        <f>IF(COUNTIFS(GiftData[Constituent_ID], GiftData[[#This Row],[Constituent_ID]], GiftData[Fiscal_Year], "FY26")&gt;0, 1, 0)</f>
        <v>0</v>
      </c>
      <c r="N812" t="str" cm="1">
        <f t="array" ref="N8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13" spans="1:14" x14ac:dyDescent="0.2">
      <c r="A813" t="s">
        <v>1175</v>
      </c>
      <c r="B813" t="s">
        <v>287</v>
      </c>
      <c r="C813" t="s">
        <v>11</v>
      </c>
      <c r="D813" s="1">
        <v>46141</v>
      </c>
      <c r="E813">
        <v>85</v>
      </c>
      <c r="F813" t="s">
        <v>59</v>
      </c>
      <c r="G813" t="s">
        <v>13</v>
      </c>
      <c r="H813" t="s">
        <v>20</v>
      </c>
      <c r="I813" t="s">
        <v>30</v>
      </c>
      <c r="J813" t="str">
        <f>"FY" &amp; IF(MONTH(GiftData[[#This Row],[Gift_Date]])&gt;=7, RIGHT(YEAR(GiftData[[#This Row],[Gift_Date]])+1, 2), RIGHT(YEAR(GiftData[[#This Row],[Gift_Date]]), 2))</f>
        <v>FY26</v>
      </c>
      <c r="K813">
        <f>IF(COUNTIFS(GiftData[Constituent_ID], GiftData[[#This Row],[Constituent_ID]], GiftData[Fiscal_Year], "FY24")&gt;0, 1, 0)</f>
        <v>1</v>
      </c>
      <c r="L813">
        <f>IF(COUNTIFS(GiftData[Constituent_ID], GiftData[[#This Row],[Constituent_ID]], GiftData[Fiscal_Year], "FY25")&gt;0, 1, 0)</f>
        <v>1</v>
      </c>
      <c r="M813">
        <f>IF(COUNTIFS(GiftData[Constituent_ID], GiftData[[#This Row],[Constituent_ID]], GiftData[Fiscal_Year], "FY26")&gt;0, 1, 0)</f>
        <v>1</v>
      </c>
      <c r="N813" t="str" cm="1">
        <f t="array" ref="N8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4" spans="1:14" x14ac:dyDescent="0.2">
      <c r="A814" t="s">
        <v>1176</v>
      </c>
      <c r="B814" t="s">
        <v>710</v>
      </c>
      <c r="C814" t="s">
        <v>35</v>
      </c>
      <c r="D814" s="1">
        <v>45409</v>
      </c>
      <c r="E814">
        <v>171.77</v>
      </c>
      <c r="F814" t="s">
        <v>12</v>
      </c>
      <c r="G814" t="s">
        <v>13</v>
      </c>
      <c r="H814" t="s">
        <v>20</v>
      </c>
      <c r="I814" t="s">
        <v>38</v>
      </c>
      <c r="J814" t="str">
        <f>"FY" &amp; IF(MONTH(GiftData[[#This Row],[Gift_Date]])&gt;=7, RIGHT(YEAR(GiftData[[#This Row],[Gift_Date]])+1, 2), RIGHT(YEAR(GiftData[[#This Row],[Gift_Date]]), 2))</f>
        <v>FY24</v>
      </c>
      <c r="K814">
        <f>IF(COUNTIFS(GiftData[Constituent_ID], GiftData[[#This Row],[Constituent_ID]], GiftData[Fiscal_Year], "FY24")&gt;0, 1, 0)</f>
        <v>1</v>
      </c>
      <c r="L814">
        <f>IF(COUNTIFS(GiftData[Constituent_ID], GiftData[[#This Row],[Constituent_ID]], GiftData[Fiscal_Year], "FY25")&gt;0, 1, 0)</f>
        <v>0</v>
      </c>
      <c r="M814">
        <f>IF(COUNTIFS(GiftData[Constituent_ID], GiftData[[#This Row],[Constituent_ID]], GiftData[Fiscal_Year], "FY26")&gt;0, 1, 0)</f>
        <v>1</v>
      </c>
      <c r="N814" t="str" cm="1">
        <f t="array" ref="N8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5" spans="1:14" x14ac:dyDescent="0.2">
      <c r="A815" t="s">
        <v>1177</v>
      </c>
      <c r="B815" t="s">
        <v>124</v>
      </c>
      <c r="C815" t="s">
        <v>18</v>
      </c>
      <c r="D815" s="1">
        <v>45338</v>
      </c>
      <c r="E815">
        <v>15</v>
      </c>
      <c r="F815" t="s">
        <v>12</v>
      </c>
      <c r="G815" t="s">
        <v>13</v>
      </c>
      <c r="H815" t="s">
        <v>20</v>
      </c>
      <c r="I815" t="s">
        <v>38</v>
      </c>
      <c r="J815" t="str">
        <f>"FY" &amp; IF(MONTH(GiftData[[#This Row],[Gift_Date]])&gt;=7, RIGHT(YEAR(GiftData[[#This Row],[Gift_Date]])+1, 2), RIGHT(YEAR(GiftData[[#This Row],[Gift_Date]]), 2))</f>
        <v>FY24</v>
      </c>
      <c r="K815">
        <f>IF(COUNTIFS(GiftData[Constituent_ID], GiftData[[#This Row],[Constituent_ID]], GiftData[Fiscal_Year], "FY24")&gt;0, 1, 0)</f>
        <v>1</v>
      </c>
      <c r="L815">
        <f>IF(COUNTIFS(GiftData[Constituent_ID], GiftData[[#This Row],[Constituent_ID]], GiftData[Fiscal_Year], "FY25")&gt;0, 1, 0)</f>
        <v>0</v>
      </c>
      <c r="M815">
        <f>IF(COUNTIFS(GiftData[Constituent_ID], GiftData[[#This Row],[Constituent_ID]], GiftData[Fiscal_Year], "FY26")&gt;0, 1, 0)</f>
        <v>0</v>
      </c>
      <c r="N815" t="str" cm="1">
        <f t="array" ref="N8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816" spans="1:14" x14ac:dyDescent="0.2">
      <c r="A816" t="s">
        <v>1178</v>
      </c>
      <c r="B816" t="s">
        <v>562</v>
      </c>
      <c r="C816" t="s">
        <v>18</v>
      </c>
      <c r="D816" s="1">
        <v>46030</v>
      </c>
      <c r="E816">
        <v>686.28</v>
      </c>
      <c r="F816" t="s">
        <v>12</v>
      </c>
      <c r="G816" t="s">
        <v>13</v>
      </c>
      <c r="H816" t="s">
        <v>164</v>
      </c>
      <c r="I816" t="s">
        <v>15</v>
      </c>
      <c r="J816" t="str">
        <f>"FY" &amp; IF(MONTH(GiftData[[#This Row],[Gift_Date]])&gt;=7, RIGHT(YEAR(GiftData[[#This Row],[Gift_Date]])+1, 2), RIGHT(YEAR(GiftData[[#This Row],[Gift_Date]]), 2))</f>
        <v>FY26</v>
      </c>
      <c r="K816">
        <f>IF(COUNTIFS(GiftData[Constituent_ID], GiftData[[#This Row],[Constituent_ID]], GiftData[Fiscal_Year], "FY24")&gt;0, 1, 0)</f>
        <v>1</v>
      </c>
      <c r="L816">
        <f>IF(COUNTIFS(GiftData[Constituent_ID], GiftData[[#This Row],[Constituent_ID]], GiftData[Fiscal_Year], "FY25")&gt;0, 1, 0)</f>
        <v>0</v>
      </c>
      <c r="M816">
        <f>IF(COUNTIFS(GiftData[Constituent_ID], GiftData[[#This Row],[Constituent_ID]], GiftData[Fiscal_Year], "FY26")&gt;0, 1, 0)</f>
        <v>1</v>
      </c>
      <c r="N816" t="str" cm="1">
        <f t="array" ref="N8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7" spans="1:14" x14ac:dyDescent="0.2">
      <c r="A817" t="s">
        <v>1179</v>
      </c>
      <c r="B817" t="s">
        <v>600</v>
      </c>
      <c r="C817" t="s">
        <v>11</v>
      </c>
      <c r="D817" s="1">
        <v>46044</v>
      </c>
      <c r="E817">
        <v>128.63999999999999</v>
      </c>
      <c r="F817" t="s">
        <v>59</v>
      </c>
      <c r="G817" t="s">
        <v>29</v>
      </c>
      <c r="H817" t="s">
        <v>14</v>
      </c>
      <c r="I817" t="s">
        <v>56</v>
      </c>
      <c r="J817" t="str">
        <f>"FY" &amp; IF(MONTH(GiftData[[#This Row],[Gift_Date]])&gt;=7, RIGHT(YEAR(GiftData[[#This Row],[Gift_Date]])+1, 2), RIGHT(YEAR(GiftData[[#This Row],[Gift_Date]]), 2))</f>
        <v>FY26</v>
      </c>
      <c r="K817">
        <f>IF(COUNTIFS(GiftData[Constituent_ID], GiftData[[#This Row],[Constituent_ID]], GiftData[Fiscal_Year], "FY24")&gt;0, 1, 0)</f>
        <v>0</v>
      </c>
      <c r="L817">
        <f>IF(COUNTIFS(GiftData[Constituent_ID], GiftData[[#This Row],[Constituent_ID]], GiftData[Fiscal_Year], "FY25")&gt;0, 1, 0)</f>
        <v>1</v>
      </c>
      <c r="M817">
        <f>IF(COUNTIFS(GiftData[Constituent_ID], GiftData[[#This Row],[Constituent_ID]], GiftData[Fiscal_Year], "FY26")&gt;0, 1, 0)</f>
        <v>1</v>
      </c>
      <c r="N817" t="str" cm="1">
        <f t="array" ref="N8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8" spans="1:14" x14ac:dyDescent="0.2">
      <c r="A818" t="s">
        <v>1180</v>
      </c>
      <c r="B818" t="s">
        <v>699</v>
      </c>
      <c r="C818" t="s">
        <v>18</v>
      </c>
      <c r="D818" s="1">
        <v>45219</v>
      </c>
      <c r="E818">
        <v>70.849999999999994</v>
      </c>
      <c r="F818" t="s">
        <v>12</v>
      </c>
      <c r="G818" t="s">
        <v>13</v>
      </c>
      <c r="H818" t="s">
        <v>20</v>
      </c>
      <c r="I818" t="s">
        <v>56</v>
      </c>
      <c r="J818" t="str">
        <f>"FY" &amp; IF(MONTH(GiftData[[#This Row],[Gift_Date]])&gt;=7, RIGHT(YEAR(GiftData[[#This Row],[Gift_Date]])+1, 2), RIGHT(YEAR(GiftData[[#This Row],[Gift_Date]]), 2))</f>
        <v>FY24</v>
      </c>
      <c r="K818">
        <f>IF(COUNTIFS(GiftData[Constituent_ID], GiftData[[#This Row],[Constituent_ID]], GiftData[Fiscal_Year], "FY24")&gt;0, 1, 0)</f>
        <v>1</v>
      </c>
      <c r="L818">
        <f>IF(COUNTIFS(GiftData[Constituent_ID], GiftData[[#This Row],[Constituent_ID]], GiftData[Fiscal_Year], "FY25")&gt;0, 1, 0)</f>
        <v>1</v>
      </c>
      <c r="M818">
        <f>IF(COUNTIFS(GiftData[Constituent_ID], GiftData[[#This Row],[Constituent_ID]], GiftData[Fiscal_Year], "FY26")&gt;0, 1, 0)</f>
        <v>1</v>
      </c>
      <c r="N818" t="str" cm="1">
        <f t="array" ref="N8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19" spans="1:14" x14ac:dyDescent="0.2">
      <c r="A819" t="s">
        <v>1181</v>
      </c>
      <c r="B819" t="s">
        <v>310</v>
      </c>
      <c r="C819" t="s">
        <v>18</v>
      </c>
      <c r="D819" s="1">
        <v>46144</v>
      </c>
      <c r="E819">
        <v>15</v>
      </c>
      <c r="F819" t="s">
        <v>12</v>
      </c>
      <c r="G819" t="s">
        <v>13</v>
      </c>
      <c r="H819" t="s">
        <v>20</v>
      </c>
      <c r="I819" t="s">
        <v>38</v>
      </c>
      <c r="J819" t="str">
        <f>"FY" &amp; IF(MONTH(GiftData[[#This Row],[Gift_Date]])&gt;=7, RIGHT(YEAR(GiftData[[#This Row],[Gift_Date]])+1, 2), RIGHT(YEAR(GiftData[[#This Row],[Gift_Date]]), 2))</f>
        <v>FY26</v>
      </c>
      <c r="K819">
        <f>IF(COUNTIFS(GiftData[Constituent_ID], GiftData[[#This Row],[Constituent_ID]], GiftData[Fiscal_Year], "FY24")&gt;0, 1, 0)</f>
        <v>1</v>
      </c>
      <c r="L819">
        <f>IF(COUNTIFS(GiftData[Constituent_ID], GiftData[[#This Row],[Constituent_ID]], GiftData[Fiscal_Year], "FY25")&gt;0, 1, 0)</f>
        <v>1</v>
      </c>
      <c r="M819">
        <f>IF(COUNTIFS(GiftData[Constituent_ID], GiftData[[#This Row],[Constituent_ID]], GiftData[Fiscal_Year], "FY26")&gt;0, 1, 0)</f>
        <v>1</v>
      </c>
      <c r="N819" t="str" cm="1">
        <f t="array" ref="N8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0" spans="1:14" x14ac:dyDescent="0.2">
      <c r="A820" t="s">
        <v>1182</v>
      </c>
      <c r="B820" t="s">
        <v>500</v>
      </c>
      <c r="C820" t="s">
        <v>48</v>
      </c>
      <c r="D820" s="1">
        <v>45607</v>
      </c>
      <c r="E820">
        <v>115.83</v>
      </c>
      <c r="F820" t="s">
        <v>59</v>
      </c>
      <c r="G820" t="s">
        <v>13</v>
      </c>
      <c r="H820" t="s">
        <v>20</v>
      </c>
      <c r="I820" t="s">
        <v>15</v>
      </c>
      <c r="J820" t="str">
        <f>"FY" &amp; IF(MONTH(GiftData[[#This Row],[Gift_Date]])&gt;=7, RIGHT(YEAR(GiftData[[#This Row],[Gift_Date]])+1, 2), RIGHT(YEAR(GiftData[[#This Row],[Gift_Date]]), 2))</f>
        <v>FY25</v>
      </c>
      <c r="K820">
        <f>IF(COUNTIFS(GiftData[Constituent_ID], GiftData[[#This Row],[Constituent_ID]], GiftData[Fiscal_Year], "FY24")&gt;0, 1, 0)</f>
        <v>1</v>
      </c>
      <c r="L820">
        <f>IF(COUNTIFS(GiftData[Constituent_ID], GiftData[[#This Row],[Constituent_ID]], GiftData[Fiscal_Year], "FY25")&gt;0, 1, 0)</f>
        <v>1</v>
      </c>
      <c r="M820">
        <f>IF(COUNTIFS(GiftData[Constituent_ID], GiftData[[#This Row],[Constituent_ID]], GiftData[Fiscal_Year], "FY26")&gt;0, 1, 0)</f>
        <v>1</v>
      </c>
      <c r="N820" t="str" cm="1">
        <f t="array" ref="N8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1" spans="1:14" x14ac:dyDescent="0.2">
      <c r="A821" t="s">
        <v>1183</v>
      </c>
      <c r="B821" t="s">
        <v>109</v>
      </c>
      <c r="C821" t="s">
        <v>11</v>
      </c>
      <c r="D821" s="1">
        <v>46039</v>
      </c>
      <c r="E821">
        <v>93.88</v>
      </c>
      <c r="F821" t="s">
        <v>12</v>
      </c>
      <c r="G821" t="s">
        <v>29</v>
      </c>
      <c r="H821" t="s">
        <v>20</v>
      </c>
      <c r="I821" t="s">
        <v>15</v>
      </c>
      <c r="J821" t="str">
        <f>"FY" &amp; IF(MONTH(GiftData[[#This Row],[Gift_Date]])&gt;=7, RIGHT(YEAR(GiftData[[#This Row],[Gift_Date]])+1, 2), RIGHT(YEAR(GiftData[[#This Row],[Gift_Date]]), 2))</f>
        <v>FY26</v>
      </c>
      <c r="K821">
        <f>IF(COUNTIFS(GiftData[Constituent_ID], GiftData[[#This Row],[Constituent_ID]], GiftData[Fiscal_Year], "FY24")&gt;0, 1, 0)</f>
        <v>1</v>
      </c>
      <c r="L821">
        <f>IF(COUNTIFS(GiftData[Constituent_ID], GiftData[[#This Row],[Constituent_ID]], GiftData[Fiscal_Year], "FY25")&gt;0, 1, 0)</f>
        <v>1</v>
      </c>
      <c r="M821">
        <f>IF(COUNTIFS(GiftData[Constituent_ID], GiftData[[#This Row],[Constituent_ID]], GiftData[Fiscal_Year], "FY26")&gt;0, 1, 0)</f>
        <v>1</v>
      </c>
      <c r="N821" t="str" cm="1">
        <f t="array" ref="N8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2" spans="1:14" x14ac:dyDescent="0.2">
      <c r="A822" t="s">
        <v>1184</v>
      </c>
      <c r="B822" t="s">
        <v>1093</v>
      </c>
      <c r="C822" t="s">
        <v>28</v>
      </c>
      <c r="D822" s="1">
        <v>45705</v>
      </c>
      <c r="E822">
        <v>37.86</v>
      </c>
      <c r="F822" t="s">
        <v>12</v>
      </c>
      <c r="G822" t="s">
        <v>13</v>
      </c>
      <c r="H822" t="s">
        <v>20</v>
      </c>
      <c r="I822" t="s">
        <v>38</v>
      </c>
      <c r="J822" t="str">
        <f>"FY" &amp; IF(MONTH(GiftData[[#This Row],[Gift_Date]])&gt;=7, RIGHT(YEAR(GiftData[[#This Row],[Gift_Date]])+1, 2), RIGHT(YEAR(GiftData[[#This Row],[Gift_Date]]), 2))</f>
        <v>FY25</v>
      </c>
      <c r="K822">
        <f>IF(COUNTIFS(GiftData[Constituent_ID], GiftData[[#This Row],[Constituent_ID]], GiftData[Fiscal_Year], "FY24")&gt;0, 1, 0)</f>
        <v>0</v>
      </c>
      <c r="L822">
        <f>IF(COUNTIFS(GiftData[Constituent_ID], GiftData[[#This Row],[Constituent_ID]], GiftData[Fiscal_Year], "FY25")&gt;0, 1, 0)</f>
        <v>1</v>
      </c>
      <c r="M822">
        <f>IF(COUNTIFS(GiftData[Constituent_ID], GiftData[[#This Row],[Constituent_ID]], GiftData[Fiscal_Year], "FY26")&gt;0, 1, 0)</f>
        <v>0</v>
      </c>
      <c r="N822" t="str" cm="1">
        <f t="array" ref="N8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23" spans="1:14" x14ac:dyDescent="0.2">
      <c r="A823" t="s">
        <v>1185</v>
      </c>
      <c r="B823" t="s">
        <v>1186</v>
      </c>
      <c r="C823" t="s">
        <v>28</v>
      </c>
      <c r="D823" s="1">
        <v>45341</v>
      </c>
      <c r="E823">
        <v>50.66</v>
      </c>
      <c r="F823" t="s">
        <v>25</v>
      </c>
      <c r="G823" t="s">
        <v>13</v>
      </c>
      <c r="H823" t="s">
        <v>41</v>
      </c>
      <c r="I823" t="s">
        <v>38</v>
      </c>
      <c r="J823" t="str">
        <f>"FY" &amp; IF(MONTH(GiftData[[#This Row],[Gift_Date]])&gt;=7, RIGHT(YEAR(GiftData[[#This Row],[Gift_Date]])+1, 2), RIGHT(YEAR(GiftData[[#This Row],[Gift_Date]]), 2))</f>
        <v>FY24</v>
      </c>
      <c r="K823">
        <f>IF(COUNTIFS(GiftData[Constituent_ID], GiftData[[#This Row],[Constituent_ID]], GiftData[Fiscal_Year], "FY24")&gt;0, 1, 0)</f>
        <v>1</v>
      </c>
      <c r="L823">
        <f>IF(COUNTIFS(GiftData[Constituent_ID], GiftData[[#This Row],[Constituent_ID]], GiftData[Fiscal_Year], "FY25")&gt;0, 1, 0)</f>
        <v>1</v>
      </c>
      <c r="M823">
        <f>IF(COUNTIFS(GiftData[Constituent_ID], GiftData[[#This Row],[Constituent_ID]], GiftData[Fiscal_Year], "FY26")&gt;0, 1, 0)</f>
        <v>1</v>
      </c>
      <c r="N823" t="str" cm="1">
        <f t="array" ref="N8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4" spans="1:14" x14ac:dyDescent="0.2">
      <c r="A824" t="s">
        <v>1187</v>
      </c>
      <c r="B824" t="s">
        <v>1188</v>
      </c>
      <c r="C824" t="s">
        <v>11</v>
      </c>
      <c r="D824" s="1">
        <v>45709</v>
      </c>
      <c r="E824">
        <v>117.37</v>
      </c>
      <c r="F824" t="s">
        <v>12</v>
      </c>
      <c r="G824" t="s">
        <v>13</v>
      </c>
      <c r="H824" t="s">
        <v>20</v>
      </c>
      <c r="I824" t="s">
        <v>15</v>
      </c>
      <c r="J824" t="str">
        <f>"FY" &amp; IF(MONTH(GiftData[[#This Row],[Gift_Date]])&gt;=7, RIGHT(YEAR(GiftData[[#This Row],[Gift_Date]])+1, 2), RIGHT(YEAR(GiftData[[#This Row],[Gift_Date]]), 2))</f>
        <v>FY25</v>
      </c>
      <c r="K824">
        <f>IF(COUNTIFS(GiftData[Constituent_ID], GiftData[[#This Row],[Constituent_ID]], GiftData[Fiscal_Year], "FY24")&gt;0, 1, 0)</f>
        <v>0</v>
      </c>
      <c r="L824">
        <f>IF(COUNTIFS(GiftData[Constituent_ID], GiftData[[#This Row],[Constituent_ID]], GiftData[Fiscal_Year], "FY25")&gt;0, 1, 0)</f>
        <v>1</v>
      </c>
      <c r="M824">
        <f>IF(COUNTIFS(GiftData[Constituent_ID], GiftData[[#This Row],[Constituent_ID]], GiftData[Fiscal_Year], "FY26")&gt;0, 1, 0)</f>
        <v>0</v>
      </c>
      <c r="N824" t="str" cm="1">
        <f t="array" ref="N8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25" spans="1:14" x14ac:dyDescent="0.2">
      <c r="A825" t="s">
        <v>1189</v>
      </c>
      <c r="B825" t="s">
        <v>535</v>
      </c>
      <c r="C825" t="s">
        <v>18</v>
      </c>
      <c r="D825" s="1">
        <v>45421</v>
      </c>
      <c r="E825">
        <v>56.56</v>
      </c>
      <c r="F825" t="s">
        <v>12</v>
      </c>
      <c r="G825" t="s">
        <v>13</v>
      </c>
      <c r="H825" t="s">
        <v>20</v>
      </c>
      <c r="I825" t="s">
        <v>38</v>
      </c>
      <c r="J825" t="str">
        <f>"FY" &amp; IF(MONTH(GiftData[[#This Row],[Gift_Date]])&gt;=7, RIGHT(YEAR(GiftData[[#This Row],[Gift_Date]])+1, 2), RIGHT(YEAR(GiftData[[#This Row],[Gift_Date]]), 2))</f>
        <v>FY24</v>
      </c>
      <c r="K825">
        <f>IF(COUNTIFS(GiftData[Constituent_ID], GiftData[[#This Row],[Constituent_ID]], GiftData[Fiscal_Year], "FY24")&gt;0, 1, 0)</f>
        <v>1</v>
      </c>
      <c r="L825">
        <f>IF(COUNTIFS(GiftData[Constituent_ID], GiftData[[#This Row],[Constituent_ID]], GiftData[Fiscal_Year], "FY25")&gt;0, 1, 0)</f>
        <v>1</v>
      </c>
      <c r="M825">
        <f>IF(COUNTIFS(GiftData[Constituent_ID], GiftData[[#This Row],[Constituent_ID]], GiftData[Fiscal_Year], "FY26")&gt;0, 1, 0)</f>
        <v>1</v>
      </c>
      <c r="N825" t="str" cm="1">
        <f t="array" ref="N8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6" spans="1:14" x14ac:dyDescent="0.2">
      <c r="A826" t="s">
        <v>1190</v>
      </c>
      <c r="B826" t="s">
        <v>1191</v>
      </c>
      <c r="C826" t="s">
        <v>18</v>
      </c>
      <c r="D826" s="1">
        <v>45673</v>
      </c>
      <c r="E826">
        <v>255.56</v>
      </c>
      <c r="F826" t="s">
        <v>25</v>
      </c>
      <c r="G826" t="s">
        <v>29</v>
      </c>
      <c r="H826" t="s">
        <v>14</v>
      </c>
      <c r="I826" t="s">
        <v>15</v>
      </c>
      <c r="J826" t="str">
        <f>"FY" &amp; IF(MONTH(GiftData[[#This Row],[Gift_Date]])&gt;=7, RIGHT(YEAR(GiftData[[#This Row],[Gift_Date]])+1, 2), RIGHT(YEAR(GiftData[[#This Row],[Gift_Date]]), 2))</f>
        <v>FY25</v>
      </c>
      <c r="K826">
        <f>IF(COUNTIFS(GiftData[Constituent_ID], GiftData[[#This Row],[Constituent_ID]], GiftData[Fiscal_Year], "FY24")&gt;0, 1, 0)</f>
        <v>1</v>
      </c>
      <c r="L826">
        <f>IF(COUNTIFS(GiftData[Constituent_ID], GiftData[[#This Row],[Constituent_ID]], GiftData[Fiscal_Year], "FY25")&gt;0, 1, 0)</f>
        <v>1</v>
      </c>
      <c r="M826">
        <f>IF(COUNTIFS(GiftData[Constituent_ID], GiftData[[#This Row],[Constituent_ID]], GiftData[Fiscal_Year], "FY26")&gt;0, 1, 0)</f>
        <v>0</v>
      </c>
      <c r="N826" t="str" cm="1">
        <f t="array" ref="N8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27" spans="1:14" x14ac:dyDescent="0.2">
      <c r="A827" t="s">
        <v>1192</v>
      </c>
      <c r="B827" t="s">
        <v>524</v>
      </c>
      <c r="C827" t="s">
        <v>11</v>
      </c>
      <c r="D827" s="1">
        <v>46143</v>
      </c>
      <c r="E827">
        <v>45.91</v>
      </c>
      <c r="F827" t="s">
        <v>25</v>
      </c>
      <c r="G827" t="s">
        <v>13</v>
      </c>
      <c r="H827" t="s">
        <v>41</v>
      </c>
      <c r="I827" t="s">
        <v>38</v>
      </c>
      <c r="J827" t="str">
        <f>"FY" &amp; IF(MONTH(GiftData[[#This Row],[Gift_Date]])&gt;=7, RIGHT(YEAR(GiftData[[#This Row],[Gift_Date]])+1, 2), RIGHT(YEAR(GiftData[[#This Row],[Gift_Date]]), 2))</f>
        <v>FY26</v>
      </c>
      <c r="K827">
        <f>IF(COUNTIFS(GiftData[Constituent_ID], GiftData[[#This Row],[Constituent_ID]], GiftData[Fiscal_Year], "FY24")&gt;0, 1, 0)</f>
        <v>1</v>
      </c>
      <c r="L827">
        <f>IF(COUNTIFS(GiftData[Constituent_ID], GiftData[[#This Row],[Constituent_ID]], GiftData[Fiscal_Year], "FY25")&gt;0, 1, 0)</f>
        <v>0</v>
      </c>
      <c r="M827">
        <f>IF(COUNTIFS(GiftData[Constituent_ID], GiftData[[#This Row],[Constituent_ID]], GiftData[Fiscal_Year], "FY26")&gt;0, 1, 0)</f>
        <v>1</v>
      </c>
      <c r="N827" t="str" cm="1">
        <f t="array" ref="N8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8" spans="1:14" x14ac:dyDescent="0.2">
      <c r="A828" t="s">
        <v>1193</v>
      </c>
      <c r="B828" t="s">
        <v>548</v>
      </c>
      <c r="C828" t="s">
        <v>28</v>
      </c>
      <c r="D828" s="1">
        <v>45316</v>
      </c>
      <c r="E828">
        <v>148.56</v>
      </c>
      <c r="F828" t="s">
        <v>19</v>
      </c>
      <c r="G828" t="s">
        <v>13</v>
      </c>
      <c r="H828" t="s">
        <v>14</v>
      </c>
      <c r="I828" t="s">
        <v>15</v>
      </c>
      <c r="J828" t="str">
        <f>"FY" &amp; IF(MONTH(GiftData[[#This Row],[Gift_Date]])&gt;=7, RIGHT(YEAR(GiftData[[#This Row],[Gift_Date]])+1, 2), RIGHT(YEAR(GiftData[[#This Row],[Gift_Date]]), 2))</f>
        <v>FY24</v>
      </c>
      <c r="K828">
        <f>IF(COUNTIFS(GiftData[Constituent_ID], GiftData[[#This Row],[Constituent_ID]], GiftData[Fiscal_Year], "FY24")&gt;0, 1, 0)</f>
        <v>1</v>
      </c>
      <c r="L828">
        <f>IF(COUNTIFS(GiftData[Constituent_ID], GiftData[[#This Row],[Constituent_ID]], GiftData[Fiscal_Year], "FY25")&gt;0, 1, 0)</f>
        <v>0</v>
      </c>
      <c r="M828">
        <f>IF(COUNTIFS(GiftData[Constituent_ID], GiftData[[#This Row],[Constituent_ID]], GiftData[Fiscal_Year], "FY26")&gt;0, 1, 0)</f>
        <v>1</v>
      </c>
      <c r="N828" t="str" cm="1">
        <f t="array" ref="N8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29" spans="1:14" x14ac:dyDescent="0.2">
      <c r="A829" t="s">
        <v>1194</v>
      </c>
      <c r="B829" t="s">
        <v>63</v>
      </c>
      <c r="C829" t="s">
        <v>11</v>
      </c>
      <c r="D829" s="1">
        <v>46145</v>
      </c>
      <c r="E829">
        <v>563.44000000000005</v>
      </c>
      <c r="F829" t="s">
        <v>12</v>
      </c>
      <c r="G829" t="s">
        <v>13</v>
      </c>
      <c r="H829" t="s">
        <v>41</v>
      </c>
      <c r="I829" t="s">
        <v>15</v>
      </c>
      <c r="J829" t="str">
        <f>"FY" &amp; IF(MONTH(GiftData[[#This Row],[Gift_Date]])&gt;=7, RIGHT(YEAR(GiftData[[#This Row],[Gift_Date]])+1, 2), RIGHT(YEAR(GiftData[[#This Row],[Gift_Date]]), 2))</f>
        <v>FY26</v>
      </c>
      <c r="K829">
        <f>IF(COUNTIFS(GiftData[Constituent_ID], GiftData[[#This Row],[Constituent_ID]], GiftData[Fiscal_Year], "FY24")&gt;0, 1, 0)</f>
        <v>0</v>
      </c>
      <c r="L829">
        <f>IF(COUNTIFS(GiftData[Constituent_ID], GiftData[[#This Row],[Constituent_ID]], GiftData[Fiscal_Year], "FY25")&gt;0, 1, 0)</f>
        <v>1</v>
      </c>
      <c r="M829">
        <f>IF(COUNTIFS(GiftData[Constituent_ID], GiftData[[#This Row],[Constituent_ID]], GiftData[Fiscal_Year], "FY26")&gt;0, 1, 0)</f>
        <v>1</v>
      </c>
      <c r="N829" t="str" cm="1">
        <f t="array" ref="N8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0" spans="1:14" x14ac:dyDescent="0.2">
      <c r="A830" t="s">
        <v>1195</v>
      </c>
      <c r="B830" t="s">
        <v>1196</v>
      </c>
      <c r="C830" t="s">
        <v>18</v>
      </c>
      <c r="D830" s="1">
        <v>46151</v>
      </c>
      <c r="E830">
        <v>115.86</v>
      </c>
      <c r="F830" t="s">
        <v>12</v>
      </c>
      <c r="G830" t="s">
        <v>29</v>
      </c>
      <c r="H830" t="s">
        <v>14</v>
      </c>
      <c r="I830" t="s">
        <v>15</v>
      </c>
      <c r="J830" t="str">
        <f>"FY" &amp; IF(MONTH(GiftData[[#This Row],[Gift_Date]])&gt;=7, RIGHT(YEAR(GiftData[[#This Row],[Gift_Date]])+1, 2), RIGHT(YEAR(GiftData[[#This Row],[Gift_Date]]), 2))</f>
        <v>FY26</v>
      </c>
      <c r="K830">
        <f>IF(COUNTIFS(GiftData[Constituent_ID], GiftData[[#This Row],[Constituent_ID]], GiftData[Fiscal_Year], "FY24")&gt;0, 1, 0)</f>
        <v>0</v>
      </c>
      <c r="L830">
        <f>IF(COUNTIFS(GiftData[Constituent_ID], GiftData[[#This Row],[Constituent_ID]], GiftData[Fiscal_Year], "FY25")&gt;0, 1, 0)</f>
        <v>1</v>
      </c>
      <c r="M830">
        <f>IF(COUNTIFS(GiftData[Constituent_ID], GiftData[[#This Row],[Constituent_ID]], GiftData[Fiscal_Year], "FY26")&gt;0, 1, 0)</f>
        <v>1</v>
      </c>
      <c r="N830" t="str" cm="1">
        <f t="array" ref="N8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1" spans="1:14" x14ac:dyDescent="0.2">
      <c r="A831" t="s">
        <v>1197</v>
      </c>
      <c r="B831" t="s">
        <v>1093</v>
      </c>
      <c r="C831" t="s">
        <v>11</v>
      </c>
      <c r="D831" s="1">
        <v>45694</v>
      </c>
      <c r="E831">
        <v>193.02</v>
      </c>
      <c r="F831" t="s">
        <v>25</v>
      </c>
      <c r="G831" t="s">
        <v>13</v>
      </c>
      <c r="H831" t="s">
        <v>41</v>
      </c>
      <c r="I831" t="s">
        <v>15</v>
      </c>
      <c r="J831" t="str">
        <f>"FY" &amp; IF(MONTH(GiftData[[#This Row],[Gift_Date]])&gt;=7, RIGHT(YEAR(GiftData[[#This Row],[Gift_Date]])+1, 2), RIGHT(YEAR(GiftData[[#This Row],[Gift_Date]]), 2))</f>
        <v>FY25</v>
      </c>
      <c r="K831">
        <f>IF(COUNTIFS(GiftData[Constituent_ID], GiftData[[#This Row],[Constituent_ID]], GiftData[Fiscal_Year], "FY24")&gt;0, 1, 0)</f>
        <v>0</v>
      </c>
      <c r="L831">
        <f>IF(COUNTIFS(GiftData[Constituent_ID], GiftData[[#This Row],[Constituent_ID]], GiftData[Fiscal_Year], "FY25")&gt;0, 1, 0)</f>
        <v>1</v>
      </c>
      <c r="M831">
        <f>IF(COUNTIFS(GiftData[Constituent_ID], GiftData[[#This Row],[Constituent_ID]], GiftData[Fiscal_Year], "FY26")&gt;0, 1, 0)</f>
        <v>0</v>
      </c>
      <c r="N831" t="str" cm="1">
        <f t="array" ref="N8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32" spans="1:14" x14ac:dyDescent="0.2">
      <c r="A832" t="s">
        <v>1198</v>
      </c>
      <c r="B832" t="s">
        <v>535</v>
      </c>
      <c r="C832" t="s">
        <v>48</v>
      </c>
      <c r="D832" s="1">
        <v>46122</v>
      </c>
      <c r="E832">
        <v>177.76</v>
      </c>
      <c r="F832" t="s">
        <v>12</v>
      </c>
      <c r="G832" t="s">
        <v>13</v>
      </c>
      <c r="H832" t="s">
        <v>20</v>
      </c>
      <c r="I832" t="s">
        <v>15</v>
      </c>
      <c r="J832" t="str">
        <f>"FY" &amp; IF(MONTH(GiftData[[#This Row],[Gift_Date]])&gt;=7, RIGHT(YEAR(GiftData[[#This Row],[Gift_Date]])+1, 2), RIGHT(YEAR(GiftData[[#This Row],[Gift_Date]]), 2))</f>
        <v>FY26</v>
      </c>
      <c r="K832">
        <f>IF(COUNTIFS(GiftData[Constituent_ID], GiftData[[#This Row],[Constituent_ID]], GiftData[Fiscal_Year], "FY24")&gt;0, 1, 0)</f>
        <v>1</v>
      </c>
      <c r="L832">
        <f>IF(COUNTIFS(GiftData[Constituent_ID], GiftData[[#This Row],[Constituent_ID]], GiftData[Fiscal_Year], "FY25")&gt;0, 1, 0)</f>
        <v>1</v>
      </c>
      <c r="M832">
        <f>IF(COUNTIFS(GiftData[Constituent_ID], GiftData[[#This Row],[Constituent_ID]], GiftData[Fiscal_Year], "FY26")&gt;0, 1, 0)</f>
        <v>1</v>
      </c>
      <c r="N832" t="str" cm="1">
        <f t="array" ref="N8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3" spans="1:14" x14ac:dyDescent="0.2">
      <c r="A833" t="s">
        <v>1199</v>
      </c>
      <c r="B833" t="s">
        <v>58</v>
      </c>
      <c r="C833" t="s">
        <v>35</v>
      </c>
      <c r="D833" s="1">
        <v>45805</v>
      </c>
      <c r="E833">
        <v>122.78</v>
      </c>
      <c r="F833" t="s">
        <v>12</v>
      </c>
      <c r="G833" t="s">
        <v>13</v>
      </c>
      <c r="H833" t="s">
        <v>164</v>
      </c>
      <c r="I833" t="s">
        <v>56</v>
      </c>
      <c r="J833" t="str">
        <f>"FY" &amp; IF(MONTH(GiftData[[#This Row],[Gift_Date]])&gt;=7, RIGHT(YEAR(GiftData[[#This Row],[Gift_Date]])+1, 2), RIGHT(YEAR(GiftData[[#This Row],[Gift_Date]]), 2))</f>
        <v>FY25</v>
      </c>
      <c r="K833">
        <f>IF(COUNTIFS(GiftData[Constituent_ID], GiftData[[#This Row],[Constituent_ID]], GiftData[Fiscal_Year], "FY24")&gt;0, 1, 0)</f>
        <v>1</v>
      </c>
      <c r="L833">
        <f>IF(COUNTIFS(GiftData[Constituent_ID], GiftData[[#This Row],[Constituent_ID]], GiftData[Fiscal_Year], "FY25")&gt;0, 1, 0)</f>
        <v>1</v>
      </c>
      <c r="M833">
        <f>IF(COUNTIFS(GiftData[Constituent_ID], GiftData[[#This Row],[Constituent_ID]], GiftData[Fiscal_Year], "FY26")&gt;0, 1, 0)</f>
        <v>0</v>
      </c>
      <c r="N833" t="str" cm="1">
        <f t="array" ref="N8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34" spans="1:14" x14ac:dyDescent="0.2">
      <c r="A834" t="s">
        <v>1200</v>
      </c>
      <c r="B834" t="s">
        <v>118</v>
      </c>
      <c r="C834" t="s">
        <v>35</v>
      </c>
      <c r="D834" s="1">
        <v>45239</v>
      </c>
      <c r="E834">
        <v>111.37</v>
      </c>
      <c r="F834" t="s">
        <v>25</v>
      </c>
      <c r="G834" t="s">
        <v>13</v>
      </c>
      <c r="H834" t="s">
        <v>20</v>
      </c>
      <c r="I834" t="s">
        <v>15</v>
      </c>
      <c r="J834" t="str">
        <f>"FY" &amp; IF(MONTH(GiftData[[#This Row],[Gift_Date]])&gt;=7, RIGHT(YEAR(GiftData[[#This Row],[Gift_Date]])+1, 2), RIGHT(YEAR(GiftData[[#This Row],[Gift_Date]]), 2))</f>
        <v>FY24</v>
      </c>
      <c r="K834">
        <f>IF(COUNTIFS(GiftData[Constituent_ID], GiftData[[#This Row],[Constituent_ID]], GiftData[Fiscal_Year], "FY24")&gt;0, 1, 0)</f>
        <v>1</v>
      </c>
      <c r="L834">
        <f>IF(COUNTIFS(GiftData[Constituent_ID], GiftData[[#This Row],[Constituent_ID]], GiftData[Fiscal_Year], "FY25")&gt;0, 1, 0)</f>
        <v>1</v>
      </c>
      <c r="M834">
        <f>IF(COUNTIFS(GiftData[Constituent_ID], GiftData[[#This Row],[Constituent_ID]], GiftData[Fiscal_Year], "FY26")&gt;0, 1, 0)</f>
        <v>1</v>
      </c>
      <c r="N834" t="str" cm="1">
        <f t="array" ref="N8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5" spans="1:14" x14ac:dyDescent="0.2">
      <c r="A835" t="s">
        <v>1201</v>
      </c>
      <c r="B835" t="s">
        <v>927</v>
      </c>
      <c r="C835" t="s">
        <v>35</v>
      </c>
      <c r="D835" s="1">
        <v>46151</v>
      </c>
      <c r="E835">
        <v>57.81</v>
      </c>
      <c r="F835" t="s">
        <v>12</v>
      </c>
      <c r="G835" t="s">
        <v>13</v>
      </c>
      <c r="H835" t="s">
        <v>14</v>
      </c>
      <c r="I835" t="s">
        <v>15</v>
      </c>
      <c r="J835" t="str">
        <f>"FY" &amp; IF(MONTH(GiftData[[#This Row],[Gift_Date]])&gt;=7, RIGHT(YEAR(GiftData[[#This Row],[Gift_Date]])+1, 2), RIGHT(YEAR(GiftData[[#This Row],[Gift_Date]]), 2))</f>
        <v>FY26</v>
      </c>
      <c r="K835">
        <f>IF(COUNTIFS(GiftData[Constituent_ID], GiftData[[#This Row],[Constituent_ID]], GiftData[Fiscal_Year], "FY24")&gt;0, 1, 0)</f>
        <v>1</v>
      </c>
      <c r="L835">
        <f>IF(COUNTIFS(GiftData[Constituent_ID], GiftData[[#This Row],[Constituent_ID]], GiftData[Fiscal_Year], "FY25")&gt;0, 1, 0)</f>
        <v>1</v>
      </c>
      <c r="M835">
        <f>IF(COUNTIFS(GiftData[Constituent_ID], GiftData[[#This Row],[Constituent_ID]], GiftData[Fiscal_Year], "FY26")&gt;0, 1, 0)</f>
        <v>1</v>
      </c>
      <c r="N835" t="str" cm="1">
        <f t="array" ref="N8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6" spans="1:14" x14ac:dyDescent="0.2">
      <c r="A836" t="s">
        <v>1202</v>
      </c>
      <c r="B836" t="s">
        <v>419</v>
      </c>
      <c r="C836" t="s">
        <v>11</v>
      </c>
      <c r="D836" s="1">
        <v>45643</v>
      </c>
      <c r="E836">
        <v>147.87</v>
      </c>
      <c r="F836" t="s">
        <v>12</v>
      </c>
      <c r="G836" t="s">
        <v>13</v>
      </c>
      <c r="H836" t="s">
        <v>41</v>
      </c>
      <c r="I836" t="s">
        <v>15</v>
      </c>
      <c r="J836" t="str">
        <f>"FY" &amp; IF(MONTH(GiftData[[#This Row],[Gift_Date]])&gt;=7, RIGHT(YEAR(GiftData[[#This Row],[Gift_Date]])+1, 2), RIGHT(YEAR(GiftData[[#This Row],[Gift_Date]]), 2))</f>
        <v>FY25</v>
      </c>
      <c r="K836">
        <f>IF(COUNTIFS(GiftData[Constituent_ID], GiftData[[#This Row],[Constituent_ID]], GiftData[Fiscal_Year], "FY24")&gt;0, 1, 0)</f>
        <v>0</v>
      </c>
      <c r="L836">
        <f>IF(COUNTIFS(GiftData[Constituent_ID], GiftData[[#This Row],[Constituent_ID]], GiftData[Fiscal_Year], "FY25")&gt;0, 1, 0)</f>
        <v>1</v>
      </c>
      <c r="M836">
        <f>IF(COUNTIFS(GiftData[Constituent_ID], GiftData[[#This Row],[Constituent_ID]], GiftData[Fiscal_Year], "FY26")&gt;0, 1, 0)</f>
        <v>1</v>
      </c>
      <c r="N836" t="str" cm="1">
        <f t="array" ref="N8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7" spans="1:14" x14ac:dyDescent="0.2">
      <c r="A837" t="s">
        <v>1203</v>
      </c>
      <c r="B837" t="s">
        <v>300</v>
      </c>
      <c r="C837" t="s">
        <v>35</v>
      </c>
      <c r="D837" s="1">
        <v>46121</v>
      </c>
      <c r="E837">
        <v>84.08</v>
      </c>
      <c r="F837" t="s">
        <v>12</v>
      </c>
      <c r="G837" t="s">
        <v>13</v>
      </c>
      <c r="H837" t="s">
        <v>14</v>
      </c>
      <c r="I837" t="s">
        <v>15</v>
      </c>
      <c r="J837" t="str">
        <f>"FY" &amp; IF(MONTH(GiftData[[#This Row],[Gift_Date]])&gt;=7, RIGHT(YEAR(GiftData[[#This Row],[Gift_Date]])+1, 2), RIGHT(YEAR(GiftData[[#This Row],[Gift_Date]]), 2))</f>
        <v>FY26</v>
      </c>
      <c r="K837">
        <f>IF(COUNTIFS(GiftData[Constituent_ID], GiftData[[#This Row],[Constituent_ID]], GiftData[Fiscal_Year], "FY24")&gt;0, 1, 0)</f>
        <v>0</v>
      </c>
      <c r="L837">
        <f>IF(COUNTIFS(GiftData[Constituent_ID], GiftData[[#This Row],[Constituent_ID]], GiftData[Fiscal_Year], "FY25")&gt;0, 1, 0)</f>
        <v>1</v>
      </c>
      <c r="M837">
        <f>IF(COUNTIFS(GiftData[Constituent_ID], GiftData[[#This Row],[Constituent_ID]], GiftData[Fiscal_Year], "FY26")&gt;0, 1, 0)</f>
        <v>1</v>
      </c>
      <c r="N837" t="str" cm="1">
        <f t="array" ref="N8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8" spans="1:14" x14ac:dyDescent="0.2">
      <c r="A838" t="s">
        <v>1204</v>
      </c>
      <c r="B838" t="s">
        <v>565</v>
      </c>
      <c r="C838" t="s">
        <v>18</v>
      </c>
      <c r="D838" s="1">
        <v>45334</v>
      </c>
      <c r="E838">
        <v>906.8</v>
      </c>
      <c r="F838" t="s">
        <v>12</v>
      </c>
      <c r="G838" t="s">
        <v>29</v>
      </c>
      <c r="H838" t="s">
        <v>164</v>
      </c>
      <c r="I838" t="s">
        <v>15</v>
      </c>
      <c r="J838" t="str">
        <f>"FY" &amp; IF(MONTH(GiftData[[#This Row],[Gift_Date]])&gt;=7, RIGHT(YEAR(GiftData[[#This Row],[Gift_Date]])+1, 2), RIGHT(YEAR(GiftData[[#This Row],[Gift_Date]]), 2))</f>
        <v>FY24</v>
      </c>
      <c r="K838">
        <f>IF(COUNTIFS(GiftData[Constituent_ID], GiftData[[#This Row],[Constituent_ID]], GiftData[Fiscal_Year], "FY24")&gt;0, 1, 0)</f>
        <v>1</v>
      </c>
      <c r="L838">
        <f>IF(COUNTIFS(GiftData[Constituent_ID], GiftData[[#This Row],[Constituent_ID]], GiftData[Fiscal_Year], "FY25")&gt;0, 1, 0)</f>
        <v>0</v>
      </c>
      <c r="M838">
        <f>IF(COUNTIFS(GiftData[Constituent_ID], GiftData[[#This Row],[Constituent_ID]], GiftData[Fiscal_Year], "FY26")&gt;0, 1, 0)</f>
        <v>1</v>
      </c>
      <c r="N838" t="str" cm="1">
        <f t="array" ref="N8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39" spans="1:14" x14ac:dyDescent="0.2">
      <c r="A839" t="s">
        <v>1205</v>
      </c>
      <c r="B839" t="s">
        <v>40</v>
      </c>
      <c r="C839" t="s">
        <v>28</v>
      </c>
      <c r="D839" s="1">
        <v>45929</v>
      </c>
      <c r="E839">
        <v>348.8</v>
      </c>
      <c r="F839" t="s">
        <v>12</v>
      </c>
      <c r="G839" t="s">
        <v>13</v>
      </c>
      <c r="H839" t="s">
        <v>14</v>
      </c>
      <c r="I839" t="s">
        <v>15</v>
      </c>
      <c r="J839" t="str">
        <f>"FY" &amp; IF(MONTH(GiftData[[#This Row],[Gift_Date]])&gt;=7, RIGHT(YEAR(GiftData[[#This Row],[Gift_Date]])+1, 2), RIGHT(YEAR(GiftData[[#This Row],[Gift_Date]]), 2))</f>
        <v>FY26</v>
      </c>
      <c r="K839">
        <f>IF(COUNTIFS(GiftData[Constituent_ID], GiftData[[#This Row],[Constituent_ID]], GiftData[Fiscal_Year], "FY24")&gt;0, 1, 0)</f>
        <v>0</v>
      </c>
      <c r="L839">
        <f>IF(COUNTIFS(GiftData[Constituent_ID], GiftData[[#This Row],[Constituent_ID]], GiftData[Fiscal_Year], "FY25")&gt;0, 1, 0)</f>
        <v>1</v>
      </c>
      <c r="M839">
        <f>IF(COUNTIFS(GiftData[Constituent_ID], GiftData[[#This Row],[Constituent_ID]], GiftData[Fiscal_Year], "FY26")&gt;0, 1, 0)</f>
        <v>1</v>
      </c>
      <c r="N839" t="str" cm="1">
        <f t="array" ref="N8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0" spans="1:14" x14ac:dyDescent="0.2">
      <c r="A840" t="s">
        <v>1206</v>
      </c>
      <c r="B840" t="s">
        <v>73</v>
      </c>
      <c r="C840" t="s">
        <v>28</v>
      </c>
      <c r="D840" s="1">
        <v>45978</v>
      </c>
      <c r="E840">
        <v>18.38</v>
      </c>
      <c r="F840" t="s">
        <v>12</v>
      </c>
      <c r="G840" t="s">
        <v>13</v>
      </c>
      <c r="H840" t="s">
        <v>51</v>
      </c>
      <c r="I840" t="s">
        <v>38</v>
      </c>
      <c r="J840" t="str">
        <f>"FY" &amp; IF(MONTH(GiftData[[#This Row],[Gift_Date]])&gt;=7, RIGHT(YEAR(GiftData[[#This Row],[Gift_Date]])+1, 2), RIGHT(YEAR(GiftData[[#This Row],[Gift_Date]]), 2))</f>
        <v>FY26</v>
      </c>
      <c r="K840">
        <f>IF(COUNTIFS(GiftData[Constituent_ID], GiftData[[#This Row],[Constituent_ID]], GiftData[Fiscal_Year], "FY24")&gt;0, 1, 0)</f>
        <v>1</v>
      </c>
      <c r="L840">
        <f>IF(COUNTIFS(GiftData[Constituent_ID], GiftData[[#This Row],[Constituent_ID]], GiftData[Fiscal_Year], "FY25")&gt;0, 1, 0)</f>
        <v>0</v>
      </c>
      <c r="M840">
        <f>IF(COUNTIFS(GiftData[Constituent_ID], GiftData[[#This Row],[Constituent_ID]], GiftData[Fiscal_Year], "FY26")&gt;0, 1, 0)</f>
        <v>1</v>
      </c>
      <c r="N840" t="str" cm="1">
        <f t="array" ref="N8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1" spans="1:14" x14ac:dyDescent="0.2">
      <c r="A841" t="s">
        <v>1207</v>
      </c>
      <c r="B841" t="s">
        <v>569</v>
      </c>
      <c r="C841" t="s">
        <v>18</v>
      </c>
      <c r="D841" s="1">
        <v>45512</v>
      </c>
      <c r="E841">
        <v>19.760000000000002</v>
      </c>
      <c r="F841" t="s">
        <v>25</v>
      </c>
      <c r="G841" t="s">
        <v>13</v>
      </c>
      <c r="H841" t="s">
        <v>51</v>
      </c>
      <c r="I841" t="s">
        <v>15</v>
      </c>
      <c r="J841" t="str">
        <f>"FY" &amp; IF(MONTH(GiftData[[#This Row],[Gift_Date]])&gt;=7, RIGHT(YEAR(GiftData[[#This Row],[Gift_Date]])+1, 2), RIGHT(YEAR(GiftData[[#This Row],[Gift_Date]]), 2))</f>
        <v>FY25</v>
      </c>
      <c r="K841">
        <f>IF(COUNTIFS(GiftData[Constituent_ID], GiftData[[#This Row],[Constituent_ID]], GiftData[Fiscal_Year], "FY24")&gt;0, 1, 0)</f>
        <v>1</v>
      </c>
      <c r="L841">
        <f>IF(COUNTIFS(GiftData[Constituent_ID], GiftData[[#This Row],[Constituent_ID]], GiftData[Fiscal_Year], "FY25")&gt;0, 1, 0)</f>
        <v>1</v>
      </c>
      <c r="M841">
        <f>IF(COUNTIFS(GiftData[Constituent_ID], GiftData[[#This Row],[Constituent_ID]], GiftData[Fiscal_Year], "FY26")&gt;0, 1, 0)</f>
        <v>0</v>
      </c>
      <c r="N841" t="str" cm="1">
        <f t="array" ref="N8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42" spans="1:14" x14ac:dyDescent="0.2">
      <c r="A842" t="s">
        <v>1208</v>
      </c>
      <c r="B842" t="s">
        <v>929</v>
      </c>
      <c r="C842" t="s">
        <v>35</v>
      </c>
      <c r="D842" s="1">
        <v>45309</v>
      </c>
      <c r="E842">
        <v>102.56</v>
      </c>
      <c r="F842" t="s">
        <v>59</v>
      </c>
      <c r="G842" t="s">
        <v>13</v>
      </c>
      <c r="H842" t="s">
        <v>164</v>
      </c>
      <c r="I842" t="s">
        <v>38</v>
      </c>
      <c r="J842" t="str">
        <f>"FY" &amp; IF(MONTH(GiftData[[#This Row],[Gift_Date]])&gt;=7, RIGHT(YEAR(GiftData[[#This Row],[Gift_Date]])+1, 2), RIGHT(YEAR(GiftData[[#This Row],[Gift_Date]]), 2))</f>
        <v>FY24</v>
      </c>
      <c r="K842">
        <f>IF(COUNTIFS(GiftData[Constituent_ID], GiftData[[#This Row],[Constituent_ID]], GiftData[Fiscal_Year], "FY24")&gt;0, 1, 0)</f>
        <v>1</v>
      </c>
      <c r="L842">
        <f>IF(COUNTIFS(GiftData[Constituent_ID], GiftData[[#This Row],[Constituent_ID]], GiftData[Fiscal_Year], "FY25")&gt;0, 1, 0)</f>
        <v>1</v>
      </c>
      <c r="M842">
        <f>IF(COUNTIFS(GiftData[Constituent_ID], GiftData[[#This Row],[Constituent_ID]], GiftData[Fiscal_Year], "FY26")&gt;0, 1, 0)</f>
        <v>0</v>
      </c>
      <c r="N842" t="str" cm="1">
        <f t="array" ref="N8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43" spans="1:14" x14ac:dyDescent="0.2">
      <c r="A843" t="s">
        <v>1209</v>
      </c>
      <c r="B843" t="s">
        <v>404</v>
      </c>
      <c r="C843" t="s">
        <v>48</v>
      </c>
      <c r="D843" s="1">
        <v>45145</v>
      </c>
      <c r="E843">
        <v>72.680000000000007</v>
      </c>
      <c r="F843" t="s">
        <v>12</v>
      </c>
      <c r="G843" t="s">
        <v>13</v>
      </c>
      <c r="H843" t="s">
        <v>164</v>
      </c>
      <c r="I843" t="s">
        <v>15</v>
      </c>
      <c r="J843" t="str">
        <f>"FY" &amp; IF(MONTH(GiftData[[#This Row],[Gift_Date]])&gt;=7, RIGHT(YEAR(GiftData[[#This Row],[Gift_Date]])+1, 2), RIGHT(YEAR(GiftData[[#This Row],[Gift_Date]]), 2))</f>
        <v>FY24</v>
      </c>
      <c r="K843">
        <f>IF(COUNTIFS(GiftData[Constituent_ID], GiftData[[#This Row],[Constituent_ID]], GiftData[Fiscal_Year], "FY24")&gt;0, 1, 0)</f>
        <v>1</v>
      </c>
      <c r="L843">
        <f>IF(COUNTIFS(GiftData[Constituent_ID], GiftData[[#This Row],[Constituent_ID]], GiftData[Fiscal_Year], "FY25")&gt;0, 1, 0)</f>
        <v>1</v>
      </c>
      <c r="M843">
        <f>IF(COUNTIFS(GiftData[Constituent_ID], GiftData[[#This Row],[Constituent_ID]], GiftData[Fiscal_Year], "FY26")&gt;0, 1, 0)</f>
        <v>0</v>
      </c>
      <c r="N843" t="str" cm="1">
        <f t="array" ref="N8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44" spans="1:14" x14ac:dyDescent="0.2">
      <c r="A844" t="s">
        <v>1210</v>
      </c>
      <c r="B844" t="s">
        <v>134</v>
      </c>
      <c r="C844" t="s">
        <v>11</v>
      </c>
      <c r="D844" s="1">
        <v>46049</v>
      </c>
      <c r="E844">
        <v>95.76</v>
      </c>
      <c r="F844" t="s">
        <v>12</v>
      </c>
      <c r="G844" t="s">
        <v>13</v>
      </c>
      <c r="H844" t="s">
        <v>51</v>
      </c>
      <c r="I844" t="s">
        <v>15</v>
      </c>
      <c r="J844" t="str">
        <f>"FY" &amp; IF(MONTH(GiftData[[#This Row],[Gift_Date]])&gt;=7, RIGHT(YEAR(GiftData[[#This Row],[Gift_Date]])+1, 2), RIGHT(YEAR(GiftData[[#This Row],[Gift_Date]]), 2))</f>
        <v>FY26</v>
      </c>
      <c r="K844">
        <f>IF(COUNTIFS(GiftData[Constituent_ID], GiftData[[#This Row],[Constituent_ID]], GiftData[Fiscal_Year], "FY24")&gt;0, 1, 0)</f>
        <v>1</v>
      </c>
      <c r="L844">
        <f>IF(COUNTIFS(GiftData[Constituent_ID], GiftData[[#This Row],[Constituent_ID]], GiftData[Fiscal_Year], "FY25")&gt;0, 1, 0)</f>
        <v>0</v>
      </c>
      <c r="M844">
        <f>IF(COUNTIFS(GiftData[Constituent_ID], GiftData[[#This Row],[Constituent_ID]], GiftData[Fiscal_Year], "FY26")&gt;0, 1, 0)</f>
        <v>1</v>
      </c>
      <c r="N844" t="str" cm="1">
        <f t="array" ref="N8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5" spans="1:14" x14ac:dyDescent="0.2">
      <c r="A845" t="s">
        <v>1211</v>
      </c>
      <c r="B845" t="s">
        <v>263</v>
      </c>
      <c r="C845" t="s">
        <v>35</v>
      </c>
      <c r="D845" s="1">
        <v>45295</v>
      </c>
      <c r="E845">
        <v>283.3</v>
      </c>
      <c r="F845" t="s">
        <v>12</v>
      </c>
      <c r="G845" t="s">
        <v>13</v>
      </c>
      <c r="H845" t="s">
        <v>41</v>
      </c>
      <c r="I845" t="s">
        <v>15</v>
      </c>
      <c r="J845" t="str">
        <f>"FY" &amp; IF(MONTH(GiftData[[#This Row],[Gift_Date]])&gt;=7, RIGHT(YEAR(GiftData[[#This Row],[Gift_Date]])+1, 2), RIGHT(YEAR(GiftData[[#This Row],[Gift_Date]]), 2))</f>
        <v>FY24</v>
      </c>
      <c r="K845">
        <f>IF(COUNTIFS(GiftData[Constituent_ID], GiftData[[#This Row],[Constituent_ID]], GiftData[Fiscal_Year], "FY24")&gt;0, 1, 0)</f>
        <v>1</v>
      </c>
      <c r="L845">
        <f>IF(COUNTIFS(GiftData[Constituent_ID], GiftData[[#This Row],[Constituent_ID]], GiftData[Fiscal_Year], "FY25")&gt;0, 1, 0)</f>
        <v>1</v>
      </c>
      <c r="M845">
        <f>IF(COUNTIFS(GiftData[Constituent_ID], GiftData[[#This Row],[Constituent_ID]], GiftData[Fiscal_Year], "FY26")&gt;0, 1, 0)</f>
        <v>1</v>
      </c>
      <c r="N845" t="str" cm="1">
        <f t="array" ref="N8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6" spans="1:14" x14ac:dyDescent="0.2">
      <c r="A846" t="s">
        <v>1212</v>
      </c>
      <c r="B846" t="s">
        <v>386</v>
      </c>
      <c r="C846" t="s">
        <v>18</v>
      </c>
      <c r="D846" s="1">
        <v>46048</v>
      </c>
      <c r="E846">
        <v>183.18</v>
      </c>
      <c r="F846" t="s">
        <v>12</v>
      </c>
      <c r="G846" t="s">
        <v>13</v>
      </c>
      <c r="H846" t="s">
        <v>14</v>
      </c>
      <c r="I846" t="s">
        <v>56</v>
      </c>
      <c r="J846" t="str">
        <f>"FY" &amp; IF(MONTH(GiftData[[#This Row],[Gift_Date]])&gt;=7, RIGHT(YEAR(GiftData[[#This Row],[Gift_Date]])+1, 2), RIGHT(YEAR(GiftData[[#This Row],[Gift_Date]]), 2))</f>
        <v>FY26</v>
      </c>
      <c r="K846">
        <f>IF(COUNTIFS(GiftData[Constituent_ID], GiftData[[#This Row],[Constituent_ID]], GiftData[Fiscal_Year], "FY24")&gt;0, 1, 0)</f>
        <v>0</v>
      </c>
      <c r="L846">
        <f>IF(COUNTIFS(GiftData[Constituent_ID], GiftData[[#This Row],[Constituent_ID]], GiftData[Fiscal_Year], "FY25")&gt;0, 1, 0)</f>
        <v>1</v>
      </c>
      <c r="M846">
        <f>IF(COUNTIFS(GiftData[Constituent_ID], GiftData[[#This Row],[Constituent_ID]], GiftData[Fiscal_Year], "FY26")&gt;0, 1, 0)</f>
        <v>1</v>
      </c>
      <c r="N846" t="str" cm="1">
        <f t="array" ref="N8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7" spans="1:14" x14ac:dyDescent="0.2">
      <c r="A847" t="s">
        <v>1213</v>
      </c>
      <c r="B847" t="s">
        <v>771</v>
      </c>
      <c r="C847" t="s">
        <v>28</v>
      </c>
      <c r="D847" s="1">
        <v>46151</v>
      </c>
      <c r="E847">
        <v>180.79</v>
      </c>
      <c r="F847" t="s">
        <v>25</v>
      </c>
      <c r="G847" t="s">
        <v>13</v>
      </c>
      <c r="H847" t="s">
        <v>20</v>
      </c>
      <c r="I847" t="s">
        <v>38</v>
      </c>
      <c r="J847" t="str">
        <f>"FY" &amp; IF(MONTH(GiftData[[#This Row],[Gift_Date]])&gt;=7, RIGHT(YEAR(GiftData[[#This Row],[Gift_Date]])+1, 2), RIGHT(YEAR(GiftData[[#This Row],[Gift_Date]]), 2))</f>
        <v>FY26</v>
      </c>
      <c r="K847">
        <f>IF(COUNTIFS(GiftData[Constituent_ID], GiftData[[#This Row],[Constituent_ID]], GiftData[Fiscal_Year], "FY24")&gt;0, 1, 0)</f>
        <v>0</v>
      </c>
      <c r="L847">
        <f>IF(COUNTIFS(GiftData[Constituent_ID], GiftData[[#This Row],[Constituent_ID]], GiftData[Fiscal_Year], "FY25")&gt;0, 1, 0)</f>
        <v>1</v>
      </c>
      <c r="M847">
        <f>IF(COUNTIFS(GiftData[Constituent_ID], GiftData[[#This Row],[Constituent_ID]], GiftData[Fiscal_Year], "FY26")&gt;0, 1, 0)</f>
        <v>1</v>
      </c>
      <c r="N847" t="str" cm="1">
        <f t="array" ref="N8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8" spans="1:14" x14ac:dyDescent="0.2">
      <c r="A848" t="s">
        <v>1214</v>
      </c>
      <c r="B848" t="s">
        <v>527</v>
      </c>
      <c r="C848" t="s">
        <v>11</v>
      </c>
      <c r="D848" s="1">
        <v>45380</v>
      </c>
      <c r="E848">
        <v>796.36</v>
      </c>
      <c r="F848" t="s">
        <v>25</v>
      </c>
      <c r="G848" t="s">
        <v>29</v>
      </c>
      <c r="H848" t="s">
        <v>41</v>
      </c>
      <c r="I848" t="s">
        <v>38</v>
      </c>
      <c r="J848" t="str">
        <f>"FY" &amp; IF(MONTH(GiftData[[#This Row],[Gift_Date]])&gt;=7, RIGHT(YEAR(GiftData[[#This Row],[Gift_Date]])+1, 2), RIGHT(YEAR(GiftData[[#This Row],[Gift_Date]]), 2))</f>
        <v>FY24</v>
      </c>
      <c r="K848">
        <f>IF(COUNTIFS(GiftData[Constituent_ID], GiftData[[#This Row],[Constituent_ID]], GiftData[Fiscal_Year], "FY24")&gt;0, 1, 0)</f>
        <v>1</v>
      </c>
      <c r="L848">
        <f>IF(COUNTIFS(GiftData[Constituent_ID], GiftData[[#This Row],[Constituent_ID]], GiftData[Fiscal_Year], "FY25")&gt;0, 1, 0)</f>
        <v>0</v>
      </c>
      <c r="M848">
        <f>IF(COUNTIFS(GiftData[Constituent_ID], GiftData[[#This Row],[Constituent_ID]], GiftData[Fiscal_Year], "FY26")&gt;0, 1, 0)</f>
        <v>1</v>
      </c>
      <c r="N848" t="str" cm="1">
        <f t="array" ref="N8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49" spans="1:14" x14ac:dyDescent="0.2">
      <c r="A849" t="s">
        <v>1215</v>
      </c>
      <c r="B849" t="s">
        <v>992</v>
      </c>
      <c r="C849" t="s">
        <v>11</v>
      </c>
      <c r="D849" s="1">
        <v>45690</v>
      </c>
      <c r="E849">
        <v>19.97</v>
      </c>
      <c r="F849" t="s">
        <v>25</v>
      </c>
      <c r="G849" t="s">
        <v>13</v>
      </c>
      <c r="H849" t="s">
        <v>164</v>
      </c>
      <c r="I849" t="s">
        <v>15</v>
      </c>
      <c r="J849" t="str">
        <f>"FY" &amp; IF(MONTH(GiftData[[#This Row],[Gift_Date]])&gt;=7, RIGHT(YEAR(GiftData[[#This Row],[Gift_Date]])+1, 2), RIGHT(YEAR(GiftData[[#This Row],[Gift_Date]]), 2))</f>
        <v>FY25</v>
      </c>
      <c r="K849">
        <f>IF(COUNTIFS(GiftData[Constituent_ID], GiftData[[#This Row],[Constituent_ID]], GiftData[Fiscal_Year], "FY24")&gt;0, 1, 0)</f>
        <v>1</v>
      </c>
      <c r="L849">
        <f>IF(COUNTIFS(GiftData[Constituent_ID], GiftData[[#This Row],[Constituent_ID]], GiftData[Fiscal_Year], "FY25")&gt;0, 1, 0)</f>
        <v>1</v>
      </c>
      <c r="M849">
        <f>IF(COUNTIFS(GiftData[Constituent_ID], GiftData[[#This Row],[Constituent_ID]], GiftData[Fiscal_Year], "FY26")&gt;0, 1, 0)</f>
        <v>0</v>
      </c>
      <c r="N849" t="str" cm="1">
        <f t="array" ref="N8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50" spans="1:14" x14ac:dyDescent="0.2">
      <c r="A850" t="s">
        <v>1216</v>
      </c>
      <c r="B850" t="s">
        <v>664</v>
      </c>
      <c r="C850" t="s">
        <v>48</v>
      </c>
      <c r="D850" s="1">
        <v>45623</v>
      </c>
      <c r="E850">
        <v>139.09</v>
      </c>
      <c r="F850" t="s">
        <v>12</v>
      </c>
      <c r="G850" t="s">
        <v>29</v>
      </c>
      <c r="H850" t="s">
        <v>41</v>
      </c>
      <c r="I850" t="s">
        <v>56</v>
      </c>
      <c r="J850" t="str">
        <f>"FY" &amp; IF(MONTH(GiftData[[#This Row],[Gift_Date]])&gt;=7, RIGHT(YEAR(GiftData[[#This Row],[Gift_Date]])+1, 2), RIGHT(YEAR(GiftData[[#This Row],[Gift_Date]]), 2))</f>
        <v>FY25</v>
      </c>
      <c r="K850">
        <f>IF(COUNTIFS(GiftData[Constituent_ID], GiftData[[#This Row],[Constituent_ID]], GiftData[Fiscal_Year], "FY24")&gt;0, 1, 0)</f>
        <v>1</v>
      </c>
      <c r="L850">
        <f>IF(COUNTIFS(GiftData[Constituent_ID], GiftData[[#This Row],[Constituent_ID]], GiftData[Fiscal_Year], "FY25")&gt;0, 1, 0)</f>
        <v>1</v>
      </c>
      <c r="M850">
        <f>IF(COUNTIFS(GiftData[Constituent_ID], GiftData[[#This Row],[Constituent_ID]], GiftData[Fiscal_Year], "FY26")&gt;0, 1, 0)</f>
        <v>0</v>
      </c>
      <c r="N850" t="str" cm="1">
        <f t="array" ref="N8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51" spans="1:14" x14ac:dyDescent="0.2">
      <c r="A851" t="s">
        <v>1217</v>
      </c>
      <c r="B851" t="s">
        <v>109</v>
      </c>
      <c r="C851" t="s">
        <v>35</v>
      </c>
      <c r="D851" s="1">
        <v>45633</v>
      </c>
      <c r="E851">
        <v>57.24</v>
      </c>
      <c r="F851" t="s">
        <v>12</v>
      </c>
      <c r="G851" t="s">
        <v>13</v>
      </c>
      <c r="H851" t="s">
        <v>164</v>
      </c>
      <c r="I851" t="s">
        <v>15</v>
      </c>
      <c r="J851" t="str">
        <f>"FY" &amp; IF(MONTH(GiftData[[#This Row],[Gift_Date]])&gt;=7, RIGHT(YEAR(GiftData[[#This Row],[Gift_Date]])+1, 2), RIGHT(YEAR(GiftData[[#This Row],[Gift_Date]]), 2))</f>
        <v>FY25</v>
      </c>
      <c r="K851">
        <f>IF(COUNTIFS(GiftData[Constituent_ID], GiftData[[#This Row],[Constituent_ID]], GiftData[Fiscal_Year], "FY24")&gt;0, 1, 0)</f>
        <v>1</v>
      </c>
      <c r="L851">
        <f>IF(COUNTIFS(GiftData[Constituent_ID], GiftData[[#This Row],[Constituent_ID]], GiftData[Fiscal_Year], "FY25")&gt;0, 1, 0)</f>
        <v>1</v>
      </c>
      <c r="M851">
        <f>IF(COUNTIFS(GiftData[Constituent_ID], GiftData[[#This Row],[Constituent_ID]], GiftData[Fiscal_Year], "FY26")&gt;0, 1, 0)</f>
        <v>1</v>
      </c>
      <c r="N851" t="str" cm="1">
        <f t="array" ref="N8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2" spans="1:14" x14ac:dyDescent="0.2">
      <c r="A852" t="s">
        <v>1218</v>
      </c>
      <c r="B852" t="s">
        <v>938</v>
      </c>
      <c r="C852" t="s">
        <v>35</v>
      </c>
      <c r="D852" s="1">
        <v>45443</v>
      </c>
      <c r="E852">
        <v>785.3</v>
      </c>
      <c r="F852" t="s">
        <v>12</v>
      </c>
      <c r="G852" t="s">
        <v>13</v>
      </c>
      <c r="H852" t="s">
        <v>51</v>
      </c>
      <c r="I852" t="s">
        <v>15</v>
      </c>
      <c r="J852" t="str">
        <f>"FY" &amp; IF(MONTH(GiftData[[#This Row],[Gift_Date]])&gt;=7, RIGHT(YEAR(GiftData[[#This Row],[Gift_Date]])+1, 2), RIGHT(YEAR(GiftData[[#This Row],[Gift_Date]]), 2))</f>
        <v>FY24</v>
      </c>
      <c r="K852">
        <f>IF(COUNTIFS(GiftData[Constituent_ID], GiftData[[#This Row],[Constituent_ID]], GiftData[Fiscal_Year], "FY24")&gt;0, 1, 0)</f>
        <v>1</v>
      </c>
      <c r="L852">
        <f>IF(COUNTIFS(GiftData[Constituent_ID], GiftData[[#This Row],[Constituent_ID]], GiftData[Fiscal_Year], "FY25")&gt;0, 1, 0)</f>
        <v>0</v>
      </c>
      <c r="M852">
        <f>IF(COUNTIFS(GiftData[Constituent_ID], GiftData[[#This Row],[Constituent_ID]], GiftData[Fiscal_Year], "FY26")&gt;0, 1, 0)</f>
        <v>1</v>
      </c>
      <c r="N852" t="str" cm="1">
        <f t="array" ref="N8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3" spans="1:14" x14ac:dyDescent="0.2">
      <c r="A853" t="s">
        <v>1219</v>
      </c>
      <c r="B853" t="s">
        <v>17</v>
      </c>
      <c r="C853" t="s">
        <v>11</v>
      </c>
      <c r="D853" s="1">
        <v>45805</v>
      </c>
      <c r="E853">
        <v>15</v>
      </c>
      <c r="F853" t="s">
        <v>12</v>
      </c>
      <c r="G853" t="s">
        <v>13</v>
      </c>
      <c r="H853" t="s">
        <v>20</v>
      </c>
      <c r="I853" t="s">
        <v>38</v>
      </c>
      <c r="J853" t="str">
        <f>"FY" &amp; IF(MONTH(GiftData[[#This Row],[Gift_Date]])&gt;=7, RIGHT(YEAR(GiftData[[#This Row],[Gift_Date]])+1, 2), RIGHT(YEAR(GiftData[[#This Row],[Gift_Date]]), 2))</f>
        <v>FY25</v>
      </c>
      <c r="K853">
        <f>IF(COUNTIFS(GiftData[Constituent_ID], GiftData[[#This Row],[Constituent_ID]], GiftData[Fiscal_Year], "FY24")&gt;0, 1, 0)</f>
        <v>1</v>
      </c>
      <c r="L853">
        <f>IF(COUNTIFS(GiftData[Constituent_ID], GiftData[[#This Row],[Constituent_ID]], GiftData[Fiscal_Year], "FY25")&gt;0, 1, 0)</f>
        <v>1</v>
      </c>
      <c r="M853">
        <f>IF(COUNTIFS(GiftData[Constituent_ID], GiftData[[#This Row],[Constituent_ID]], GiftData[Fiscal_Year], "FY26")&gt;0, 1, 0)</f>
        <v>0</v>
      </c>
      <c r="N853" t="str" cm="1">
        <f t="array" ref="N8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54" spans="1:14" x14ac:dyDescent="0.2">
      <c r="A854" t="s">
        <v>1220</v>
      </c>
      <c r="B854" t="s">
        <v>1221</v>
      </c>
      <c r="C854" t="s">
        <v>48</v>
      </c>
      <c r="D854" s="1">
        <v>45607</v>
      </c>
      <c r="E854">
        <v>15</v>
      </c>
      <c r="F854" t="s">
        <v>25</v>
      </c>
      <c r="G854" t="s">
        <v>29</v>
      </c>
      <c r="H854" t="s">
        <v>20</v>
      </c>
      <c r="I854" t="s">
        <v>15</v>
      </c>
      <c r="J854" t="str">
        <f>"FY" &amp; IF(MONTH(GiftData[[#This Row],[Gift_Date]])&gt;=7, RIGHT(YEAR(GiftData[[#This Row],[Gift_Date]])+1, 2), RIGHT(YEAR(GiftData[[#This Row],[Gift_Date]]), 2))</f>
        <v>FY25</v>
      </c>
      <c r="K854">
        <f>IF(COUNTIFS(GiftData[Constituent_ID], GiftData[[#This Row],[Constituent_ID]], GiftData[Fiscal_Year], "FY24")&gt;0, 1, 0)</f>
        <v>0</v>
      </c>
      <c r="L854">
        <f>IF(COUNTIFS(GiftData[Constituent_ID], GiftData[[#This Row],[Constituent_ID]], GiftData[Fiscal_Year], "FY25")&gt;0, 1, 0)</f>
        <v>1</v>
      </c>
      <c r="M854">
        <f>IF(COUNTIFS(GiftData[Constituent_ID], GiftData[[#This Row],[Constituent_ID]], GiftData[Fiscal_Year], "FY26")&gt;0, 1, 0)</f>
        <v>0</v>
      </c>
      <c r="N854" t="str" cm="1">
        <f t="array" ref="N8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55" spans="1:14" x14ac:dyDescent="0.2">
      <c r="A855" t="s">
        <v>1222</v>
      </c>
      <c r="B855" t="s">
        <v>522</v>
      </c>
      <c r="C855" t="s">
        <v>18</v>
      </c>
      <c r="D855" s="1">
        <v>46007</v>
      </c>
      <c r="E855">
        <v>180.55</v>
      </c>
      <c r="F855" t="s">
        <v>19</v>
      </c>
      <c r="G855" t="s">
        <v>13</v>
      </c>
      <c r="H855" t="s">
        <v>20</v>
      </c>
      <c r="I855" t="s">
        <v>30</v>
      </c>
      <c r="J855" t="str">
        <f>"FY" &amp; IF(MONTH(GiftData[[#This Row],[Gift_Date]])&gt;=7, RIGHT(YEAR(GiftData[[#This Row],[Gift_Date]])+1, 2), RIGHT(YEAR(GiftData[[#This Row],[Gift_Date]]), 2))</f>
        <v>FY26</v>
      </c>
      <c r="K855">
        <f>IF(COUNTIFS(GiftData[Constituent_ID], GiftData[[#This Row],[Constituent_ID]], GiftData[Fiscal_Year], "FY24")&gt;0, 1, 0)</f>
        <v>1</v>
      </c>
      <c r="L855">
        <f>IF(COUNTIFS(GiftData[Constituent_ID], GiftData[[#This Row],[Constituent_ID]], GiftData[Fiscal_Year], "FY25")&gt;0, 1, 0)</f>
        <v>1</v>
      </c>
      <c r="M855">
        <f>IF(COUNTIFS(GiftData[Constituent_ID], GiftData[[#This Row],[Constituent_ID]], GiftData[Fiscal_Year], "FY26")&gt;0, 1, 0)</f>
        <v>1</v>
      </c>
      <c r="N855" t="str" cm="1">
        <f t="array" ref="N8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6" spans="1:14" x14ac:dyDescent="0.2">
      <c r="A856" t="s">
        <v>1223</v>
      </c>
      <c r="B856" t="s">
        <v>535</v>
      </c>
      <c r="C856" t="s">
        <v>35</v>
      </c>
      <c r="D856" s="1">
        <v>45873</v>
      </c>
      <c r="E856">
        <v>525.41</v>
      </c>
      <c r="F856" t="s">
        <v>12</v>
      </c>
      <c r="G856" t="s">
        <v>13</v>
      </c>
      <c r="H856" t="s">
        <v>20</v>
      </c>
      <c r="I856" t="s">
        <v>15</v>
      </c>
      <c r="J856" t="str">
        <f>"FY" &amp; IF(MONTH(GiftData[[#This Row],[Gift_Date]])&gt;=7, RIGHT(YEAR(GiftData[[#This Row],[Gift_Date]])+1, 2), RIGHT(YEAR(GiftData[[#This Row],[Gift_Date]]), 2))</f>
        <v>FY26</v>
      </c>
      <c r="K856">
        <f>IF(COUNTIFS(GiftData[Constituent_ID], GiftData[[#This Row],[Constituent_ID]], GiftData[Fiscal_Year], "FY24")&gt;0, 1, 0)</f>
        <v>1</v>
      </c>
      <c r="L856">
        <f>IF(COUNTIFS(GiftData[Constituent_ID], GiftData[[#This Row],[Constituent_ID]], GiftData[Fiscal_Year], "FY25")&gt;0, 1, 0)</f>
        <v>1</v>
      </c>
      <c r="M856">
        <f>IF(COUNTIFS(GiftData[Constituent_ID], GiftData[[#This Row],[Constituent_ID]], GiftData[Fiscal_Year], "FY26")&gt;0, 1, 0)</f>
        <v>1</v>
      </c>
      <c r="N856" t="str" cm="1">
        <f t="array" ref="N8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7" spans="1:14" x14ac:dyDescent="0.2">
      <c r="A857" t="s">
        <v>1224</v>
      </c>
      <c r="B857" t="s">
        <v>1225</v>
      </c>
      <c r="C857" t="s">
        <v>11</v>
      </c>
      <c r="D857" s="1">
        <v>45643</v>
      </c>
      <c r="E857">
        <v>332.03</v>
      </c>
      <c r="F857" t="s">
        <v>25</v>
      </c>
      <c r="G857" t="s">
        <v>13</v>
      </c>
      <c r="H857" t="s">
        <v>14</v>
      </c>
      <c r="I857" t="s">
        <v>30</v>
      </c>
      <c r="J857" t="str">
        <f>"FY" &amp; IF(MONTH(GiftData[[#This Row],[Gift_Date]])&gt;=7, RIGHT(YEAR(GiftData[[#This Row],[Gift_Date]])+1, 2), RIGHT(YEAR(GiftData[[#This Row],[Gift_Date]]), 2))</f>
        <v>FY25</v>
      </c>
      <c r="K857">
        <f>IF(COUNTIFS(GiftData[Constituent_ID], GiftData[[#This Row],[Constituent_ID]], GiftData[Fiscal_Year], "FY24")&gt;0, 1, 0)</f>
        <v>1</v>
      </c>
      <c r="L857">
        <f>IF(COUNTIFS(GiftData[Constituent_ID], GiftData[[#This Row],[Constituent_ID]], GiftData[Fiscal_Year], "FY25")&gt;0, 1, 0)</f>
        <v>1</v>
      </c>
      <c r="M857">
        <f>IF(COUNTIFS(GiftData[Constituent_ID], GiftData[[#This Row],[Constituent_ID]], GiftData[Fiscal_Year], "FY26")&gt;0, 1, 0)</f>
        <v>0</v>
      </c>
      <c r="N857" t="str" cm="1">
        <f t="array" ref="N8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58" spans="1:14" x14ac:dyDescent="0.2">
      <c r="A858" t="s">
        <v>1226</v>
      </c>
      <c r="B858" t="s">
        <v>93</v>
      </c>
      <c r="C858" t="s">
        <v>18</v>
      </c>
      <c r="D858" s="1">
        <v>45269</v>
      </c>
      <c r="E858">
        <v>42.89</v>
      </c>
      <c r="F858" t="s">
        <v>12</v>
      </c>
      <c r="G858" t="s">
        <v>13</v>
      </c>
      <c r="H858" t="s">
        <v>164</v>
      </c>
      <c r="I858" t="s">
        <v>38</v>
      </c>
      <c r="J858" t="str">
        <f>"FY" &amp; IF(MONTH(GiftData[[#This Row],[Gift_Date]])&gt;=7, RIGHT(YEAR(GiftData[[#This Row],[Gift_Date]])+1, 2), RIGHT(YEAR(GiftData[[#This Row],[Gift_Date]]), 2))</f>
        <v>FY24</v>
      </c>
      <c r="K858">
        <f>IF(COUNTIFS(GiftData[Constituent_ID], GiftData[[#This Row],[Constituent_ID]], GiftData[Fiscal_Year], "FY24")&gt;0, 1, 0)</f>
        <v>1</v>
      </c>
      <c r="L858">
        <f>IF(COUNTIFS(GiftData[Constituent_ID], GiftData[[#This Row],[Constituent_ID]], GiftData[Fiscal_Year], "FY25")&gt;0, 1, 0)</f>
        <v>1</v>
      </c>
      <c r="M858">
        <f>IF(COUNTIFS(GiftData[Constituent_ID], GiftData[[#This Row],[Constituent_ID]], GiftData[Fiscal_Year], "FY26")&gt;0, 1, 0)</f>
        <v>1</v>
      </c>
      <c r="N858" t="str" cm="1">
        <f t="array" ref="N8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59" spans="1:14" x14ac:dyDescent="0.2">
      <c r="A859" t="s">
        <v>1227</v>
      </c>
      <c r="B859" t="s">
        <v>640</v>
      </c>
      <c r="C859" t="s">
        <v>28</v>
      </c>
      <c r="D859" s="1">
        <v>45701</v>
      </c>
      <c r="E859">
        <v>861.22</v>
      </c>
      <c r="F859" t="s">
        <v>12</v>
      </c>
      <c r="G859" t="s">
        <v>13</v>
      </c>
      <c r="H859" t="s">
        <v>41</v>
      </c>
      <c r="I859" t="s">
        <v>38</v>
      </c>
      <c r="J859" t="str">
        <f>"FY" &amp; IF(MONTH(GiftData[[#This Row],[Gift_Date]])&gt;=7, RIGHT(YEAR(GiftData[[#This Row],[Gift_Date]])+1, 2), RIGHT(YEAR(GiftData[[#This Row],[Gift_Date]]), 2))</f>
        <v>FY25</v>
      </c>
      <c r="K859">
        <f>IF(COUNTIFS(GiftData[Constituent_ID], GiftData[[#This Row],[Constituent_ID]], GiftData[Fiscal_Year], "FY24")&gt;0, 1, 0)</f>
        <v>1</v>
      </c>
      <c r="L859">
        <f>IF(COUNTIFS(GiftData[Constituent_ID], GiftData[[#This Row],[Constituent_ID]], GiftData[Fiscal_Year], "FY25")&gt;0, 1, 0)</f>
        <v>1</v>
      </c>
      <c r="M859">
        <f>IF(COUNTIFS(GiftData[Constituent_ID], GiftData[[#This Row],[Constituent_ID]], GiftData[Fiscal_Year], "FY26")&gt;0, 1, 0)</f>
        <v>0</v>
      </c>
      <c r="N859" t="str" cm="1">
        <f t="array" ref="N8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60" spans="1:14" x14ac:dyDescent="0.2">
      <c r="A860" t="s">
        <v>1228</v>
      </c>
      <c r="B860" t="s">
        <v>293</v>
      </c>
      <c r="C860" t="s">
        <v>18</v>
      </c>
      <c r="D860" s="1">
        <v>45266</v>
      </c>
      <c r="E860">
        <v>24.51</v>
      </c>
      <c r="F860" t="s">
        <v>12</v>
      </c>
      <c r="G860" t="s">
        <v>13</v>
      </c>
      <c r="H860" t="s">
        <v>14</v>
      </c>
      <c r="I860" t="s">
        <v>15</v>
      </c>
      <c r="J860" t="str">
        <f>"FY" &amp; IF(MONTH(GiftData[[#This Row],[Gift_Date]])&gt;=7, RIGHT(YEAR(GiftData[[#This Row],[Gift_Date]])+1, 2), RIGHT(YEAR(GiftData[[#This Row],[Gift_Date]]), 2))</f>
        <v>FY24</v>
      </c>
      <c r="K860">
        <f>IF(COUNTIFS(GiftData[Constituent_ID], GiftData[[#This Row],[Constituent_ID]], GiftData[Fiscal_Year], "FY24")&gt;0, 1, 0)</f>
        <v>1</v>
      </c>
      <c r="L860">
        <f>IF(COUNTIFS(GiftData[Constituent_ID], GiftData[[#This Row],[Constituent_ID]], GiftData[Fiscal_Year], "FY25")&gt;0, 1, 0)</f>
        <v>1</v>
      </c>
      <c r="M860">
        <f>IF(COUNTIFS(GiftData[Constituent_ID], GiftData[[#This Row],[Constituent_ID]], GiftData[Fiscal_Year], "FY26")&gt;0, 1, 0)</f>
        <v>0</v>
      </c>
      <c r="N860" t="str" cm="1">
        <f t="array" ref="N8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61" spans="1:14" x14ac:dyDescent="0.2">
      <c r="A861" t="s">
        <v>1229</v>
      </c>
      <c r="B861" t="s">
        <v>132</v>
      </c>
      <c r="C861" t="s">
        <v>18</v>
      </c>
      <c r="D861" s="1">
        <v>45167</v>
      </c>
      <c r="E861">
        <v>664.96</v>
      </c>
      <c r="F861" t="s">
        <v>12</v>
      </c>
      <c r="G861" t="s">
        <v>13</v>
      </c>
      <c r="H861" t="s">
        <v>20</v>
      </c>
      <c r="I861" t="s">
        <v>15</v>
      </c>
      <c r="J861" t="str">
        <f>"FY" &amp; IF(MONTH(GiftData[[#This Row],[Gift_Date]])&gt;=7, RIGHT(YEAR(GiftData[[#This Row],[Gift_Date]])+1, 2), RIGHT(YEAR(GiftData[[#This Row],[Gift_Date]]), 2))</f>
        <v>FY24</v>
      </c>
      <c r="K861">
        <f>IF(COUNTIFS(GiftData[Constituent_ID], GiftData[[#This Row],[Constituent_ID]], GiftData[Fiscal_Year], "FY24")&gt;0, 1, 0)</f>
        <v>1</v>
      </c>
      <c r="L861">
        <f>IF(COUNTIFS(GiftData[Constituent_ID], GiftData[[#This Row],[Constituent_ID]], GiftData[Fiscal_Year], "FY25")&gt;0, 1, 0)</f>
        <v>0</v>
      </c>
      <c r="M861">
        <f>IF(COUNTIFS(GiftData[Constituent_ID], GiftData[[#This Row],[Constituent_ID]], GiftData[Fiscal_Year], "FY26")&gt;0, 1, 0)</f>
        <v>1</v>
      </c>
      <c r="N861" t="str" cm="1">
        <f t="array" ref="N8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2" spans="1:14" x14ac:dyDescent="0.2">
      <c r="A862" t="s">
        <v>1230</v>
      </c>
      <c r="B862" t="s">
        <v>246</v>
      </c>
      <c r="C862" t="s">
        <v>11</v>
      </c>
      <c r="D862" s="1">
        <v>46022</v>
      </c>
      <c r="E862">
        <v>29.11</v>
      </c>
      <c r="F862" t="s">
        <v>12</v>
      </c>
      <c r="G862" t="s">
        <v>13</v>
      </c>
      <c r="H862" t="s">
        <v>20</v>
      </c>
      <c r="I862" t="s">
        <v>56</v>
      </c>
      <c r="J862" t="str">
        <f>"FY" &amp; IF(MONTH(GiftData[[#This Row],[Gift_Date]])&gt;=7, RIGHT(YEAR(GiftData[[#This Row],[Gift_Date]])+1, 2), RIGHT(YEAR(GiftData[[#This Row],[Gift_Date]]), 2))</f>
        <v>FY26</v>
      </c>
      <c r="K862">
        <f>IF(COUNTIFS(GiftData[Constituent_ID], GiftData[[#This Row],[Constituent_ID]], GiftData[Fiscal_Year], "FY24")&gt;0, 1, 0)</f>
        <v>1</v>
      </c>
      <c r="L862">
        <f>IF(COUNTIFS(GiftData[Constituent_ID], GiftData[[#This Row],[Constituent_ID]], GiftData[Fiscal_Year], "FY25")&gt;0, 1, 0)</f>
        <v>1</v>
      </c>
      <c r="M862">
        <f>IF(COUNTIFS(GiftData[Constituent_ID], GiftData[[#This Row],[Constituent_ID]], GiftData[Fiscal_Year], "FY26")&gt;0, 1, 0)</f>
        <v>1</v>
      </c>
      <c r="N862" t="str" cm="1">
        <f t="array" ref="N8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3" spans="1:14" x14ac:dyDescent="0.2">
      <c r="A863" t="s">
        <v>1231</v>
      </c>
      <c r="B863" t="s">
        <v>209</v>
      </c>
      <c r="C863" t="s">
        <v>18</v>
      </c>
      <c r="D863" s="1">
        <v>45318</v>
      </c>
      <c r="E863">
        <v>76.91</v>
      </c>
      <c r="F863" t="s">
        <v>25</v>
      </c>
      <c r="G863" t="s">
        <v>13</v>
      </c>
      <c r="H863" t="s">
        <v>14</v>
      </c>
      <c r="I863" t="s">
        <v>15</v>
      </c>
      <c r="J863" t="str">
        <f>"FY" &amp; IF(MONTH(GiftData[[#This Row],[Gift_Date]])&gt;=7, RIGHT(YEAR(GiftData[[#This Row],[Gift_Date]])+1, 2), RIGHT(YEAR(GiftData[[#This Row],[Gift_Date]]), 2))</f>
        <v>FY24</v>
      </c>
      <c r="K863">
        <f>IF(COUNTIFS(GiftData[Constituent_ID], GiftData[[#This Row],[Constituent_ID]], GiftData[Fiscal_Year], "FY24")&gt;0, 1, 0)</f>
        <v>1</v>
      </c>
      <c r="L863">
        <f>IF(COUNTIFS(GiftData[Constituent_ID], GiftData[[#This Row],[Constituent_ID]], GiftData[Fiscal_Year], "FY25")&gt;0, 1, 0)</f>
        <v>1</v>
      </c>
      <c r="M863">
        <f>IF(COUNTIFS(GiftData[Constituent_ID], GiftData[[#This Row],[Constituent_ID]], GiftData[Fiscal_Year], "FY26")&gt;0, 1, 0)</f>
        <v>1</v>
      </c>
      <c r="N863" t="str" cm="1">
        <f t="array" ref="N8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4" spans="1:14" x14ac:dyDescent="0.2">
      <c r="A864" t="s">
        <v>1232</v>
      </c>
      <c r="B864" t="s">
        <v>502</v>
      </c>
      <c r="C864" t="s">
        <v>18</v>
      </c>
      <c r="D864" s="1">
        <v>45513</v>
      </c>
      <c r="E864">
        <v>278.95</v>
      </c>
      <c r="F864" t="s">
        <v>59</v>
      </c>
      <c r="G864" t="s">
        <v>13</v>
      </c>
      <c r="H864" t="s">
        <v>20</v>
      </c>
      <c r="I864" t="s">
        <v>38</v>
      </c>
      <c r="J864" t="str">
        <f>"FY" &amp; IF(MONTH(GiftData[[#This Row],[Gift_Date]])&gt;=7, RIGHT(YEAR(GiftData[[#This Row],[Gift_Date]])+1, 2), RIGHT(YEAR(GiftData[[#This Row],[Gift_Date]]), 2))</f>
        <v>FY25</v>
      </c>
      <c r="K864">
        <f>IF(COUNTIFS(GiftData[Constituent_ID], GiftData[[#This Row],[Constituent_ID]], GiftData[Fiscal_Year], "FY24")&gt;0, 1, 0)</f>
        <v>1</v>
      </c>
      <c r="L864">
        <f>IF(COUNTIFS(GiftData[Constituent_ID], GiftData[[#This Row],[Constituent_ID]], GiftData[Fiscal_Year], "FY25")&gt;0, 1, 0)</f>
        <v>1</v>
      </c>
      <c r="M864">
        <f>IF(COUNTIFS(GiftData[Constituent_ID], GiftData[[#This Row],[Constituent_ID]], GiftData[Fiscal_Year], "FY26")&gt;0, 1, 0)</f>
        <v>1</v>
      </c>
      <c r="N864" t="str" cm="1">
        <f t="array" ref="N8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5" spans="1:14" x14ac:dyDescent="0.2">
      <c r="A865" t="s">
        <v>1233</v>
      </c>
      <c r="B865" t="s">
        <v>273</v>
      </c>
      <c r="C865" t="s">
        <v>18</v>
      </c>
      <c r="D865" s="1">
        <v>45771</v>
      </c>
      <c r="E865">
        <v>18.059999999999999</v>
      </c>
      <c r="F865" t="s">
        <v>12</v>
      </c>
      <c r="G865" t="s">
        <v>13</v>
      </c>
      <c r="H865" t="s">
        <v>20</v>
      </c>
      <c r="I865" t="s">
        <v>30</v>
      </c>
      <c r="J865" t="str">
        <f>"FY" &amp; IF(MONTH(GiftData[[#This Row],[Gift_Date]])&gt;=7, RIGHT(YEAR(GiftData[[#This Row],[Gift_Date]])+1, 2), RIGHT(YEAR(GiftData[[#This Row],[Gift_Date]]), 2))</f>
        <v>FY25</v>
      </c>
      <c r="K865">
        <f>IF(COUNTIFS(GiftData[Constituent_ID], GiftData[[#This Row],[Constituent_ID]], GiftData[Fiscal_Year], "FY24")&gt;0, 1, 0)</f>
        <v>0</v>
      </c>
      <c r="L865">
        <f>IF(COUNTIFS(GiftData[Constituent_ID], GiftData[[#This Row],[Constituent_ID]], GiftData[Fiscal_Year], "FY25")&gt;0, 1, 0)</f>
        <v>1</v>
      </c>
      <c r="M865">
        <f>IF(COUNTIFS(GiftData[Constituent_ID], GiftData[[#This Row],[Constituent_ID]], GiftData[Fiscal_Year], "FY26")&gt;0, 1, 0)</f>
        <v>0</v>
      </c>
      <c r="N865" t="str" cm="1">
        <f t="array" ref="N8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66" spans="1:14" x14ac:dyDescent="0.2">
      <c r="A866" t="s">
        <v>1234</v>
      </c>
      <c r="B866" t="s">
        <v>79</v>
      </c>
      <c r="C866" t="s">
        <v>11</v>
      </c>
      <c r="D866" s="1">
        <v>45649</v>
      </c>
      <c r="E866">
        <v>820.35</v>
      </c>
      <c r="F866" t="s">
        <v>12</v>
      </c>
      <c r="G866" t="s">
        <v>29</v>
      </c>
      <c r="H866" t="s">
        <v>14</v>
      </c>
      <c r="I866" t="s">
        <v>15</v>
      </c>
      <c r="J866" t="str">
        <f>"FY" &amp; IF(MONTH(GiftData[[#This Row],[Gift_Date]])&gt;=7, RIGHT(YEAR(GiftData[[#This Row],[Gift_Date]])+1, 2), RIGHT(YEAR(GiftData[[#This Row],[Gift_Date]]), 2))</f>
        <v>FY25</v>
      </c>
      <c r="K866">
        <f>IF(COUNTIFS(GiftData[Constituent_ID], GiftData[[#This Row],[Constituent_ID]], GiftData[Fiscal_Year], "FY24")&gt;0, 1, 0)</f>
        <v>1</v>
      </c>
      <c r="L866">
        <f>IF(COUNTIFS(GiftData[Constituent_ID], GiftData[[#This Row],[Constituent_ID]], GiftData[Fiscal_Year], "FY25")&gt;0, 1, 0)</f>
        <v>1</v>
      </c>
      <c r="M866">
        <f>IF(COUNTIFS(GiftData[Constituent_ID], GiftData[[#This Row],[Constituent_ID]], GiftData[Fiscal_Year], "FY26")&gt;0, 1, 0)</f>
        <v>1</v>
      </c>
      <c r="N866" t="str" cm="1">
        <f t="array" ref="N8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7" spans="1:14" x14ac:dyDescent="0.2">
      <c r="A867" t="s">
        <v>1235</v>
      </c>
      <c r="B867" t="s">
        <v>1236</v>
      </c>
      <c r="C867" t="s">
        <v>18</v>
      </c>
      <c r="D867" s="1">
        <v>46105</v>
      </c>
      <c r="E867">
        <v>76.3</v>
      </c>
      <c r="F867" t="s">
        <v>59</v>
      </c>
      <c r="G867" t="s">
        <v>29</v>
      </c>
      <c r="H867" t="s">
        <v>20</v>
      </c>
      <c r="I867" t="s">
        <v>38</v>
      </c>
      <c r="J867" t="str">
        <f>"FY" &amp; IF(MONTH(GiftData[[#This Row],[Gift_Date]])&gt;=7, RIGHT(YEAR(GiftData[[#This Row],[Gift_Date]])+1, 2), RIGHT(YEAR(GiftData[[#This Row],[Gift_Date]]), 2))</f>
        <v>FY26</v>
      </c>
      <c r="K867">
        <f>IF(COUNTIFS(GiftData[Constituent_ID], GiftData[[#This Row],[Constituent_ID]], GiftData[Fiscal_Year], "FY24")&gt;0, 1, 0)</f>
        <v>0</v>
      </c>
      <c r="L867">
        <f>IF(COUNTIFS(GiftData[Constituent_ID], GiftData[[#This Row],[Constituent_ID]], GiftData[Fiscal_Year], "FY25")&gt;0, 1, 0)</f>
        <v>0</v>
      </c>
      <c r="M867">
        <f>IF(COUNTIFS(GiftData[Constituent_ID], GiftData[[#This Row],[Constituent_ID]], GiftData[Fiscal_Year], "FY26")&gt;0, 1, 0)</f>
        <v>1</v>
      </c>
      <c r="N867" t="str" cm="1">
        <f t="array" ref="N8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8" spans="1:14" x14ac:dyDescent="0.2">
      <c r="A868" t="s">
        <v>1237</v>
      </c>
      <c r="B868" t="s">
        <v>881</v>
      </c>
      <c r="C868" t="s">
        <v>28</v>
      </c>
      <c r="D868" s="1">
        <v>46034</v>
      </c>
      <c r="E868">
        <v>145.25</v>
      </c>
      <c r="F868" t="s">
        <v>59</v>
      </c>
      <c r="G868" t="s">
        <v>29</v>
      </c>
      <c r="H868" t="s">
        <v>164</v>
      </c>
      <c r="I868" t="s">
        <v>38</v>
      </c>
      <c r="J868" t="str">
        <f>"FY" &amp; IF(MONTH(GiftData[[#This Row],[Gift_Date]])&gt;=7, RIGHT(YEAR(GiftData[[#This Row],[Gift_Date]])+1, 2), RIGHT(YEAR(GiftData[[#This Row],[Gift_Date]]), 2))</f>
        <v>FY26</v>
      </c>
      <c r="K868">
        <f>IF(COUNTIFS(GiftData[Constituent_ID], GiftData[[#This Row],[Constituent_ID]], GiftData[Fiscal_Year], "FY24")&gt;0, 1, 0)</f>
        <v>1</v>
      </c>
      <c r="L868">
        <f>IF(COUNTIFS(GiftData[Constituent_ID], GiftData[[#This Row],[Constituent_ID]], GiftData[Fiscal_Year], "FY25")&gt;0, 1, 0)</f>
        <v>1</v>
      </c>
      <c r="M868">
        <f>IF(COUNTIFS(GiftData[Constituent_ID], GiftData[[#This Row],[Constituent_ID]], GiftData[Fiscal_Year], "FY26")&gt;0, 1, 0)</f>
        <v>1</v>
      </c>
      <c r="N868" t="str" cm="1">
        <f t="array" ref="N8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69" spans="1:14" x14ac:dyDescent="0.2">
      <c r="A869" t="s">
        <v>1238</v>
      </c>
      <c r="B869" t="s">
        <v>154</v>
      </c>
      <c r="C869" t="s">
        <v>18</v>
      </c>
      <c r="D869" s="1">
        <v>45975</v>
      </c>
      <c r="E869">
        <v>550.52</v>
      </c>
      <c r="F869" t="s">
        <v>25</v>
      </c>
      <c r="G869" t="s">
        <v>13</v>
      </c>
      <c r="H869" t="s">
        <v>20</v>
      </c>
      <c r="I869" t="s">
        <v>15</v>
      </c>
      <c r="J869" t="str">
        <f>"FY" &amp; IF(MONTH(GiftData[[#This Row],[Gift_Date]])&gt;=7, RIGHT(YEAR(GiftData[[#This Row],[Gift_Date]])+1, 2), RIGHT(YEAR(GiftData[[#This Row],[Gift_Date]]), 2))</f>
        <v>FY26</v>
      </c>
      <c r="K869">
        <f>IF(COUNTIFS(GiftData[Constituent_ID], GiftData[[#This Row],[Constituent_ID]], GiftData[Fiscal_Year], "FY24")&gt;0, 1, 0)</f>
        <v>0</v>
      </c>
      <c r="L869">
        <f>IF(COUNTIFS(GiftData[Constituent_ID], GiftData[[#This Row],[Constituent_ID]], GiftData[Fiscal_Year], "FY25")&gt;0, 1, 0)</f>
        <v>0</v>
      </c>
      <c r="M869">
        <f>IF(COUNTIFS(GiftData[Constituent_ID], GiftData[[#This Row],[Constituent_ID]], GiftData[Fiscal_Year], "FY26")&gt;0, 1, 0)</f>
        <v>1</v>
      </c>
      <c r="N869" t="str" cm="1">
        <f t="array" ref="N8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0" spans="1:14" x14ac:dyDescent="0.2">
      <c r="A870" t="s">
        <v>1239</v>
      </c>
      <c r="B870" t="s">
        <v>520</v>
      </c>
      <c r="C870" t="s">
        <v>48</v>
      </c>
      <c r="D870" s="1">
        <v>45126</v>
      </c>
      <c r="E870">
        <v>43.33</v>
      </c>
      <c r="F870" t="s">
        <v>12</v>
      </c>
      <c r="G870" t="s">
        <v>29</v>
      </c>
      <c r="H870" t="s">
        <v>20</v>
      </c>
      <c r="I870" t="s">
        <v>15</v>
      </c>
      <c r="J870" t="str">
        <f>"FY" &amp; IF(MONTH(GiftData[[#This Row],[Gift_Date]])&gt;=7, RIGHT(YEAR(GiftData[[#This Row],[Gift_Date]])+1, 2), RIGHT(YEAR(GiftData[[#This Row],[Gift_Date]]), 2))</f>
        <v>FY24</v>
      </c>
      <c r="K870">
        <f>IF(COUNTIFS(GiftData[Constituent_ID], GiftData[[#This Row],[Constituent_ID]], GiftData[Fiscal_Year], "FY24")&gt;0, 1, 0)</f>
        <v>1</v>
      </c>
      <c r="L870">
        <f>IF(COUNTIFS(GiftData[Constituent_ID], GiftData[[#This Row],[Constituent_ID]], GiftData[Fiscal_Year], "FY25")&gt;0, 1, 0)</f>
        <v>0</v>
      </c>
      <c r="M870">
        <f>IF(COUNTIFS(GiftData[Constituent_ID], GiftData[[#This Row],[Constituent_ID]], GiftData[Fiscal_Year], "FY26")&gt;0, 1, 0)</f>
        <v>1</v>
      </c>
      <c r="N870" t="str" cm="1">
        <f t="array" ref="N8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1" spans="1:14" x14ac:dyDescent="0.2">
      <c r="A871" t="s">
        <v>1240</v>
      </c>
      <c r="B871" t="s">
        <v>10</v>
      </c>
      <c r="C871" t="s">
        <v>35</v>
      </c>
      <c r="D871" s="1">
        <v>45539</v>
      </c>
      <c r="E871">
        <v>482.54</v>
      </c>
      <c r="F871" t="s">
        <v>59</v>
      </c>
      <c r="G871" t="s">
        <v>13</v>
      </c>
      <c r="H871" t="s">
        <v>20</v>
      </c>
      <c r="I871" t="s">
        <v>15</v>
      </c>
      <c r="J871" t="str">
        <f>"FY" &amp; IF(MONTH(GiftData[[#This Row],[Gift_Date]])&gt;=7, RIGHT(YEAR(GiftData[[#This Row],[Gift_Date]])+1, 2), RIGHT(YEAR(GiftData[[#This Row],[Gift_Date]]), 2))</f>
        <v>FY25</v>
      </c>
      <c r="K871">
        <f>IF(COUNTIFS(GiftData[Constituent_ID], GiftData[[#This Row],[Constituent_ID]], GiftData[Fiscal_Year], "FY24")&gt;0, 1, 0)</f>
        <v>0</v>
      </c>
      <c r="L871">
        <f>IF(COUNTIFS(GiftData[Constituent_ID], GiftData[[#This Row],[Constituent_ID]], GiftData[Fiscal_Year], "FY25")&gt;0, 1, 0)</f>
        <v>1</v>
      </c>
      <c r="M871">
        <f>IF(COUNTIFS(GiftData[Constituent_ID], GiftData[[#This Row],[Constituent_ID]], GiftData[Fiscal_Year], "FY26")&gt;0, 1, 0)</f>
        <v>1</v>
      </c>
      <c r="N871" t="str" cm="1">
        <f t="array" ref="N8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2" spans="1:14" x14ac:dyDescent="0.2">
      <c r="A872" t="s">
        <v>1241</v>
      </c>
      <c r="B872" t="s">
        <v>567</v>
      </c>
      <c r="C872" t="s">
        <v>11</v>
      </c>
      <c r="D872" s="1">
        <v>45847</v>
      </c>
      <c r="E872">
        <v>1025.25</v>
      </c>
      <c r="F872" t="s">
        <v>12</v>
      </c>
      <c r="G872" t="s">
        <v>13</v>
      </c>
      <c r="H872" t="s">
        <v>20</v>
      </c>
      <c r="I872" t="s">
        <v>15</v>
      </c>
      <c r="J872" t="str">
        <f>"FY" &amp; IF(MONTH(GiftData[[#This Row],[Gift_Date]])&gt;=7, RIGHT(YEAR(GiftData[[#This Row],[Gift_Date]])+1, 2), RIGHT(YEAR(GiftData[[#This Row],[Gift_Date]]), 2))</f>
        <v>FY26</v>
      </c>
      <c r="K872">
        <f>IF(COUNTIFS(GiftData[Constituent_ID], GiftData[[#This Row],[Constituent_ID]], GiftData[Fiscal_Year], "FY24")&gt;0, 1, 0)</f>
        <v>1</v>
      </c>
      <c r="L872">
        <f>IF(COUNTIFS(GiftData[Constituent_ID], GiftData[[#This Row],[Constituent_ID]], GiftData[Fiscal_Year], "FY25")&gt;0, 1, 0)</f>
        <v>0</v>
      </c>
      <c r="M872">
        <f>IF(COUNTIFS(GiftData[Constituent_ID], GiftData[[#This Row],[Constituent_ID]], GiftData[Fiscal_Year], "FY26")&gt;0, 1, 0)</f>
        <v>1</v>
      </c>
      <c r="N872" t="str" cm="1">
        <f t="array" ref="N8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3" spans="1:14" x14ac:dyDescent="0.2">
      <c r="A873" t="s">
        <v>1242</v>
      </c>
      <c r="B873" t="s">
        <v>1243</v>
      </c>
      <c r="C873" t="s">
        <v>35</v>
      </c>
      <c r="D873" s="1">
        <v>45290</v>
      </c>
      <c r="E873">
        <v>51.82</v>
      </c>
      <c r="F873" t="s">
        <v>25</v>
      </c>
      <c r="G873" t="s">
        <v>13</v>
      </c>
      <c r="H873" t="s">
        <v>41</v>
      </c>
      <c r="I873" t="s">
        <v>38</v>
      </c>
      <c r="J873" t="str">
        <f>"FY" &amp; IF(MONTH(GiftData[[#This Row],[Gift_Date]])&gt;=7, RIGHT(YEAR(GiftData[[#This Row],[Gift_Date]])+1, 2), RIGHT(YEAR(GiftData[[#This Row],[Gift_Date]]), 2))</f>
        <v>FY24</v>
      </c>
      <c r="K873">
        <f>IF(COUNTIFS(GiftData[Constituent_ID], GiftData[[#This Row],[Constituent_ID]], GiftData[Fiscal_Year], "FY24")&gt;0, 1, 0)</f>
        <v>1</v>
      </c>
      <c r="L873">
        <f>IF(COUNTIFS(GiftData[Constituent_ID], GiftData[[#This Row],[Constituent_ID]], GiftData[Fiscal_Year], "FY25")&gt;0, 1, 0)</f>
        <v>0</v>
      </c>
      <c r="M873">
        <f>IF(COUNTIFS(GiftData[Constituent_ID], GiftData[[#This Row],[Constituent_ID]], GiftData[Fiscal_Year], "FY26")&gt;0, 1, 0)</f>
        <v>1</v>
      </c>
      <c r="N873" t="str" cm="1">
        <f t="array" ref="N8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4" spans="1:14" x14ac:dyDescent="0.2">
      <c r="A874" t="s">
        <v>1244</v>
      </c>
      <c r="B874" t="s">
        <v>150</v>
      </c>
      <c r="C874" t="s">
        <v>35</v>
      </c>
      <c r="D874" s="1">
        <v>45220</v>
      </c>
      <c r="E874">
        <v>720.69</v>
      </c>
      <c r="F874" t="s">
        <v>12</v>
      </c>
      <c r="G874" t="s">
        <v>13</v>
      </c>
      <c r="H874" t="s">
        <v>41</v>
      </c>
      <c r="I874" t="s">
        <v>15</v>
      </c>
      <c r="J874" t="str">
        <f>"FY" &amp; IF(MONTH(GiftData[[#This Row],[Gift_Date]])&gt;=7, RIGHT(YEAR(GiftData[[#This Row],[Gift_Date]])+1, 2), RIGHT(YEAR(GiftData[[#This Row],[Gift_Date]]), 2))</f>
        <v>FY24</v>
      </c>
      <c r="K874">
        <f>IF(COUNTIFS(GiftData[Constituent_ID], GiftData[[#This Row],[Constituent_ID]], GiftData[Fiscal_Year], "FY24")&gt;0, 1, 0)</f>
        <v>1</v>
      </c>
      <c r="L874">
        <f>IF(COUNTIFS(GiftData[Constituent_ID], GiftData[[#This Row],[Constituent_ID]], GiftData[Fiscal_Year], "FY25")&gt;0, 1, 0)</f>
        <v>1</v>
      </c>
      <c r="M874">
        <f>IF(COUNTIFS(GiftData[Constituent_ID], GiftData[[#This Row],[Constituent_ID]], GiftData[Fiscal_Year], "FY26")&gt;0, 1, 0)</f>
        <v>0</v>
      </c>
      <c r="N874" t="str" cm="1">
        <f t="array" ref="N8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75" spans="1:14" x14ac:dyDescent="0.2">
      <c r="A875" t="s">
        <v>1245</v>
      </c>
      <c r="B875" t="s">
        <v>85</v>
      </c>
      <c r="C875" t="s">
        <v>48</v>
      </c>
      <c r="D875" s="1">
        <v>45588</v>
      </c>
      <c r="E875">
        <v>15</v>
      </c>
      <c r="F875" t="s">
        <v>25</v>
      </c>
      <c r="G875" t="s">
        <v>29</v>
      </c>
      <c r="H875" t="s">
        <v>14</v>
      </c>
      <c r="I875" t="s">
        <v>30</v>
      </c>
      <c r="J875" t="str">
        <f>"FY" &amp; IF(MONTH(GiftData[[#This Row],[Gift_Date]])&gt;=7, RIGHT(YEAR(GiftData[[#This Row],[Gift_Date]])+1, 2), RIGHT(YEAR(GiftData[[#This Row],[Gift_Date]]), 2))</f>
        <v>FY25</v>
      </c>
      <c r="K875">
        <f>IF(COUNTIFS(GiftData[Constituent_ID], GiftData[[#This Row],[Constituent_ID]], GiftData[Fiscal_Year], "FY24")&gt;0, 1, 0)</f>
        <v>1</v>
      </c>
      <c r="L875">
        <f>IF(COUNTIFS(GiftData[Constituent_ID], GiftData[[#This Row],[Constituent_ID]], GiftData[Fiscal_Year], "FY25")&gt;0, 1, 0)</f>
        <v>1</v>
      </c>
      <c r="M875">
        <f>IF(COUNTIFS(GiftData[Constituent_ID], GiftData[[#This Row],[Constituent_ID]], GiftData[Fiscal_Year], "FY26")&gt;0, 1, 0)</f>
        <v>1</v>
      </c>
      <c r="N875" t="str" cm="1">
        <f t="array" ref="N8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6" spans="1:14" x14ac:dyDescent="0.2">
      <c r="A876" t="s">
        <v>1246</v>
      </c>
      <c r="B876" t="s">
        <v>1247</v>
      </c>
      <c r="C876" t="s">
        <v>28</v>
      </c>
      <c r="D876" s="1">
        <v>45938</v>
      </c>
      <c r="E876">
        <v>201.64</v>
      </c>
      <c r="F876" t="s">
        <v>12</v>
      </c>
      <c r="G876" t="s">
        <v>13</v>
      </c>
      <c r="H876" t="s">
        <v>41</v>
      </c>
      <c r="I876" t="s">
        <v>15</v>
      </c>
      <c r="J876" t="str">
        <f>"FY" &amp; IF(MONTH(GiftData[[#This Row],[Gift_Date]])&gt;=7, RIGHT(YEAR(GiftData[[#This Row],[Gift_Date]])+1, 2), RIGHT(YEAR(GiftData[[#This Row],[Gift_Date]]), 2))</f>
        <v>FY26</v>
      </c>
      <c r="K876">
        <f>IF(COUNTIFS(GiftData[Constituent_ID], GiftData[[#This Row],[Constituent_ID]], GiftData[Fiscal_Year], "FY24")&gt;0, 1, 0)</f>
        <v>0</v>
      </c>
      <c r="L876">
        <f>IF(COUNTIFS(GiftData[Constituent_ID], GiftData[[#This Row],[Constituent_ID]], GiftData[Fiscal_Year], "FY25")&gt;0, 1, 0)</f>
        <v>1</v>
      </c>
      <c r="M876">
        <f>IF(COUNTIFS(GiftData[Constituent_ID], GiftData[[#This Row],[Constituent_ID]], GiftData[Fiscal_Year], "FY26")&gt;0, 1, 0)</f>
        <v>1</v>
      </c>
      <c r="N876" t="str" cm="1">
        <f t="array" ref="N8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7" spans="1:14" x14ac:dyDescent="0.2">
      <c r="A877" t="s">
        <v>1248</v>
      </c>
      <c r="B877" t="s">
        <v>454</v>
      </c>
      <c r="C877" t="s">
        <v>18</v>
      </c>
      <c r="D877" s="1">
        <v>45870</v>
      </c>
      <c r="E877">
        <v>24.6</v>
      </c>
      <c r="F877" t="s">
        <v>12</v>
      </c>
      <c r="G877" t="s">
        <v>13</v>
      </c>
      <c r="H877" t="s">
        <v>14</v>
      </c>
      <c r="I877" t="s">
        <v>38</v>
      </c>
      <c r="J877" t="str">
        <f>"FY" &amp; IF(MONTH(GiftData[[#This Row],[Gift_Date]])&gt;=7, RIGHT(YEAR(GiftData[[#This Row],[Gift_Date]])+1, 2), RIGHT(YEAR(GiftData[[#This Row],[Gift_Date]]), 2))</f>
        <v>FY26</v>
      </c>
      <c r="K877">
        <f>IF(COUNTIFS(GiftData[Constituent_ID], GiftData[[#This Row],[Constituent_ID]], GiftData[Fiscal_Year], "FY24")&gt;0, 1, 0)</f>
        <v>0</v>
      </c>
      <c r="L877">
        <f>IF(COUNTIFS(GiftData[Constituent_ID], GiftData[[#This Row],[Constituent_ID]], GiftData[Fiscal_Year], "FY25")&gt;0, 1, 0)</f>
        <v>1</v>
      </c>
      <c r="M877">
        <f>IF(COUNTIFS(GiftData[Constituent_ID], GiftData[[#This Row],[Constituent_ID]], GiftData[Fiscal_Year], "FY26")&gt;0, 1, 0)</f>
        <v>1</v>
      </c>
      <c r="N877" t="str" cm="1">
        <f t="array" ref="N8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78" spans="1:14" x14ac:dyDescent="0.2">
      <c r="A878" t="s">
        <v>1249</v>
      </c>
      <c r="B878" t="s">
        <v>1250</v>
      </c>
      <c r="C878" t="s">
        <v>28</v>
      </c>
      <c r="D878" s="1">
        <v>45583</v>
      </c>
      <c r="E878">
        <v>413.78</v>
      </c>
      <c r="F878" t="s">
        <v>12</v>
      </c>
      <c r="G878" t="s">
        <v>13</v>
      </c>
      <c r="H878" t="s">
        <v>41</v>
      </c>
      <c r="I878" t="s">
        <v>38</v>
      </c>
      <c r="J878" t="str">
        <f>"FY" &amp; IF(MONTH(GiftData[[#This Row],[Gift_Date]])&gt;=7, RIGHT(YEAR(GiftData[[#This Row],[Gift_Date]])+1, 2), RIGHT(YEAR(GiftData[[#This Row],[Gift_Date]]), 2))</f>
        <v>FY25</v>
      </c>
      <c r="K878">
        <f>IF(COUNTIFS(GiftData[Constituent_ID], GiftData[[#This Row],[Constituent_ID]], GiftData[Fiscal_Year], "FY24")&gt;0, 1, 0)</f>
        <v>0</v>
      </c>
      <c r="L878">
        <f>IF(COUNTIFS(GiftData[Constituent_ID], GiftData[[#This Row],[Constituent_ID]], GiftData[Fiscal_Year], "FY25")&gt;0, 1, 0)</f>
        <v>1</v>
      </c>
      <c r="M878">
        <f>IF(COUNTIFS(GiftData[Constituent_ID], GiftData[[#This Row],[Constituent_ID]], GiftData[Fiscal_Year], "FY26")&gt;0, 1, 0)</f>
        <v>0</v>
      </c>
      <c r="N878" t="str" cm="1">
        <f t="array" ref="N8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79" spans="1:14" x14ac:dyDescent="0.2">
      <c r="A879" t="s">
        <v>1251</v>
      </c>
      <c r="B879" t="s">
        <v>500</v>
      </c>
      <c r="C879" t="s">
        <v>28</v>
      </c>
      <c r="D879" s="1">
        <v>45870</v>
      </c>
      <c r="E879">
        <v>371.89</v>
      </c>
      <c r="F879" t="s">
        <v>12</v>
      </c>
      <c r="G879" t="s">
        <v>13</v>
      </c>
      <c r="H879" t="s">
        <v>20</v>
      </c>
      <c r="I879" t="s">
        <v>15</v>
      </c>
      <c r="J879" t="str">
        <f>"FY" &amp; IF(MONTH(GiftData[[#This Row],[Gift_Date]])&gt;=7, RIGHT(YEAR(GiftData[[#This Row],[Gift_Date]])+1, 2), RIGHT(YEAR(GiftData[[#This Row],[Gift_Date]]), 2))</f>
        <v>FY26</v>
      </c>
      <c r="K879">
        <f>IF(COUNTIFS(GiftData[Constituent_ID], GiftData[[#This Row],[Constituent_ID]], GiftData[Fiscal_Year], "FY24")&gt;0, 1, 0)</f>
        <v>1</v>
      </c>
      <c r="L879">
        <f>IF(COUNTIFS(GiftData[Constituent_ID], GiftData[[#This Row],[Constituent_ID]], GiftData[Fiscal_Year], "FY25")&gt;0, 1, 0)</f>
        <v>1</v>
      </c>
      <c r="M879">
        <f>IF(COUNTIFS(GiftData[Constituent_ID], GiftData[[#This Row],[Constituent_ID]], GiftData[Fiscal_Year], "FY26")&gt;0, 1, 0)</f>
        <v>1</v>
      </c>
      <c r="N879" t="str" cm="1">
        <f t="array" ref="N8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0" spans="1:14" x14ac:dyDescent="0.2">
      <c r="A880" t="s">
        <v>1252</v>
      </c>
      <c r="B880" t="s">
        <v>373</v>
      </c>
      <c r="C880" t="s">
        <v>28</v>
      </c>
      <c r="D880" s="1">
        <v>46078</v>
      </c>
      <c r="E880">
        <v>1809.12</v>
      </c>
      <c r="F880" t="s">
        <v>25</v>
      </c>
      <c r="G880" t="s">
        <v>13</v>
      </c>
      <c r="H880" t="s">
        <v>14</v>
      </c>
      <c r="I880" t="s">
        <v>15</v>
      </c>
      <c r="J880" t="str">
        <f>"FY" &amp; IF(MONTH(GiftData[[#This Row],[Gift_Date]])&gt;=7, RIGHT(YEAR(GiftData[[#This Row],[Gift_Date]])+1, 2), RIGHT(YEAR(GiftData[[#This Row],[Gift_Date]]), 2))</f>
        <v>FY26</v>
      </c>
      <c r="K880">
        <f>IF(COUNTIFS(GiftData[Constituent_ID], GiftData[[#This Row],[Constituent_ID]], GiftData[Fiscal_Year], "FY24")&gt;0, 1, 0)</f>
        <v>1</v>
      </c>
      <c r="L880">
        <f>IF(COUNTIFS(GiftData[Constituent_ID], GiftData[[#This Row],[Constituent_ID]], GiftData[Fiscal_Year], "FY25")&gt;0, 1, 0)</f>
        <v>1</v>
      </c>
      <c r="M880">
        <f>IF(COUNTIFS(GiftData[Constituent_ID], GiftData[[#This Row],[Constituent_ID]], GiftData[Fiscal_Year], "FY26")&gt;0, 1, 0)</f>
        <v>1</v>
      </c>
      <c r="N880" t="str" cm="1">
        <f t="array" ref="N8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1" spans="1:14" x14ac:dyDescent="0.2">
      <c r="A881" t="s">
        <v>1253</v>
      </c>
      <c r="B881" t="s">
        <v>460</v>
      </c>
      <c r="C881" t="s">
        <v>11</v>
      </c>
      <c r="D881" s="1">
        <v>46127</v>
      </c>
      <c r="E881">
        <v>770.98</v>
      </c>
      <c r="F881" t="s">
        <v>59</v>
      </c>
      <c r="G881" t="s">
        <v>13</v>
      </c>
      <c r="H881" t="s">
        <v>41</v>
      </c>
      <c r="I881" t="s">
        <v>38</v>
      </c>
      <c r="J881" t="str">
        <f>"FY" &amp; IF(MONTH(GiftData[[#This Row],[Gift_Date]])&gt;=7, RIGHT(YEAR(GiftData[[#This Row],[Gift_Date]])+1, 2), RIGHT(YEAR(GiftData[[#This Row],[Gift_Date]]), 2))</f>
        <v>FY26</v>
      </c>
      <c r="K881">
        <f>IF(COUNTIFS(GiftData[Constituent_ID], GiftData[[#This Row],[Constituent_ID]], GiftData[Fiscal_Year], "FY24")&gt;0, 1, 0)</f>
        <v>1</v>
      </c>
      <c r="L881">
        <f>IF(COUNTIFS(GiftData[Constituent_ID], GiftData[[#This Row],[Constituent_ID]], GiftData[Fiscal_Year], "FY25")&gt;0, 1, 0)</f>
        <v>1</v>
      </c>
      <c r="M881">
        <f>IF(COUNTIFS(GiftData[Constituent_ID], GiftData[[#This Row],[Constituent_ID]], GiftData[Fiscal_Year], "FY26")&gt;0, 1, 0)</f>
        <v>1</v>
      </c>
      <c r="N881" t="str" cm="1">
        <f t="array" ref="N8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2" spans="1:14" x14ac:dyDescent="0.2">
      <c r="A882" t="s">
        <v>1254</v>
      </c>
      <c r="B882" t="s">
        <v>1037</v>
      </c>
      <c r="C882" t="s">
        <v>35</v>
      </c>
      <c r="D882" s="1">
        <v>45268</v>
      </c>
      <c r="E882">
        <v>97.95</v>
      </c>
      <c r="F882" t="s">
        <v>19</v>
      </c>
      <c r="G882" t="s">
        <v>29</v>
      </c>
      <c r="H882" t="s">
        <v>51</v>
      </c>
      <c r="I882" t="s">
        <v>56</v>
      </c>
      <c r="J882" t="str">
        <f>"FY" &amp; IF(MONTH(GiftData[[#This Row],[Gift_Date]])&gt;=7, RIGHT(YEAR(GiftData[[#This Row],[Gift_Date]])+1, 2), RIGHT(YEAR(GiftData[[#This Row],[Gift_Date]]), 2))</f>
        <v>FY24</v>
      </c>
      <c r="K882">
        <f>IF(COUNTIFS(GiftData[Constituent_ID], GiftData[[#This Row],[Constituent_ID]], GiftData[Fiscal_Year], "FY24")&gt;0, 1, 0)</f>
        <v>1</v>
      </c>
      <c r="L882">
        <f>IF(COUNTIFS(GiftData[Constituent_ID], GiftData[[#This Row],[Constituent_ID]], GiftData[Fiscal_Year], "FY25")&gt;0, 1, 0)</f>
        <v>0</v>
      </c>
      <c r="M882">
        <f>IF(COUNTIFS(GiftData[Constituent_ID], GiftData[[#This Row],[Constituent_ID]], GiftData[Fiscal_Year], "FY26")&gt;0, 1, 0)</f>
        <v>1</v>
      </c>
      <c r="N882" t="str" cm="1">
        <f t="array" ref="N8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3" spans="1:14" x14ac:dyDescent="0.2">
      <c r="A883" t="s">
        <v>1255</v>
      </c>
      <c r="B883" t="s">
        <v>1256</v>
      </c>
      <c r="C883" t="s">
        <v>48</v>
      </c>
      <c r="D883" s="1">
        <v>45508</v>
      </c>
      <c r="E883">
        <v>29.78</v>
      </c>
      <c r="F883" t="s">
        <v>12</v>
      </c>
      <c r="G883" t="s">
        <v>13</v>
      </c>
      <c r="H883" t="s">
        <v>41</v>
      </c>
      <c r="I883" t="s">
        <v>15</v>
      </c>
      <c r="J883" t="str">
        <f>"FY" &amp; IF(MONTH(GiftData[[#This Row],[Gift_Date]])&gt;=7, RIGHT(YEAR(GiftData[[#This Row],[Gift_Date]])+1, 2), RIGHT(YEAR(GiftData[[#This Row],[Gift_Date]]), 2))</f>
        <v>FY25</v>
      </c>
      <c r="K883">
        <f>IF(COUNTIFS(GiftData[Constituent_ID], GiftData[[#This Row],[Constituent_ID]], GiftData[Fiscal_Year], "FY24")&gt;0, 1, 0)</f>
        <v>0</v>
      </c>
      <c r="L883">
        <f>IF(COUNTIFS(GiftData[Constituent_ID], GiftData[[#This Row],[Constituent_ID]], GiftData[Fiscal_Year], "FY25")&gt;0, 1, 0)</f>
        <v>1</v>
      </c>
      <c r="M883">
        <f>IF(COUNTIFS(GiftData[Constituent_ID], GiftData[[#This Row],[Constituent_ID]], GiftData[Fiscal_Year], "FY26")&gt;0, 1, 0)</f>
        <v>0</v>
      </c>
      <c r="N883" t="str" cm="1">
        <f t="array" ref="N8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84" spans="1:14" x14ac:dyDescent="0.2">
      <c r="A884" t="s">
        <v>1257</v>
      </c>
      <c r="B884" t="s">
        <v>95</v>
      </c>
      <c r="C884" t="s">
        <v>18</v>
      </c>
      <c r="D884" s="1">
        <v>45305</v>
      </c>
      <c r="E884">
        <v>253.51</v>
      </c>
      <c r="F884" t="s">
        <v>25</v>
      </c>
      <c r="G884" t="s">
        <v>13</v>
      </c>
      <c r="H884" t="s">
        <v>20</v>
      </c>
      <c r="I884" t="s">
        <v>15</v>
      </c>
      <c r="J884" t="str">
        <f>"FY" &amp; IF(MONTH(GiftData[[#This Row],[Gift_Date]])&gt;=7, RIGHT(YEAR(GiftData[[#This Row],[Gift_Date]])+1, 2), RIGHT(YEAR(GiftData[[#This Row],[Gift_Date]]), 2))</f>
        <v>FY24</v>
      </c>
      <c r="K884">
        <f>IF(COUNTIFS(GiftData[Constituent_ID], GiftData[[#This Row],[Constituent_ID]], GiftData[Fiscal_Year], "FY24")&gt;0, 1, 0)</f>
        <v>1</v>
      </c>
      <c r="L884">
        <f>IF(COUNTIFS(GiftData[Constituent_ID], GiftData[[#This Row],[Constituent_ID]], GiftData[Fiscal_Year], "FY25")&gt;0, 1, 0)</f>
        <v>0</v>
      </c>
      <c r="M884">
        <f>IF(COUNTIFS(GiftData[Constituent_ID], GiftData[[#This Row],[Constituent_ID]], GiftData[Fiscal_Year], "FY26")&gt;0, 1, 0)</f>
        <v>1</v>
      </c>
      <c r="N884" t="str" cm="1">
        <f t="array" ref="N8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5" spans="1:14" x14ac:dyDescent="0.2">
      <c r="A885" t="s">
        <v>1258</v>
      </c>
      <c r="B885" t="s">
        <v>649</v>
      </c>
      <c r="C885" t="s">
        <v>18</v>
      </c>
      <c r="D885" s="1">
        <v>45767</v>
      </c>
      <c r="E885">
        <v>112.29</v>
      </c>
      <c r="F885" t="s">
        <v>25</v>
      </c>
      <c r="G885" t="s">
        <v>13</v>
      </c>
      <c r="H885" t="s">
        <v>20</v>
      </c>
      <c r="I885" t="s">
        <v>15</v>
      </c>
      <c r="J885" t="str">
        <f>"FY" &amp; IF(MONTH(GiftData[[#This Row],[Gift_Date]])&gt;=7, RIGHT(YEAR(GiftData[[#This Row],[Gift_Date]])+1, 2), RIGHT(YEAR(GiftData[[#This Row],[Gift_Date]]), 2))</f>
        <v>FY25</v>
      </c>
      <c r="K885">
        <f>IF(COUNTIFS(GiftData[Constituent_ID], GiftData[[#This Row],[Constituent_ID]], GiftData[Fiscal_Year], "FY24")&gt;0, 1, 0)</f>
        <v>1</v>
      </c>
      <c r="L885">
        <f>IF(COUNTIFS(GiftData[Constituent_ID], GiftData[[#This Row],[Constituent_ID]], GiftData[Fiscal_Year], "FY25")&gt;0, 1, 0)</f>
        <v>1</v>
      </c>
      <c r="M885">
        <f>IF(COUNTIFS(GiftData[Constituent_ID], GiftData[[#This Row],[Constituent_ID]], GiftData[Fiscal_Year], "FY26")&gt;0, 1, 0)</f>
        <v>1</v>
      </c>
      <c r="N885" t="str" cm="1">
        <f t="array" ref="N8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6" spans="1:14" x14ac:dyDescent="0.2">
      <c r="A886" t="s">
        <v>1259</v>
      </c>
      <c r="B886" t="s">
        <v>472</v>
      </c>
      <c r="C886" t="s">
        <v>18</v>
      </c>
      <c r="D886" s="1">
        <v>45506</v>
      </c>
      <c r="E886">
        <v>912.79</v>
      </c>
      <c r="F886" t="s">
        <v>12</v>
      </c>
      <c r="G886" t="s">
        <v>13</v>
      </c>
      <c r="H886" t="s">
        <v>164</v>
      </c>
      <c r="I886" t="s">
        <v>15</v>
      </c>
      <c r="J886" t="str">
        <f>"FY" &amp; IF(MONTH(GiftData[[#This Row],[Gift_Date]])&gt;=7, RIGHT(YEAR(GiftData[[#This Row],[Gift_Date]])+1, 2), RIGHT(YEAR(GiftData[[#This Row],[Gift_Date]]), 2))</f>
        <v>FY25</v>
      </c>
      <c r="K886">
        <f>IF(COUNTIFS(GiftData[Constituent_ID], GiftData[[#This Row],[Constituent_ID]], GiftData[Fiscal_Year], "FY24")&gt;0, 1, 0)</f>
        <v>1</v>
      </c>
      <c r="L886">
        <f>IF(COUNTIFS(GiftData[Constituent_ID], GiftData[[#This Row],[Constituent_ID]], GiftData[Fiscal_Year], "FY25")&gt;0, 1, 0)</f>
        <v>1</v>
      </c>
      <c r="M886">
        <f>IF(COUNTIFS(GiftData[Constituent_ID], GiftData[[#This Row],[Constituent_ID]], GiftData[Fiscal_Year], "FY26")&gt;0, 1, 0)</f>
        <v>0</v>
      </c>
      <c r="N886" t="str" cm="1">
        <f t="array" ref="N8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87" spans="1:14" x14ac:dyDescent="0.2">
      <c r="A887" t="s">
        <v>1260</v>
      </c>
      <c r="B887" t="s">
        <v>55</v>
      </c>
      <c r="C887" t="s">
        <v>35</v>
      </c>
      <c r="D887" s="1">
        <v>45185</v>
      </c>
      <c r="E887">
        <v>15</v>
      </c>
      <c r="F887" t="s">
        <v>12</v>
      </c>
      <c r="G887" t="s">
        <v>29</v>
      </c>
      <c r="H887" t="s">
        <v>20</v>
      </c>
      <c r="I887" t="s">
        <v>38</v>
      </c>
      <c r="J887" t="str">
        <f>"FY" &amp; IF(MONTH(GiftData[[#This Row],[Gift_Date]])&gt;=7, RIGHT(YEAR(GiftData[[#This Row],[Gift_Date]])+1, 2), RIGHT(YEAR(GiftData[[#This Row],[Gift_Date]]), 2))</f>
        <v>FY24</v>
      </c>
      <c r="K887">
        <f>IF(COUNTIFS(GiftData[Constituent_ID], GiftData[[#This Row],[Constituent_ID]], GiftData[Fiscal_Year], "FY24")&gt;0, 1, 0)</f>
        <v>1</v>
      </c>
      <c r="L887">
        <f>IF(COUNTIFS(GiftData[Constituent_ID], GiftData[[#This Row],[Constituent_ID]], GiftData[Fiscal_Year], "FY25")&gt;0, 1, 0)</f>
        <v>1</v>
      </c>
      <c r="M887">
        <f>IF(COUNTIFS(GiftData[Constituent_ID], GiftData[[#This Row],[Constituent_ID]], GiftData[Fiscal_Year], "FY26")&gt;0, 1, 0)</f>
        <v>1</v>
      </c>
      <c r="N887" t="str" cm="1">
        <f t="array" ref="N8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88" spans="1:14" x14ac:dyDescent="0.2">
      <c r="A888" t="s">
        <v>1261</v>
      </c>
      <c r="B888" t="s">
        <v>391</v>
      </c>
      <c r="C888" t="s">
        <v>28</v>
      </c>
      <c r="D888" s="1">
        <v>45231</v>
      </c>
      <c r="E888">
        <v>2089.0700000000002</v>
      </c>
      <c r="F888" t="s">
        <v>25</v>
      </c>
      <c r="G888" t="s">
        <v>13</v>
      </c>
      <c r="H888" t="s">
        <v>20</v>
      </c>
      <c r="I888" t="s">
        <v>56</v>
      </c>
      <c r="J888" t="str">
        <f>"FY" &amp; IF(MONTH(GiftData[[#This Row],[Gift_Date]])&gt;=7, RIGHT(YEAR(GiftData[[#This Row],[Gift_Date]])+1, 2), RIGHT(YEAR(GiftData[[#This Row],[Gift_Date]]), 2))</f>
        <v>FY24</v>
      </c>
      <c r="K888">
        <f>IF(COUNTIFS(GiftData[Constituent_ID], GiftData[[#This Row],[Constituent_ID]], GiftData[Fiscal_Year], "FY24")&gt;0, 1, 0)</f>
        <v>1</v>
      </c>
      <c r="L888">
        <f>IF(COUNTIFS(GiftData[Constituent_ID], GiftData[[#This Row],[Constituent_ID]], GiftData[Fiscal_Year], "FY25")&gt;0, 1, 0)</f>
        <v>1</v>
      </c>
      <c r="M888">
        <f>IF(COUNTIFS(GiftData[Constituent_ID], GiftData[[#This Row],[Constituent_ID]], GiftData[Fiscal_Year], "FY26")&gt;0, 1, 0)</f>
        <v>0</v>
      </c>
      <c r="N888" t="str" cm="1">
        <f t="array" ref="N8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89" spans="1:14" x14ac:dyDescent="0.2">
      <c r="A889" t="s">
        <v>1262</v>
      </c>
      <c r="B889" t="s">
        <v>886</v>
      </c>
      <c r="C889" t="s">
        <v>28</v>
      </c>
      <c r="D889" s="1">
        <v>45182</v>
      </c>
      <c r="E889">
        <v>242.64</v>
      </c>
      <c r="F889" t="s">
        <v>59</v>
      </c>
      <c r="G889" t="s">
        <v>13</v>
      </c>
      <c r="H889" t="s">
        <v>20</v>
      </c>
      <c r="I889" t="s">
        <v>15</v>
      </c>
      <c r="J889" t="str">
        <f>"FY" &amp; IF(MONTH(GiftData[[#This Row],[Gift_Date]])&gt;=7, RIGHT(YEAR(GiftData[[#This Row],[Gift_Date]])+1, 2), RIGHT(YEAR(GiftData[[#This Row],[Gift_Date]]), 2))</f>
        <v>FY24</v>
      </c>
      <c r="K889">
        <f>IF(COUNTIFS(GiftData[Constituent_ID], GiftData[[#This Row],[Constituent_ID]], GiftData[Fiscal_Year], "FY24")&gt;0, 1, 0)</f>
        <v>1</v>
      </c>
      <c r="L889">
        <f>IF(COUNTIFS(GiftData[Constituent_ID], GiftData[[#This Row],[Constituent_ID]], GiftData[Fiscal_Year], "FY25")&gt;0, 1, 0)</f>
        <v>1</v>
      </c>
      <c r="M889">
        <f>IF(COUNTIFS(GiftData[Constituent_ID], GiftData[[#This Row],[Constituent_ID]], GiftData[Fiscal_Year], "FY26")&gt;0, 1, 0)</f>
        <v>1</v>
      </c>
      <c r="N889" t="str" cm="1">
        <f t="array" ref="N8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0" spans="1:14" x14ac:dyDescent="0.2">
      <c r="A890" t="s">
        <v>1263</v>
      </c>
      <c r="B890" t="s">
        <v>870</v>
      </c>
      <c r="C890" t="s">
        <v>11</v>
      </c>
      <c r="D890" s="1">
        <v>45244</v>
      </c>
      <c r="E890">
        <v>42.23</v>
      </c>
      <c r="F890" t="s">
        <v>25</v>
      </c>
      <c r="G890" t="s">
        <v>13</v>
      </c>
      <c r="H890" t="s">
        <v>20</v>
      </c>
      <c r="I890" t="s">
        <v>30</v>
      </c>
      <c r="J890" t="str">
        <f>"FY" &amp; IF(MONTH(GiftData[[#This Row],[Gift_Date]])&gt;=7, RIGHT(YEAR(GiftData[[#This Row],[Gift_Date]])+1, 2), RIGHT(YEAR(GiftData[[#This Row],[Gift_Date]]), 2))</f>
        <v>FY24</v>
      </c>
      <c r="K890">
        <f>IF(COUNTIFS(GiftData[Constituent_ID], GiftData[[#This Row],[Constituent_ID]], GiftData[Fiscal_Year], "FY24")&gt;0, 1, 0)</f>
        <v>1</v>
      </c>
      <c r="L890">
        <f>IF(COUNTIFS(GiftData[Constituent_ID], GiftData[[#This Row],[Constituent_ID]], GiftData[Fiscal_Year], "FY25")&gt;0, 1, 0)</f>
        <v>1</v>
      </c>
      <c r="M890">
        <f>IF(COUNTIFS(GiftData[Constituent_ID], GiftData[[#This Row],[Constituent_ID]], GiftData[Fiscal_Year], "FY26")&gt;0, 1, 0)</f>
        <v>0</v>
      </c>
      <c r="N890" t="str" cm="1">
        <f t="array" ref="N8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891" spans="1:14" x14ac:dyDescent="0.2">
      <c r="A891" t="s">
        <v>1264</v>
      </c>
      <c r="B891" t="s">
        <v>458</v>
      </c>
      <c r="C891" t="s">
        <v>28</v>
      </c>
      <c r="D891" s="1">
        <v>45709</v>
      </c>
      <c r="E891">
        <v>315.51</v>
      </c>
      <c r="F891" t="s">
        <v>12</v>
      </c>
      <c r="G891" t="s">
        <v>13</v>
      </c>
      <c r="H891" t="s">
        <v>20</v>
      </c>
      <c r="I891" t="s">
        <v>15</v>
      </c>
      <c r="J891" t="str">
        <f>"FY" &amp; IF(MONTH(GiftData[[#This Row],[Gift_Date]])&gt;=7, RIGHT(YEAR(GiftData[[#This Row],[Gift_Date]])+1, 2), RIGHT(YEAR(GiftData[[#This Row],[Gift_Date]]), 2))</f>
        <v>FY25</v>
      </c>
      <c r="K891">
        <f>IF(COUNTIFS(GiftData[Constituent_ID], GiftData[[#This Row],[Constituent_ID]], GiftData[Fiscal_Year], "FY24")&gt;0, 1, 0)</f>
        <v>0</v>
      </c>
      <c r="L891">
        <f>IF(COUNTIFS(GiftData[Constituent_ID], GiftData[[#This Row],[Constituent_ID]], GiftData[Fiscal_Year], "FY25")&gt;0, 1, 0)</f>
        <v>1</v>
      </c>
      <c r="M891">
        <f>IF(COUNTIFS(GiftData[Constituent_ID], GiftData[[#This Row],[Constituent_ID]], GiftData[Fiscal_Year], "FY26")&gt;0, 1, 0)</f>
        <v>1</v>
      </c>
      <c r="N891" t="str" cm="1">
        <f t="array" ref="N8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2" spans="1:14" x14ac:dyDescent="0.2">
      <c r="A892" t="s">
        <v>1265</v>
      </c>
      <c r="B892" t="s">
        <v>562</v>
      </c>
      <c r="C892" t="s">
        <v>11</v>
      </c>
      <c r="D892" s="1">
        <v>45944</v>
      </c>
      <c r="E892">
        <v>656.32</v>
      </c>
      <c r="F892" t="s">
        <v>12</v>
      </c>
      <c r="G892" t="s">
        <v>13</v>
      </c>
      <c r="H892" t="s">
        <v>14</v>
      </c>
      <c r="I892" t="s">
        <v>38</v>
      </c>
      <c r="J892" t="str">
        <f>"FY" &amp; IF(MONTH(GiftData[[#This Row],[Gift_Date]])&gt;=7, RIGHT(YEAR(GiftData[[#This Row],[Gift_Date]])+1, 2), RIGHT(YEAR(GiftData[[#This Row],[Gift_Date]]), 2))</f>
        <v>FY26</v>
      </c>
      <c r="K892">
        <f>IF(COUNTIFS(GiftData[Constituent_ID], GiftData[[#This Row],[Constituent_ID]], GiftData[Fiscal_Year], "FY24")&gt;0, 1, 0)</f>
        <v>1</v>
      </c>
      <c r="L892">
        <f>IF(COUNTIFS(GiftData[Constituent_ID], GiftData[[#This Row],[Constituent_ID]], GiftData[Fiscal_Year], "FY25")&gt;0, 1, 0)</f>
        <v>0</v>
      </c>
      <c r="M892">
        <f>IF(COUNTIFS(GiftData[Constituent_ID], GiftData[[#This Row],[Constituent_ID]], GiftData[Fiscal_Year], "FY26")&gt;0, 1, 0)</f>
        <v>1</v>
      </c>
      <c r="N892" t="str" cm="1">
        <f t="array" ref="N8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3" spans="1:14" x14ac:dyDescent="0.2">
      <c r="A893" t="s">
        <v>1266</v>
      </c>
      <c r="B893" t="s">
        <v>282</v>
      </c>
      <c r="C893" t="s">
        <v>11</v>
      </c>
      <c r="D893" s="1">
        <v>45607</v>
      </c>
      <c r="E893">
        <v>140.97999999999999</v>
      </c>
      <c r="F893" t="s">
        <v>12</v>
      </c>
      <c r="G893" t="s">
        <v>13</v>
      </c>
      <c r="H893" t="s">
        <v>14</v>
      </c>
      <c r="I893" t="s">
        <v>15</v>
      </c>
      <c r="J893" t="str">
        <f>"FY" &amp; IF(MONTH(GiftData[[#This Row],[Gift_Date]])&gt;=7, RIGHT(YEAR(GiftData[[#This Row],[Gift_Date]])+1, 2), RIGHT(YEAR(GiftData[[#This Row],[Gift_Date]]), 2))</f>
        <v>FY25</v>
      </c>
      <c r="K893">
        <f>IF(COUNTIFS(GiftData[Constituent_ID], GiftData[[#This Row],[Constituent_ID]], GiftData[Fiscal_Year], "FY24")&gt;0, 1, 0)</f>
        <v>0</v>
      </c>
      <c r="L893">
        <f>IF(COUNTIFS(GiftData[Constituent_ID], GiftData[[#This Row],[Constituent_ID]], GiftData[Fiscal_Year], "FY25")&gt;0, 1, 0)</f>
        <v>1</v>
      </c>
      <c r="M893">
        <f>IF(COUNTIFS(GiftData[Constituent_ID], GiftData[[#This Row],[Constituent_ID]], GiftData[Fiscal_Year], "FY26")&gt;0, 1, 0)</f>
        <v>1</v>
      </c>
      <c r="N893" t="str" cm="1">
        <f t="array" ref="N8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4" spans="1:14" x14ac:dyDescent="0.2">
      <c r="A894" t="s">
        <v>1267</v>
      </c>
      <c r="B894" t="s">
        <v>584</v>
      </c>
      <c r="C894" t="s">
        <v>35</v>
      </c>
      <c r="D894" s="1">
        <v>45245</v>
      </c>
      <c r="E894">
        <v>15</v>
      </c>
      <c r="F894" t="s">
        <v>25</v>
      </c>
      <c r="G894" t="s">
        <v>13</v>
      </c>
      <c r="H894" t="s">
        <v>164</v>
      </c>
      <c r="I894" t="s">
        <v>15</v>
      </c>
      <c r="J894" t="str">
        <f>"FY" &amp; IF(MONTH(GiftData[[#This Row],[Gift_Date]])&gt;=7, RIGHT(YEAR(GiftData[[#This Row],[Gift_Date]])+1, 2), RIGHT(YEAR(GiftData[[#This Row],[Gift_Date]]), 2))</f>
        <v>FY24</v>
      </c>
      <c r="K894">
        <f>IF(COUNTIFS(GiftData[Constituent_ID], GiftData[[#This Row],[Constituent_ID]], GiftData[Fiscal_Year], "FY24")&gt;0, 1, 0)</f>
        <v>1</v>
      </c>
      <c r="L894">
        <f>IF(COUNTIFS(GiftData[Constituent_ID], GiftData[[#This Row],[Constituent_ID]], GiftData[Fiscal_Year], "FY25")&gt;0, 1, 0)</f>
        <v>1</v>
      </c>
      <c r="M894">
        <f>IF(COUNTIFS(GiftData[Constituent_ID], GiftData[[#This Row],[Constituent_ID]], GiftData[Fiscal_Year], "FY26")&gt;0, 1, 0)</f>
        <v>1</v>
      </c>
      <c r="N894" t="str" cm="1">
        <f t="array" ref="N8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5" spans="1:14" x14ac:dyDescent="0.2">
      <c r="A895" t="s">
        <v>1268</v>
      </c>
      <c r="B895" t="s">
        <v>230</v>
      </c>
      <c r="C895" t="s">
        <v>48</v>
      </c>
      <c r="D895" s="1">
        <v>45157</v>
      </c>
      <c r="E895">
        <v>82.93</v>
      </c>
      <c r="F895" t="s">
        <v>25</v>
      </c>
      <c r="G895" t="s">
        <v>13</v>
      </c>
      <c r="H895" t="s">
        <v>20</v>
      </c>
      <c r="I895" t="s">
        <v>15</v>
      </c>
      <c r="J895" t="str">
        <f>"FY" &amp; IF(MONTH(GiftData[[#This Row],[Gift_Date]])&gt;=7, RIGHT(YEAR(GiftData[[#This Row],[Gift_Date]])+1, 2), RIGHT(YEAR(GiftData[[#This Row],[Gift_Date]]), 2))</f>
        <v>FY24</v>
      </c>
      <c r="K895">
        <f>IF(COUNTIFS(GiftData[Constituent_ID], GiftData[[#This Row],[Constituent_ID]], GiftData[Fiscal_Year], "FY24")&gt;0, 1, 0)</f>
        <v>1</v>
      </c>
      <c r="L895">
        <f>IF(COUNTIFS(GiftData[Constituent_ID], GiftData[[#This Row],[Constituent_ID]], GiftData[Fiscal_Year], "FY25")&gt;0, 1, 0)</f>
        <v>1</v>
      </c>
      <c r="M895">
        <f>IF(COUNTIFS(GiftData[Constituent_ID], GiftData[[#This Row],[Constituent_ID]], GiftData[Fiscal_Year], "FY26")&gt;0, 1, 0)</f>
        <v>1</v>
      </c>
      <c r="N895" t="str" cm="1">
        <f t="array" ref="N8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6" spans="1:14" x14ac:dyDescent="0.2">
      <c r="A896" t="s">
        <v>1269</v>
      </c>
      <c r="B896" t="s">
        <v>173</v>
      </c>
      <c r="C896" t="s">
        <v>48</v>
      </c>
      <c r="D896" s="1">
        <v>46080</v>
      </c>
      <c r="E896">
        <v>469.29</v>
      </c>
      <c r="F896" t="s">
        <v>12</v>
      </c>
      <c r="G896" t="s">
        <v>13</v>
      </c>
      <c r="H896" t="s">
        <v>20</v>
      </c>
      <c r="I896" t="s">
        <v>15</v>
      </c>
      <c r="J896" t="str">
        <f>"FY" &amp; IF(MONTH(GiftData[[#This Row],[Gift_Date]])&gt;=7, RIGHT(YEAR(GiftData[[#This Row],[Gift_Date]])+1, 2), RIGHT(YEAR(GiftData[[#This Row],[Gift_Date]]), 2))</f>
        <v>FY26</v>
      </c>
      <c r="K896">
        <f>IF(COUNTIFS(GiftData[Constituent_ID], GiftData[[#This Row],[Constituent_ID]], GiftData[Fiscal_Year], "FY24")&gt;0, 1, 0)</f>
        <v>1</v>
      </c>
      <c r="L896">
        <f>IF(COUNTIFS(GiftData[Constituent_ID], GiftData[[#This Row],[Constituent_ID]], GiftData[Fiscal_Year], "FY25")&gt;0, 1, 0)</f>
        <v>0</v>
      </c>
      <c r="M896">
        <f>IF(COUNTIFS(GiftData[Constituent_ID], GiftData[[#This Row],[Constituent_ID]], GiftData[Fiscal_Year], "FY26")&gt;0, 1, 0)</f>
        <v>1</v>
      </c>
      <c r="N896" t="str" cm="1">
        <f t="array" ref="N8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7" spans="1:14" x14ac:dyDescent="0.2">
      <c r="A897" t="s">
        <v>1270</v>
      </c>
      <c r="B897" t="s">
        <v>189</v>
      </c>
      <c r="C897" t="s">
        <v>48</v>
      </c>
      <c r="D897" s="1">
        <v>45361</v>
      </c>
      <c r="E897">
        <v>231.75</v>
      </c>
      <c r="F897" t="s">
        <v>59</v>
      </c>
      <c r="G897" t="s">
        <v>13</v>
      </c>
      <c r="H897" t="s">
        <v>14</v>
      </c>
      <c r="I897" t="s">
        <v>38</v>
      </c>
      <c r="J897" t="str">
        <f>"FY" &amp; IF(MONTH(GiftData[[#This Row],[Gift_Date]])&gt;=7, RIGHT(YEAR(GiftData[[#This Row],[Gift_Date]])+1, 2), RIGHT(YEAR(GiftData[[#This Row],[Gift_Date]]), 2))</f>
        <v>FY24</v>
      </c>
      <c r="K897">
        <f>IF(COUNTIFS(GiftData[Constituent_ID], GiftData[[#This Row],[Constituent_ID]], GiftData[Fiscal_Year], "FY24")&gt;0, 1, 0)</f>
        <v>1</v>
      </c>
      <c r="L897">
        <f>IF(COUNTIFS(GiftData[Constituent_ID], GiftData[[#This Row],[Constituent_ID]], GiftData[Fiscal_Year], "FY25")&gt;0, 1, 0)</f>
        <v>1</v>
      </c>
      <c r="M897">
        <f>IF(COUNTIFS(GiftData[Constituent_ID], GiftData[[#This Row],[Constituent_ID]], GiftData[Fiscal_Year], "FY26")&gt;0, 1, 0)</f>
        <v>1</v>
      </c>
      <c r="N897" t="str" cm="1">
        <f t="array" ref="N8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8" spans="1:14" x14ac:dyDescent="0.2">
      <c r="A898" t="s">
        <v>1271</v>
      </c>
      <c r="B898" t="s">
        <v>320</v>
      </c>
      <c r="C898" t="s">
        <v>11</v>
      </c>
      <c r="D898" s="1">
        <v>45817</v>
      </c>
      <c r="E898">
        <v>99.14</v>
      </c>
      <c r="F898" t="s">
        <v>12</v>
      </c>
      <c r="G898" t="s">
        <v>13</v>
      </c>
      <c r="H898" t="s">
        <v>41</v>
      </c>
      <c r="I898" t="s">
        <v>38</v>
      </c>
      <c r="J898" t="str">
        <f>"FY" &amp; IF(MONTH(GiftData[[#This Row],[Gift_Date]])&gt;=7, RIGHT(YEAR(GiftData[[#This Row],[Gift_Date]])+1, 2), RIGHT(YEAR(GiftData[[#This Row],[Gift_Date]]), 2))</f>
        <v>FY25</v>
      </c>
      <c r="K898">
        <f>IF(COUNTIFS(GiftData[Constituent_ID], GiftData[[#This Row],[Constituent_ID]], GiftData[Fiscal_Year], "FY24")&gt;0, 1, 0)</f>
        <v>1</v>
      </c>
      <c r="L898">
        <f>IF(COUNTIFS(GiftData[Constituent_ID], GiftData[[#This Row],[Constituent_ID]], GiftData[Fiscal_Year], "FY25")&gt;0, 1, 0)</f>
        <v>1</v>
      </c>
      <c r="M898">
        <f>IF(COUNTIFS(GiftData[Constituent_ID], GiftData[[#This Row],[Constituent_ID]], GiftData[Fiscal_Year], "FY26")&gt;0, 1, 0)</f>
        <v>1</v>
      </c>
      <c r="N898" t="str" cm="1">
        <f t="array" ref="N8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899" spans="1:14" x14ac:dyDescent="0.2">
      <c r="A899" t="s">
        <v>1272</v>
      </c>
      <c r="B899" t="s">
        <v>34</v>
      </c>
      <c r="C899" t="s">
        <v>11</v>
      </c>
      <c r="D899" s="1">
        <v>45670</v>
      </c>
      <c r="E899">
        <v>665.68</v>
      </c>
      <c r="F899" t="s">
        <v>19</v>
      </c>
      <c r="G899" t="s">
        <v>13</v>
      </c>
      <c r="H899" t="s">
        <v>14</v>
      </c>
      <c r="I899" t="s">
        <v>15</v>
      </c>
      <c r="J899" t="str">
        <f>"FY" &amp; IF(MONTH(GiftData[[#This Row],[Gift_Date]])&gt;=7, RIGHT(YEAR(GiftData[[#This Row],[Gift_Date]])+1, 2), RIGHT(YEAR(GiftData[[#This Row],[Gift_Date]]), 2))</f>
        <v>FY25</v>
      </c>
      <c r="K899">
        <f>IF(COUNTIFS(GiftData[Constituent_ID], GiftData[[#This Row],[Constituent_ID]], GiftData[Fiscal_Year], "FY24")&gt;0, 1, 0)</f>
        <v>0</v>
      </c>
      <c r="L899">
        <f>IF(COUNTIFS(GiftData[Constituent_ID], GiftData[[#This Row],[Constituent_ID]], GiftData[Fiscal_Year], "FY25")&gt;0, 1, 0)</f>
        <v>1</v>
      </c>
      <c r="M899">
        <f>IF(COUNTIFS(GiftData[Constituent_ID], GiftData[[#This Row],[Constituent_ID]], GiftData[Fiscal_Year], "FY26")&gt;0, 1, 0)</f>
        <v>0</v>
      </c>
      <c r="N899" t="str" cm="1">
        <f t="array" ref="N8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00" spans="1:14" x14ac:dyDescent="0.2">
      <c r="A900" t="s">
        <v>1273</v>
      </c>
      <c r="B900" t="s">
        <v>609</v>
      </c>
      <c r="C900" t="s">
        <v>28</v>
      </c>
      <c r="D900" s="1">
        <v>45864</v>
      </c>
      <c r="E900">
        <v>317.7</v>
      </c>
      <c r="F900" t="s">
        <v>12</v>
      </c>
      <c r="G900" t="s">
        <v>29</v>
      </c>
      <c r="H900" t="s">
        <v>51</v>
      </c>
      <c r="I900" t="s">
        <v>56</v>
      </c>
      <c r="J900" t="str">
        <f>"FY" &amp; IF(MONTH(GiftData[[#This Row],[Gift_Date]])&gt;=7, RIGHT(YEAR(GiftData[[#This Row],[Gift_Date]])+1, 2), RIGHT(YEAR(GiftData[[#This Row],[Gift_Date]]), 2))</f>
        <v>FY26</v>
      </c>
      <c r="K900">
        <f>IF(COUNTIFS(GiftData[Constituent_ID], GiftData[[#This Row],[Constituent_ID]], GiftData[Fiscal_Year], "FY24")&gt;0, 1, 0)</f>
        <v>1</v>
      </c>
      <c r="L900">
        <f>IF(COUNTIFS(GiftData[Constituent_ID], GiftData[[#This Row],[Constituent_ID]], GiftData[Fiscal_Year], "FY25")&gt;0, 1, 0)</f>
        <v>1</v>
      </c>
      <c r="M900">
        <f>IF(COUNTIFS(GiftData[Constituent_ID], GiftData[[#This Row],[Constituent_ID]], GiftData[Fiscal_Year], "FY26")&gt;0, 1, 0)</f>
        <v>1</v>
      </c>
      <c r="N900" t="str" cm="1">
        <f t="array" ref="N9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1" spans="1:14" x14ac:dyDescent="0.2">
      <c r="A901" t="s">
        <v>1274</v>
      </c>
      <c r="B901" t="s">
        <v>327</v>
      </c>
      <c r="C901" t="s">
        <v>48</v>
      </c>
      <c r="D901" s="1">
        <v>45654</v>
      </c>
      <c r="E901">
        <v>351.16</v>
      </c>
      <c r="F901" t="s">
        <v>12</v>
      </c>
      <c r="G901" t="s">
        <v>13</v>
      </c>
      <c r="H901" t="s">
        <v>20</v>
      </c>
      <c r="I901" t="s">
        <v>15</v>
      </c>
      <c r="J901" t="str">
        <f>"FY" &amp; IF(MONTH(GiftData[[#This Row],[Gift_Date]])&gt;=7, RIGHT(YEAR(GiftData[[#This Row],[Gift_Date]])+1, 2), RIGHT(YEAR(GiftData[[#This Row],[Gift_Date]]), 2))</f>
        <v>FY25</v>
      </c>
      <c r="K901">
        <f>IF(COUNTIFS(GiftData[Constituent_ID], GiftData[[#This Row],[Constituent_ID]], GiftData[Fiscal_Year], "FY24")&gt;0, 1, 0)</f>
        <v>0</v>
      </c>
      <c r="L901">
        <f>IF(COUNTIFS(GiftData[Constituent_ID], GiftData[[#This Row],[Constituent_ID]], GiftData[Fiscal_Year], "FY25")&gt;0, 1, 0)</f>
        <v>1</v>
      </c>
      <c r="M901">
        <f>IF(COUNTIFS(GiftData[Constituent_ID], GiftData[[#This Row],[Constituent_ID]], GiftData[Fiscal_Year], "FY26")&gt;0, 1, 0)</f>
        <v>1</v>
      </c>
      <c r="N901" t="str" cm="1">
        <f t="array" ref="N9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2" spans="1:14" x14ac:dyDescent="0.2">
      <c r="A902" t="s">
        <v>1275</v>
      </c>
      <c r="B902" t="s">
        <v>1163</v>
      </c>
      <c r="C902" t="s">
        <v>18</v>
      </c>
      <c r="D902" s="1">
        <v>46029</v>
      </c>
      <c r="E902">
        <v>71.25</v>
      </c>
      <c r="F902" t="s">
        <v>12</v>
      </c>
      <c r="G902" t="s">
        <v>13</v>
      </c>
      <c r="H902" t="s">
        <v>51</v>
      </c>
      <c r="I902" t="s">
        <v>38</v>
      </c>
      <c r="J902" t="str">
        <f>"FY" &amp; IF(MONTH(GiftData[[#This Row],[Gift_Date]])&gt;=7, RIGHT(YEAR(GiftData[[#This Row],[Gift_Date]])+1, 2), RIGHT(YEAR(GiftData[[#This Row],[Gift_Date]]), 2))</f>
        <v>FY26</v>
      </c>
      <c r="K902">
        <f>IF(COUNTIFS(GiftData[Constituent_ID], GiftData[[#This Row],[Constituent_ID]], GiftData[Fiscal_Year], "FY24")&gt;0, 1, 0)</f>
        <v>1</v>
      </c>
      <c r="L902">
        <f>IF(COUNTIFS(GiftData[Constituent_ID], GiftData[[#This Row],[Constituent_ID]], GiftData[Fiscal_Year], "FY25")&gt;0, 1, 0)</f>
        <v>1</v>
      </c>
      <c r="M902">
        <f>IF(COUNTIFS(GiftData[Constituent_ID], GiftData[[#This Row],[Constituent_ID]], GiftData[Fiscal_Year], "FY26")&gt;0, 1, 0)</f>
        <v>1</v>
      </c>
      <c r="N902" t="str" cm="1">
        <f t="array" ref="N9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3" spans="1:14" x14ac:dyDescent="0.2">
      <c r="A903" t="s">
        <v>1276</v>
      </c>
      <c r="B903" t="s">
        <v>1225</v>
      </c>
      <c r="C903" t="s">
        <v>11</v>
      </c>
      <c r="D903" s="1">
        <v>45688</v>
      </c>
      <c r="E903">
        <v>62.83</v>
      </c>
      <c r="F903" t="s">
        <v>12</v>
      </c>
      <c r="G903" t="s">
        <v>13</v>
      </c>
      <c r="H903" t="s">
        <v>14</v>
      </c>
      <c r="I903" t="s">
        <v>15</v>
      </c>
      <c r="J903" t="str">
        <f>"FY" &amp; IF(MONTH(GiftData[[#This Row],[Gift_Date]])&gt;=7, RIGHT(YEAR(GiftData[[#This Row],[Gift_Date]])+1, 2), RIGHT(YEAR(GiftData[[#This Row],[Gift_Date]]), 2))</f>
        <v>FY25</v>
      </c>
      <c r="K903">
        <f>IF(COUNTIFS(GiftData[Constituent_ID], GiftData[[#This Row],[Constituent_ID]], GiftData[Fiscal_Year], "FY24")&gt;0, 1, 0)</f>
        <v>1</v>
      </c>
      <c r="L903">
        <f>IF(COUNTIFS(GiftData[Constituent_ID], GiftData[[#This Row],[Constituent_ID]], GiftData[Fiscal_Year], "FY25")&gt;0, 1, 0)</f>
        <v>1</v>
      </c>
      <c r="M903">
        <f>IF(COUNTIFS(GiftData[Constituent_ID], GiftData[[#This Row],[Constituent_ID]], GiftData[Fiscal_Year], "FY26")&gt;0, 1, 0)</f>
        <v>0</v>
      </c>
      <c r="N903" t="str" cm="1">
        <f t="array" ref="N9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04" spans="1:14" x14ac:dyDescent="0.2">
      <c r="A904" t="s">
        <v>1277</v>
      </c>
      <c r="B904" t="s">
        <v>1278</v>
      </c>
      <c r="C904" t="s">
        <v>18</v>
      </c>
      <c r="D904" s="1">
        <v>45156</v>
      </c>
      <c r="E904">
        <v>15</v>
      </c>
      <c r="F904" t="s">
        <v>12</v>
      </c>
      <c r="G904" t="s">
        <v>29</v>
      </c>
      <c r="H904" t="s">
        <v>20</v>
      </c>
      <c r="I904" t="s">
        <v>15</v>
      </c>
      <c r="J904" t="str">
        <f>"FY" &amp; IF(MONTH(GiftData[[#This Row],[Gift_Date]])&gt;=7, RIGHT(YEAR(GiftData[[#This Row],[Gift_Date]])+1, 2), RIGHT(YEAR(GiftData[[#This Row],[Gift_Date]]), 2))</f>
        <v>FY24</v>
      </c>
      <c r="K904">
        <f>IF(COUNTIFS(GiftData[Constituent_ID], GiftData[[#This Row],[Constituent_ID]], GiftData[Fiscal_Year], "FY24")&gt;0, 1, 0)</f>
        <v>1</v>
      </c>
      <c r="L904">
        <f>IF(COUNTIFS(GiftData[Constituent_ID], GiftData[[#This Row],[Constituent_ID]], GiftData[Fiscal_Year], "FY25")&gt;0, 1, 0)</f>
        <v>0</v>
      </c>
      <c r="M904">
        <f>IF(COUNTIFS(GiftData[Constituent_ID], GiftData[[#This Row],[Constituent_ID]], GiftData[Fiscal_Year], "FY26")&gt;0, 1, 0)</f>
        <v>1</v>
      </c>
      <c r="N904" t="str" cm="1">
        <f t="array" ref="N9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5" spans="1:14" x14ac:dyDescent="0.2">
      <c r="A905" t="s">
        <v>1279</v>
      </c>
      <c r="B905" t="s">
        <v>103</v>
      </c>
      <c r="C905" t="s">
        <v>28</v>
      </c>
      <c r="D905" s="1">
        <v>46024</v>
      </c>
      <c r="E905">
        <v>86.73</v>
      </c>
      <c r="F905" t="s">
        <v>12</v>
      </c>
      <c r="G905" t="s">
        <v>13</v>
      </c>
      <c r="H905" t="s">
        <v>51</v>
      </c>
      <c r="I905" t="s">
        <v>15</v>
      </c>
      <c r="J905" t="str">
        <f>"FY" &amp; IF(MONTH(GiftData[[#This Row],[Gift_Date]])&gt;=7, RIGHT(YEAR(GiftData[[#This Row],[Gift_Date]])+1, 2), RIGHT(YEAR(GiftData[[#This Row],[Gift_Date]]), 2))</f>
        <v>FY26</v>
      </c>
      <c r="K905">
        <f>IF(COUNTIFS(GiftData[Constituent_ID], GiftData[[#This Row],[Constituent_ID]], GiftData[Fiscal_Year], "FY24")&gt;0, 1, 0)</f>
        <v>1</v>
      </c>
      <c r="L905">
        <f>IF(COUNTIFS(GiftData[Constituent_ID], GiftData[[#This Row],[Constituent_ID]], GiftData[Fiscal_Year], "FY25")&gt;0, 1, 0)</f>
        <v>1</v>
      </c>
      <c r="M905">
        <f>IF(COUNTIFS(GiftData[Constituent_ID], GiftData[[#This Row],[Constituent_ID]], GiftData[Fiscal_Year], "FY26")&gt;0, 1, 0)</f>
        <v>1</v>
      </c>
      <c r="N905" t="str" cm="1">
        <f t="array" ref="N9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6" spans="1:14" x14ac:dyDescent="0.2">
      <c r="A906" t="s">
        <v>1280</v>
      </c>
      <c r="B906" t="s">
        <v>1118</v>
      </c>
      <c r="C906" t="s">
        <v>11</v>
      </c>
      <c r="D906" s="1">
        <v>45811</v>
      </c>
      <c r="E906">
        <v>409.94</v>
      </c>
      <c r="F906" t="s">
        <v>12</v>
      </c>
      <c r="G906" t="s">
        <v>13</v>
      </c>
      <c r="H906" t="s">
        <v>41</v>
      </c>
      <c r="I906" t="s">
        <v>38</v>
      </c>
      <c r="J906" t="str">
        <f>"FY" &amp; IF(MONTH(GiftData[[#This Row],[Gift_Date]])&gt;=7, RIGHT(YEAR(GiftData[[#This Row],[Gift_Date]])+1, 2), RIGHT(YEAR(GiftData[[#This Row],[Gift_Date]]), 2))</f>
        <v>FY25</v>
      </c>
      <c r="K906">
        <f>IF(COUNTIFS(GiftData[Constituent_ID], GiftData[[#This Row],[Constituent_ID]], GiftData[Fiscal_Year], "FY24")&gt;0, 1, 0)</f>
        <v>0</v>
      </c>
      <c r="L906">
        <f>IF(COUNTIFS(GiftData[Constituent_ID], GiftData[[#This Row],[Constituent_ID]], GiftData[Fiscal_Year], "FY25")&gt;0, 1, 0)</f>
        <v>1</v>
      </c>
      <c r="M906">
        <f>IF(COUNTIFS(GiftData[Constituent_ID], GiftData[[#This Row],[Constituent_ID]], GiftData[Fiscal_Year], "FY26")&gt;0, 1, 0)</f>
        <v>1</v>
      </c>
      <c r="N906" t="str" cm="1">
        <f t="array" ref="N9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7" spans="1:14" x14ac:dyDescent="0.2">
      <c r="A907" t="s">
        <v>1281</v>
      </c>
      <c r="B907" t="s">
        <v>158</v>
      </c>
      <c r="C907" t="s">
        <v>11</v>
      </c>
      <c r="D907" s="1">
        <v>45368</v>
      </c>
      <c r="E907">
        <v>93.19</v>
      </c>
      <c r="F907" t="s">
        <v>25</v>
      </c>
      <c r="G907" t="s">
        <v>13</v>
      </c>
      <c r="H907" t="s">
        <v>20</v>
      </c>
      <c r="I907" t="s">
        <v>38</v>
      </c>
      <c r="J907" t="str">
        <f>"FY" &amp; IF(MONTH(GiftData[[#This Row],[Gift_Date]])&gt;=7, RIGHT(YEAR(GiftData[[#This Row],[Gift_Date]])+1, 2), RIGHT(YEAR(GiftData[[#This Row],[Gift_Date]]), 2))</f>
        <v>FY24</v>
      </c>
      <c r="K907">
        <f>IF(COUNTIFS(GiftData[Constituent_ID], GiftData[[#This Row],[Constituent_ID]], GiftData[Fiscal_Year], "FY24")&gt;0, 1, 0)</f>
        <v>1</v>
      </c>
      <c r="L907">
        <f>IF(COUNTIFS(GiftData[Constituent_ID], GiftData[[#This Row],[Constituent_ID]], GiftData[Fiscal_Year], "FY25")&gt;0, 1, 0)</f>
        <v>1</v>
      </c>
      <c r="M907">
        <f>IF(COUNTIFS(GiftData[Constituent_ID], GiftData[[#This Row],[Constituent_ID]], GiftData[Fiscal_Year], "FY26")&gt;0, 1, 0)</f>
        <v>1</v>
      </c>
      <c r="N907" t="str" cm="1">
        <f t="array" ref="N9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8" spans="1:14" x14ac:dyDescent="0.2">
      <c r="A908" t="s">
        <v>1282</v>
      </c>
      <c r="B908" t="s">
        <v>1283</v>
      </c>
      <c r="C908" t="s">
        <v>18</v>
      </c>
      <c r="D908" s="1">
        <v>45463</v>
      </c>
      <c r="E908">
        <v>216.85</v>
      </c>
      <c r="F908" t="s">
        <v>12</v>
      </c>
      <c r="G908" t="s">
        <v>29</v>
      </c>
      <c r="H908" t="s">
        <v>20</v>
      </c>
      <c r="I908" t="s">
        <v>15</v>
      </c>
      <c r="J908" t="str">
        <f>"FY" &amp; IF(MONTH(GiftData[[#This Row],[Gift_Date]])&gt;=7, RIGHT(YEAR(GiftData[[#This Row],[Gift_Date]])+1, 2), RIGHT(YEAR(GiftData[[#This Row],[Gift_Date]]), 2))</f>
        <v>FY24</v>
      </c>
      <c r="K908">
        <f>IF(COUNTIFS(GiftData[Constituent_ID], GiftData[[#This Row],[Constituent_ID]], GiftData[Fiscal_Year], "FY24")&gt;0, 1, 0)</f>
        <v>1</v>
      </c>
      <c r="L908">
        <f>IF(COUNTIFS(GiftData[Constituent_ID], GiftData[[#This Row],[Constituent_ID]], GiftData[Fiscal_Year], "FY25")&gt;0, 1, 0)</f>
        <v>0</v>
      </c>
      <c r="M908">
        <f>IF(COUNTIFS(GiftData[Constituent_ID], GiftData[[#This Row],[Constituent_ID]], GiftData[Fiscal_Year], "FY26")&gt;0, 1, 0)</f>
        <v>1</v>
      </c>
      <c r="N908" t="str" cm="1">
        <f t="array" ref="N9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09" spans="1:14" x14ac:dyDescent="0.2">
      <c r="A909" t="s">
        <v>1284</v>
      </c>
      <c r="B909" t="s">
        <v>1137</v>
      </c>
      <c r="C909" t="s">
        <v>11</v>
      </c>
      <c r="D909" s="1">
        <v>45745</v>
      </c>
      <c r="E909">
        <v>515.20000000000005</v>
      </c>
      <c r="F909" t="s">
        <v>12</v>
      </c>
      <c r="G909" t="s">
        <v>29</v>
      </c>
      <c r="H909" t="s">
        <v>20</v>
      </c>
      <c r="I909" t="s">
        <v>15</v>
      </c>
      <c r="J909" t="str">
        <f>"FY" &amp; IF(MONTH(GiftData[[#This Row],[Gift_Date]])&gt;=7, RIGHT(YEAR(GiftData[[#This Row],[Gift_Date]])+1, 2), RIGHT(YEAR(GiftData[[#This Row],[Gift_Date]]), 2))</f>
        <v>FY25</v>
      </c>
      <c r="K909">
        <f>IF(COUNTIFS(GiftData[Constituent_ID], GiftData[[#This Row],[Constituent_ID]], GiftData[Fiscal_Year], "FY24")&gt;0, 1, 0)</f>
        <v>0</v>
      </c>
      <c r="L909">
        <f>IF(COUNTIFS(GiftData[Constituent_ID], GiftData[[#This Row],[Constituent_ID]], GiftData[Fiscal_Year], "FY25")&gt;0, 1, 0)</f>
        <v>1</v>
      </c>
      <c r="M909">
        <f>IF(COUNTIFS(GiftData[Constituent_ID], GiftData[[#This Row],[Constituent_ID]], GiftData[Fiscal_Year], "FY26")&gt;0, 1, 0)</f>
        <v>0</v>
      </c>
      <c r="N909" t="str" cm="1">
        <f t="array" ref="N9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10" spans="1:14" x14ac:dyDescent="0.2">
      <c r="A910" t="s">
        <v>1285</v>
      </c>
      <c r="B910" t="s">
        <v>114</v>
      </c>
      <c r="C910" t="s">
        <v>35</v>
      </c>
      <c r="D910" s="1">
        <v>45850</v>
      </c>
      <c r="E910">
        <v>197.29</v>
      </c>
      <c r="F910" t="s">
        <v>12</v>
      </c>
      <c r="G910" t="s">
        <v>13</v>
      </c>
      <c r="H910" t="s">
        <v>41</v>
      </c>
      <c r="I910" t="s">
        <v>15</v>
      </c>
      <c r="J910" t="str">
        <f>"FY" &amp; IF(MONTH(GiftData[[#This Row],[Gift_Date]])&gt;=7, RIGHT(YEAR(GiftData[[#This Row],[Gift_Date]])+1, 2), RIGHT(YEAR(GiftData[[#This Row],[Gift_Date]]), 2))</f>
        <v>FY26</v>
      </c>
      <c r="K910">
        <f>IF(COUNTIFS(GiftData[Constituent_ID], GiftData[[#This Row],[Constituent_ID]], GiftData[Fiscal_Year], "FY24")&gt;0, 1, 0)</f>
        <v>1</v>
      </c>
      <c r="L910">
        <f>IF(COUNTIFS(GiftData[Constituent_ID], GiftData[[#This Row],[Constituent_ID]], GiftData[Fiscal_Year], "FY25")&gt;0, 1, 0)</f>
        <v>0</v>
      </c>
      <c r="M910">
        <f>IF(COUNTIFS(GiftData[Constituent_ID], GiftData[[#This Row],[Constituent_ID]], GiftData[Fiscal_Year], "FY26")&gt;0, 1, 0)</f>
        <v>1</v>
      </c>
      <c r="N910" t="str" cm="1">
        <f t="array" ref="N9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1" spans="1:14" x14ac:dyDescent="0.2">
      <c r="A911" t="s">
        <v>1286</v>
      </c>
      <c r="B911" t="s">
        <v>1283</v>
      </c>
      <c r="C911" t="s">
        <v>18</v>
      </c>
      <c r="D911" s="1">
        <v>46117</v>
      </c>
      <c r="E911">
        <v>224.01</v>
      </c>
      <c r="F911" t="s">
        <v>25</v>
      </c>
      <c r="G911" t="s">
        <v>13</v>
      </c>
      <c r="H911" t="s">
        <v>20</v>
      </c>
      <c r="I911" t="s">
        <v>38</v>
      </c>
      <c r="J911" t="str">
        <f>"FY" &amp; IF(MONTH(GiftData[[#This Row],[Gift_Date]])&gt;=7, RIGHT(YEAR(GiftData[[#This Row],[Gift_Date]])+1, 2), RIGHT(YEAR(GiftData[[#This Row],[Gift_Date]]), 2))</f>
        <v>FY26</v>
      </c>
      <c r="K911">
        <f>IF(COUNTIFS(GiftData[Constituent_ID], GiftData[[#This Row],[Constituent_ID]], GiftData[Fiscal_Year], "FY24")&gt;0, 1, 0)</f>
        <v>1</v>
      </c>
      <c r="L911">
        <f>IF(COUNTIFS(GiftData[Constituent_ID], GiftData[[#This Row],[Constituent_ID]], GiftData[Fiscal_Year], "FY25")&gt;0, 1, 0)</f>
        <v>0</v>
      </c>
      <c r="M911">
        <f>IF(COUNTIFS(GiftData[Constituent_ID], GiftData[[#This Row],[Constituent_ID]], GiftData[Fiscal_Year], "FY26")&gt;0, 1, 0)</f>
        <v>1</v>
      </c>
      <c r="N911" t="str" cm="1">
        <f t="array" ref="N9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2" spans="1:14" x14ac:dyDescent="0.2">
      <c r="A912" t="s">
        <v>1287</v>
      </c>
      <c r="B912" t="s">
        <v>398</v>
      </c>
      <c r="C912" t="s">
        <v>28</v>
      </c>
      <c r="D912" s="1">
        <v>46038</v>
      </c>
      <c r="E912">
        <v>20.8</v>
      </c>
      <c r="F912" t="s">
        <v>12</v>
      </c>
      <c r="G912" t="s">
        <v>13</v>
      </c>
      <c r="H912" t="s">
        <v>20</v>
      </c>
      <c r="I912" t="s">
        <v>38</v>
      </c>
      <c r="J912" t="str">
        <f>"FY" &amp; IF(MONTH(GiftData[[#This Row],[Gift_Date]])&gt;=7, RIGHT(YEAR(GiftData[[#This Row],[Gift_Date]])+1, 2), RIGHT(YEAR(GiftData[[#This Row],[Gift_Date]]), 2))</f>
        <v>FY26</v>
      </c>
      <c r="K912">
        <f>IF(COUNTIFS(GiftData[Constituent_ID], GiftData[[#This Row],[Constituent_ID]], GiftData[Fiscal_Year], "FY24")&gt;0, 1, 0)</f>
        <v>1</v>
      </c>
      <c r="L912">
        <f>IF(COUNTIFS(GiftData[Constituent_ID], GiftData[[#This Row],[Constituent_ID]], GiftData[Fiscal_Year], "FY25")&gt;0, 1, 0)</f>
        <v>1</v>
      </c>
      <c r="M912">
        <f>IF(COUNTIFS(GiftData[Constituent_ID], GiftData[[#This Row],[Constituent_ID]], GiftData[Fiscal_Year], "FY26")&gt;0, 1, 0)</f>
        <v>1</v>
      </c>
      <c r="N912" t="str" cm="1">
        <f t="array" ref="N9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3" spans="1:14" x14ac:dyDescent="0.2">
      <c r="A913" t="s">
        <v>1288</v>
      </c>
      <c r="B913" t="s">
        <v>266</v>
      </c>
      <c r="C913" t="s">
        <v>28</v>
      </c>
      <c r="D913" s="1">
        <v>45748</v>
      </c>
      <c r="E913">
        <v>79.89</v>
      </c>
      <c r="F913" t="s">
        <v>59</v>
      </c>
      <c r="G913" t="s">
        <v>13</v>
      </c>
      <c r="H913" t="s">
        <v>20</v>
      </c>
      <c r="I913" t="s">
        <v>15</v>
      </c>
      <c r="J913" t="str">
        <f>"FY" &amp; IF(MONTH(GiftData[[#This Row],[Gift_Date]])&gt;=7, RIGHT(YEAR(GiftData[[#This Row],[Gift_Date]])+1, 2), RIGHT(YEAR(GiftData[[#This Row],[Gift_Date]]), 2))</f>
        <v>FY25</v>
      </c>
      <c r="K913">
        <f>IF(COUNTIFS(GiftData[Constituent_ID], GiftData[[#This Row],[Constituent_ID]], GiftData[Fiscal_Year], "FY24")&gt;0, 1, 0)</f>
        <v>1</v>
      </c>
      <c r="L913">
        <f>IF(COUNTIFS(GiftData[Constituent_ID], GiftData[[#This Row],[Constituent_ID]], GiftData[Fiscal_Year], "FY25")&gt;0, 1, 0)</f>
        <v>1</v>
      </c>
      <c r="M913">
        <f>IF(COUNTIFS(GiftData[Constituent_ID], GiftData[[#This Row],[Constituent_ID]], GiftData[Fiscal_Year], "FY26")&gt;0, 1, 0)</f>
        <v>1</v>
      </c>
      <c r="N913" t="str" cm="1">
        <f t="array" ref="N9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4" spans="1:14" x14ac:dyDescent="0.2">
      <c r="A914" t="s">
        <v>1289</v>
      </c>
      <c r="B914" t="s">
        <v>823</v>
      </c>
      <c r="C914" t="s">
        <v>35</v>
      </c>
      <c r="D914" s="1">
        <v>45899</v>
      </c>
      <c r="E914">
        <v>1146.67</v>
      </c>
      <c r="F914" t="s">
        <v>25</v>
      </c>
      <c r="G914" t="s">
        <v>13</v>
      </c>
      <c r="H914" t="s">
        <v>41</v>
      </c>
      <c r="I914" t="s">
        <v>15</v>
      </c>
      <c r="J914" t="str">
        <f>"FY" &amp; IF(MONTH(GiftData[[#This Row],[Gift_Date]])&gt;=7, RIGHT(YEAR(GiftData[[#This Row],[Gift_Date]])+1, 2), RIGHT(YEAR(GiftData[[#This Row],[Gift_Date]]), 2))</f>
        <v>FY26</v>
      </c>
      <c r="K914">
        <f>IF(COUNTIFS(GiftData[Constituent_ID], GiftData[[#This Row],[Constituent_ID]], GiftData[Fiscal_Year], "FY24")&gt;0, 1, 0)</f>
        <v>1</v>
      </c>
      <c r="L914">
        <f>IF(COUNTIFS(GiftData[Constituent_ID], GiftData[[#This Row],[Constituent_ID]], GiftData[Fiscal_Year], "FY25")&gt;0, 1, 0)</f>
        <v>0</v>
      </c>
      <c r="M914">
        <f>IF(COUNTIFS(GiftData[Constituent_ID], GiftData[[#This Row],[Constituent_ID]], GiftData[Fiscal_Year], "FY26")&gt;0, 1, 0)</f>
        <v>1</v>
      </c>
      <c r="N914" t="str" cm="1">
        <f t="array" ref="N9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5" spans="1:14" x14ac:dyDescent="0.2">
      <c r="A915" t="s">
        <v>1290</v>
      </c>
      <c r="B915" t="s">
        <v>950</v>
      </c>
      <c r="C915" t="s">
        <v>18</v>
      </c>
      <c r="D915" s="1">
        <v>45719</v>
      </c>
      <c r="E915">
        <v>139.06</v>
      </c>
      <c r="F915" t="s">
        <v>12</v>
      </c>
      <c r="G915" t="s">
        <v>13</v>
      </c>
      <c r="H915" t="s">
        <v>51</v>
      </c>
      <c r="I915" t="s">
        <v>38</v>
      </c>
      <c r="J915" t="str">
        <f>"FY" &amp; IF(MONTH(GiftData[[#This Row],[Gift_Date]])&gt;=7, RIGHT(YEAR(GiftData[[#This Row],[Gift_Date]])+1, 2), RIGHT(YEAR(GiftData[[#This Row],[Gift_Date]]), 2))</f>
        <v>FY25</v>
      </c>
      <c r="K915">
        <f>IF(COUNTIFS(GiftData[Constituent_ID], GiftData[[#This Row],[Constituent_ID]], GiftData[Fiscal_Year], "FY24")&gt;0, 1, 0)</f>
        <v>0</v>
      </c>
      <c r="L915">
        <f>IF(COUNTIFS(GiftData[Constituent_ID], GiftData[[#This Row],[Constituent_ID]], GiftData[Fiscal_Year], "FY25")&gt;0, 1, 0)</f>
        <v>1</v>
      </c>
      <c r="M915">
        <f>IF(COUNTIFS(GiftData[Constituent_ID], GiftData[[#This Row],[Constituent_ID]], GiftData[Fiscal_Year], "FY26")&gt;0, 1, 0)</f>
        <v>0</v>
      </c>
      <c r="N915" t="str" cm="1">
        <f t="array" ref="N9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16" spans="1:14" x14ac:dyDescent="0.2">
      <c r="A916" t="s">
        <v>1291</v>
      </c>
      <c r="B916" t="s">
        <v>158</v>
      </c>
      <c r="C916" t="s">
        <v>48</v>
      </c>
      <c r="D916" s="1">
        <v>45916</v>
      </c>
      <c r="E916">
        <v>1430.47</v>
      </c>
      <c r="F916" t="s">
        <v>12</v>
      </c>
      <c r="G916" t="s">
        <v>13</v>
      </c>
      <c r="H916" t="s">
        <v>41</v>
      </c>
      <c r="I916" t="s">
        <v>15</v>
      </c>
      <c r="J916" t="str">
        <f>"FY" &amp; IF(MONTH(GiftData[[#This Row],[Gift_Date]])&gt;=7, RIGHT(YEAR(GiftData[[#This Row],[Gift_Date]])+1, 2), RIGHT(YEAR(GiftData[[#This Row],[Gift_Date]]), 2))</f>
        <v>FY26</v>
      </c>
      <c r="K916">
        <f>IF(COUNTIFS(GiftData[Constituent_ID], GiftData[[#This Row],[Constituent_ID]], GiftData[Fiscal_Year], "FY24")&gt;0, 1, 0)</f>
        <v>1</v>
      </c>
      <c r="L916">
        <f>IF(COUNTIFS(GiftData[Constituent_ID], GiftData[[#This Row],[Constituent_ID]], GiftData[Fiscal_Year], "FY25")&gt;0, 1, 0)</f>
        <v>1</v>
      </c>
      <c r="M916">
        <f>IF(COUNTIFS(GiftData[Constituent_ID], GiftData[[#This Row],[Constituent_ID]], GiftData[Fiscal_Year], "FY26")&gt;0, 1, 0)</f>
        <v>1</v>
      </c>
      <c r="N916" t="str" cm="1">
        <f t="array" ref="N9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7" spans="1:14" x14ac:dyDescent="0.2">
      <c r="A917" t="s">
        <v>1292</v>
      </c>
      <c r="B917" t="s">
        <v>1186</v>
      </c>
      <c r="C917" t="s">
        <v>28</v>
      </c>
      <c r="D917" s="1">
        <v>45793</v>
      </c>
      <c r="E917">
        <v>47.46</v>
      </c>
      <c r="F917" t="s">
        <v>12</v>
      </c>
      <c r="G917" t="s">
        <v>13</v>
      </c>
      <c r="H917" t="s">
        <v>20</v>
      </c>
      <c r="I917" t="s">
        <v>15</v>
      </c>
      <c r="J917" t="str">
        <f>"FY" &amp; IF(MONTH(GiftData[[#This Row],[Gift_Date]])&gt;=7, RIGHT(YEAR(GiftData[[#This Row],[Gift_Date]])+1, 2), RIGHT(YEAR(GiftData[[#This Row],[Gift_Date]]), 2))</f>
        <v>FY25</v>
      </c>
      <c r="K917">
        <f>IF(COUNTIFS(GiftData[Constituent_ID], GiftData[[#This Row],[Constituent_ID]], GiftData[Fiscal_Year], "FY24")&gt;0, 1, 0)</f>
        <v>1</v>
      </c>
      <c r="L917">
        <f>IF(COUNTIFS(GiftData[Constituent_ID], GiftData[[#This Row],[Constituent_ID]], GiftData[Fiscal_Year], "FY25")&gt;0, 1, 0)</f>
        <v>1</v>
      </c>
      <c r="M917">
        <f>IF(COUNTIFS(GiftData[Constituent_ID], GiftData[[#This Row],[Constituent_ID]], GiftData[Fiscal_Year], "FY26")&gt;0, 1, 0)</f>
        <v>1</v>
      </c>
      <c r="N917" t="str" cm="1">
        <f t="array" ref="N9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8" spans="1:14" x14ac:dyDescent="0.2">
      <c r="A918" t="s">
        <v>1293</v>
      </c>
      <c r="B918" t="s">
        <v>440</v>
      </c>
      <c r="C918" t="s">
        <v>48</v>
      </c>
      <c r="D918" s="1">
        <v>45295</v>
      </c>
      <c r="E918">
        <v>164.7</v>
      </c>
      <c r="F918" t="s">
        <v>12</v>
      </c>
      <c r="G918" t="s">
        <v>13</v>
      </c>
      <c r="H918" t="s">
        <v>164</v>
      </c>
      <c r="I918" t="s">
        <v>15</v>
      </c>
      <c r="J918" t="str">
        <f>"FY" &amp; IF(MONTH(GiftData[[#This Row],[Gift_Date]])&gt;=7, RIGHT(YEAR(GiftData[[#This Row],[Gift_Date]])+1, 2), RIGHT(YEAR(GiftData[[#This Row],[Gift_Date]]), 2))</f>
        <v>FY24</v>
      </c>
      <c r="K918">
        <f>IF(COUNTIFS(GiftData[Constituent_ID], GiftData[[#This Row],[Constituent_ID]], GiftData[Fiscal_Year], "FY24")&gt;0, 1, 0)</f>
        <v>1</v>
      </c>
      <c r="L918">
        <f>IF(COUNTIFS(GiftData[Constituent_ID], GiftData[[#This Row],[Constituent_ID]], GiftData[Fiscal_Year], "FY25")&gt;0, 1, 0)</f>
        <v>1</v>
      </c>
      <c r="M918">
        <f>IF(COUNTIFS(GiftData[Constituent_ID], GiftData[[#This Row],[Constituent_ID]], GiftData[Fiscal_Year], "FY26")&gt;0, 1, 0)</f>
        <v>1</v>
      </c>
      <c r="N918" t="str" cm="1">
        <f t="array" ref="N9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19" spans="1:14" x14ac:dyDescent="0.2">
      <c r="A919" t="s">
        <v>1294</v>
      </c>
      <c r="B919" t="s">
        <v>1295</v>
      </c>
      <c r="C919" t="s">
        <v>48</v>
      </c>
      <c r="D919" s="1">
        <v>46092</v>
      </c>
      <c r="E919">
        <v>73.89</v>
      </c>
      <c r="F919" t="s">
        <v>59</v>
      </c>
      <c r="G919" t="s">
        <v>13</v>
      </c>
      <c r="H919" t="s">
        <v>41</v>
      </c>
      <c r="I919" t="s">
        <v>15</v>
      </c>
      <c r="J919" t="str">
        <f>"FY" &amp; IF(MONTH(GiftData[[#This Row],[Gift_Date]])&gt;=7, RIGHT(YEAR(GiftData[[#This Row],[Gift_Date]])+1, 2), RIGHT(YEAR(GiftData[[#This Row],[Gift_Date]]), 2))</f>
        <v>FY26</v>
      </c>
      <c r="K919">
        <f>IF(COUNTIFS(GiftData[Constituent_ID], GiftData[[#This Row],[Constituent_ID]], GiftData[Fiscal_Year], "FY24")&gt;0, 1, 0)</f>
        <v>0</v>
      </c>
      <c r="L919">
        <f>IF(COUNTIFS(GiftData[Constituent_ID], GiftData[[#This Row],[Constituent_ID]], GiftData[Fiscal_Year], "FY25")&gt;0, 1, 0)</f>
        <v>1</v>
      </c>
      <c r="M919">
        <f>IF(COUNTIFS(GiftData[Constituent_ID], GiftData[[#This Row],[Constituent_ID]], GiftData[Fiscal_Year], "FY26")&gt;0, 1, 0)</f>
        <v>1</v>
      </c>
      <c r="N919" t="str" cm="1">
        <f t="array" ref="N9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0" spans="1:14" x14ac:dyDescent="0.2">
      <c r="A920" t="s">
        <v>1296</v>
      </c>
      <c r="B920" t="s">
        <v>1297</v>
      </c>
      <c r="C920" t="s">
        <v>18</v>
      </c>
      <c r="D920" s="1">
        <v>45655</v>
      </c>
      <c r="E920">
        <v>262.32</v>
      </c>
      <c r="F920" t="s">
        <v>59</v>
      </c>
      <c r="G920" t="s">
        <v>13</v>
      </c>
      <c r="H920" t="s">
        <v>51</v>
      </c>
      <c r="I920" t="s">
        <v>15</v>
      </c>
      <c r="J920" t="str">
        <f>"FY" &amp; IF(MONTH(GiftData[[#This Row],[Gift_Date]])&gt;=7, RIGHT(YEAR(GiftData[[#This Row],[Gift_Date]])+1, 2), RIGHT(YEAR(GiftData[[#This Row],[Gift_Date]]), 2))</f>
        <v>FY25</v>
      </c>
      <c r="K920">
        <f>IF(COUNTIFS(GiftData[Constituent_ID], GiftData[[#This Row],[Constituent_ID]], GiftData[Fiscal_Year], "FY24")&gt;0, 1, 0)</f>
        <v>0</v>
      </c>
      <c r="L920">
        <f>IF(COUNTIFS(GiftData[Constituent_ID], GiftData[[#This Row],[Constituent_ID]], GiftData[Fiscal_Year], "FY25")&gt;0, 1, 0)</f>
        <v>1</v>
      </c>
      <c r="M920">
        <f>IF(COUNTIFS(GiftData[Constituent_ID], GiftData[[#This Row],[Constituent_ID]], GiftData[Fiscal_Year], "FY26")&gt;0, 1, 0)</f>
        <v>0</v>
      </c>
      <c r="N920" t="str" cm="1">
        <f t="array" ref="N9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21" spans="1:14" x14ac:dyDescent="0.2">
      <c r="A921" t="s">
        <v>1298</v>
      </c>
      <c r="B921" t="s">
        <v>257</v>
      </c>
      <c r="C921" t="s">
        <v>18</v>
      </c>
      <c r="D921" s="1">
        <v>45832</v>
      </c>
      <c r="E921">
        <v>388.97</v>
      </c>
      <c r="F921" t="s">
        <v>12</v>
      </c>
      <c r="G921" t="s">
        <v>29</v>
      </c>
      <c r="H921" t="s">
        <v>14</v>
      </c>
      <c r="I921" t="s">
        <v>38</v>
      </c>
      <c r="J921" t="str">
        <f>"FY" &amp; IF(MONTH(GiftData[[#This Row],[Gift_Date]])&gt;=7, RIGHT(YEAR(GiftData[[#This Row],[Gift_Date]])+1, 2), RIGHT(YEAR(GiftData[[#This Row],[Gift_Date]]), 2))</f>
        <v>FY25</v>
      </c>
      <c r="K921">
        <f>IF(COUNTIFS(GiftData[Constituent_ID], GiftData[[#This Row],[Constituent_ID]], GiftData[Fiscal_Year], "FY24")&gt;0, 1, 0)</f>
        <v>1</v>
      </c>
      <c r="L921">
        <f>IF(COUNTIFS(GiftData[Constituent_ID], GiftData[[#This Row],[Constituent_ID]], GiftData[Fiscal_Year], "FY25")&gt;0, 1, 0)</f>
        <v>1</v>
      </c>
      <c r="M921">
        <f>IF(COUNTIFS(GiftData[Constituent_ID], GiftData[[#This Row],[Constituent_ID]], GiftData[Fiscal_Year], "FY26")&gt;0, 1, 0)</f>
        <v>1</v>
      </c>
      <c r="N921" t="str" cm="1">
        <f t="array" ref="N9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2" spans="1:14" x14ac:dyDescent="0.2">
      <c r="A922" t="s">
        <v>1299</v>
      </c>
      <c r="B922" t="s">
        <v>27</v>
      </c>
      <c r="C922" t="s">
        <v>11</v>
      </c>
      <c r="D922" s="1">
        <v>46033</v>
      </c>
      <c r="E922">
        <v>265.92</v>
      </c>
      <c r="F922" t="s">
        <v>12</v>
      </c>
      <c r="G922" t="s">
        <v>13</v>
      </c>
      <c r="H922" t="s">
        <v>14</v>
      </c>
      <c r="I922" t="s">
        <v>15</v>
      </c>
      <c r="J922" t="str">
        <f>"FY" &amp; IF(MONTH(GiftData[[#This Row],[Gift_Date]])&gt;=7, RIGHT(YEAR(GiftData[[#This Row],[Gift_Date]])+1, 2), RIGHT(YEAR(GiftData[[#This Row],[Gift_Date]]), 2))</f>
        <v>FY26</v>
      </c>
      <c r="K922">
        <f>IF(COUNTIFS(GiftData[Constituent_ID], GiftData[[#This Row],[Constituent_ID]], GiftData[Fiscal_Year], "FY24")&gt;0, 1, 0)</f>
        <v>1</v>
      </c>
      <c r="L922">
        <f>IF(COUNTIFS(GiftData[Constituent_ID], GiftData[[#This Row],[Constituent_ID]], GiftData[Fiscal_Year], "FY25")&gt;0, 1, 0)</f>
        <v>1</v>
      </c>
      <c r="M922">
        <f>IF(COUNTIFS(GiftData[Constituent_ID], GiftData[[#This Row],[Constituent_ID]], GiftData[Fiscal_Year], "FY26")&gt;0, 1, 0)</f>
        <v>1</v>
      </c>
      <c r="N922" t="str" cm="1">
        <f t="array" ref="N9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3" spans="1:14" x14ac:dyDescent="0.2">
      <c r="A923" t="s">
        <v>1300</v>
      </c>
      <c r="B923" t="s">
        <v>544</v>
      </c>
      <c r="C923" t="s">
        <v>11</v>
      </c>
      <c r="D923" s="1">
        <v>45983</v>
      </c>
      <c r="E923">
        <v>470.79</v>
      </c>
      <c r="F923" t="s">
        <v>25</v>
      </c>
      <c r="G923" t="s">
        <v>13</v>
      </c>
      <c r="H923" t="s">
        <v>41</v>
      </c>
      <c r="I923" t="s">
        <v>38</v>
      </c>
      <c r="J923" t="str">
        <f>"FY" &amp; IF(MONTH(GiftData[[#This Row],[Gift_Date]])&gt;=7, RIGHT(YEAR(GiftData[[#This Row],[Gift_Date]])+1, 2), RIGHT(YEAR(GiftData[[#This Row],[Gift_Date]]), 2))</f>
        <v>FY26</v>
      </c>
      <c r="K923">
        <f>IF(COUNTIFS(GiftData[Constituent_ID], GiftData[[#This Row],[Constituent_ID]], GiftData[Fiscal_Year], "FY24")&gt;0, 1, 0)</f>
        <v>1</v>
      </c>
      <c r="L923">
        <f>IF(COUNTIFS(GiftData[Constituent_ID], GiftData[[#This Row],[Constituent_ID]], GiftData[Fiscal_Year], "FY25")&gt;0, 1, 0)</f>
        <v>1</v>
      </c>
      <c r="M923">
        <f>IF(COUNTIFS(GiftData[Constituent_ID], GiftData[[#This Row],[Constituent_ID]], GiftData[Fiscal_Year], "FY26")&gt;0, 1, 0)</f>
        <v>1</v>
      </c>
      <c r="N923" t="str" cm="1">
        <f t="array" ref="N9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4" spans="1:14" x14ac:dyDescent="0.2">
      <c r="A924" t="s">
        <v>1301</v>
      </c>
      <c r="B924" t="s">
        <v>291</v>
      </c>
      <c r="C924" t="s">
        <v>18</v>
      </c>
      <c r="D924" s="1">
        <v>45725</v>
      </c>
      <c r="E924">
        <v>119.45</v>
      </c>
      <c r="F924" t="s">
        <v>25</v>
      </c>
      <c r="G924" t="s">
        <v>13</v>
      </c>
      <c r="H924" t="s">
        <v>20</v>
      </c>
      <c r="I924" t="s">
        <v>15</v>
      </c>
      <c r="J924" t="str">
        <f>"FY" &amp; IF(MONTH(GiftData[[#This Row],[Gift_Date]])&gt;=7, RIGHT(YEAR(GiftData[[#This Row],[Gift_Date]])+1, 2), RIGHT(YEAR(GiftData[[#This Row],[Gift_Date]]), 2))</f>
        <v>FY25</v>
      </c>
      <c r="K924">
        <f>IF(COUNTIFS(GiftData[Constituent_ID], GiftData[[#This Row],[Constituent_ID]], GiftData[Fiscal_Year], "FY24")&gt;0, 1, 0)</f>
        <v>1</v>
      </c>
      <c r="L924">
        <f>IF(COUNTIFS(GiftData[Constituent_ID], GiftData[[#This Row],[Constituent_ID]], GiftData[Fiscal_Year], "FY25")&gt;0, 1, 0)</f>
        <v>1</v>
      </c>
      <c r="M924">
        <f>IF(COUNTIFS(GiftData[Constituent_ID], GiftData[[#This Row],[Constituent_ID]], GiftData[Fiscal_Year], "FY26")&gt;0, 1, 0)</f>
        <v>1</v>
      </c>
      <c r="N924" t="str" cm="1">
        <f t="array" ref="N9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5" spans="1:14" x14ac:dyDescent="0.2">
      <c r="A925" t="s">
        <v>1302</v>
      </c>
      <c r="B925" t="s">
        <v>238</v>
      </c>
      <c r="C925" t="s">
        <v>18</v>
      </c>
      <c r="D925" s="1">
        <v>45521</v>
      </c>
      <c r="E925">
        <v>94.85</v>
      </c>
      <c r="F925" t="s">
        <v>12</v>
      </c>
      <c r="G925" t="s">
        <v>13</v>
      </c>
      <c r="H925" t="s">
        <v>14</v>
      </c>
      <c r="I925" t="s">
        <v>56</v>
      </c>
      <c r="J925" t="str">
        <f>"FY" &amp; IF(MONTH(GiftData[[#This Row],[Gift_Date]])&gt;=7, RIGHT(YEAR(GiftData[[#This Row],[Gift_Date]])+1, 2), RIGHT(YEAR(GiftData[[#This Row],[Gift_Date]]), 2))</f>
        <v>FY25</v>
      </c>
      <c r="K925">
        <f>IF(COUNTIFS(GiftData[Constituent_ID], GiftData[[#This Row],[Constituent_ID]], GiftData[Fiscal_Year], "FY24")&gt;0, 1, 0)</f>
        <v>1</v>
      </c>
      <c r="L925">
        <f>IF(COUNTIFS(GiftData[Constituent_ID], GiftData[[#This Row],[Constituent_ID]], GiftData[Fiscal_Year], "FY25")&gt;0, 1, 0)</f>
        <v>1</v>
      </c>
      <c r="M925">
        <f>IF(COUNTIFS(GiftData[Constituent_ID], GiftData[[#This Row],[Constituent_ID]], GiftData[Fiscal_Year], "FY26")&gt;0, 1, 0)</f>
        <v>1</v>
      </c>
      <c r="N925" t="str" cm="1">
        <f t="array" ref="N9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6" spans="1:14" x14ac:dyDescent="0.2">
      <c r="A926" t="s">
        <v>1303</v>
      </c>
      <c r="B926" t="s">
        <v>496</v>
      </c>
      <c r="C926" t="s">
        <v>11</v>
      </c>
      <c r="D926" s="1">
        <v>46010</v>
      </c>
      <c r="E926">
        <v>15</v>
      </c>
      <c r="F926" t="s">
        <v>12</v>
      </c>
      <c r="G926" t="s">
        <v>13</v>
      </c>
      <c r="H926" t="s">
        <v>51</v>
      </c>
      <c r="I926" t="s">
        <v>38</v>
      </c>
      <c r="J926" t="str">
        <f>"FY" &amp; IF(MONTH(GiftData[[#This Row],[Gift_Date]])&gt;=7, RIGHT(YEAR(GiftData[[#This Row],[Gift_Date]])+1, 2), RIGHT(YEAR(GiftData[[#This Row],[Gift_Date]]), 2))</f>
        <v>FY26</v>
      </c>
      <c r="K926">
        <f>IF(COUNTIFS(GiftData[Constituent_ID], GiftData[[#This Row],[Constituent_ID]], GiftData[Fiscal_Year], "FY24")&gt;0, 1, 0)</f>
        <v>1</v>
      </c>
      <c r="L926">
        <f>IF(COUNTIFS(GiftData[Constituent_ID], GiftData[[#This Row],[Constituent_ID]], GiftData[Fiscal_Year], "FY25")&gt;0, 1, 0)</f>
        <v>1</v>
      </c>
      <c r="M926">
        <f>IF(COUNTIFS(GiftData[Constituent_ID], GiftData[[#This Row],[Constituent_ID]], GiftData[Fiscal_Year], "FY26")&gt;0, 1, 0)</f>
        <v>1</v>
      </c>
      <c r="N926" t="str" cm="1">
        <f t="array" ref="N9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7" spans="1:14" x14ac:dyDescent="0.2">
      <c r="A927" t="s">
        <v>1304</v>
      </c>
      <c r="B927" t="s">
        <v>103</v>
      </c>
      <c r="C927" t="s">
        <v>18</v>
      </c>
      <c r="D927" s="1">
        <v>45270</v>
      </c>
      <c r="E927">
        <v>278.66000000000003</v>
      </c>
      <c r="F927" t="s">
        <v>12</v>
      </c>
      <c r="G927" t="s">
        <v>13</v>
      </c>
      <c r="H927" t="s">
        <v>51</v>
      </c>
      <c r="I927" t="s">
        <v>38</v>
      </c>
      <c r="J927" t="str">
        <f>"FY" &amp; IF(MONTH(GiftData[[#This Row],[Gift_Date]])&gt;=7, RIGHT(YEAR(GiftData[[#This Row],[Gift_Date]])+1, 2), RIGHT(YEAR(GiftData[[#This Row],[Gift_Date]]), 2))</f>
        <v>FY24</v>
      </c>
      <c r="K927">
        <f>IF(COUNTIFS(GiftData[Constituent_ID], GiftData[[#This Row],[Constituent_ID]], GiftData[Fiscal_Year], "FY24")&gt;0, 1, 0)</f>
        <v>1</v>
      </c>
      <c r="L927">
        <f>IF(COUNTIFS(GiftData[Constituent_ID], GiftData[[#This Row],[Constituent_ID]], GiftData[Fiscal_Year], "FY25")&gt;0, 1, 0)</f>
        <v>1</v>
      </c>
      <c r="M927">
        <f>IF(COUNTIFS(GiftData[Constituent_ID], GiftData[[#This Row],[Constituent_ID]], GiftData[Fiscal_Year], "FY26")&gt;0, 1, 0)</f>
        <v>1</v>
      </c>
      <c r="N927" t="str" cm="1">
        <f t="array" ref="N9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28" spans="1:14" x14ac:dyDescent="0.2">
      <c r="A928" t="s">
        <v>1305</v>
      </c>
      <c r="B928" t="s">
        <v>870</v>
      </c>
      <c r="C928" t="s">
        <v>18</v>
      </c>
      <c r="D928" s="1">
        <v>45377</v>
      </c>
      <c r="E928">
        <v>151.99</v>
      </c>
      <c r="F928" t="s">
        <v>59</v>
      </c>
      <c r="G928" t="s">
        <v>29</v>
      </c>
      <c r="H928" t="s">
        <v>164</v>
      </c>
      <c r="I928" t="s">
        <v>15</v>
      </c>
      <c r="J928" t="str">
        <f>"FY" &amp; IF(MONTH(GiftData[[#This Row],[Gift_Date]])&gt;=7, RIGHT(YEAR(GiftData[[#This Row],[Gift_Date]])+1, 2), RIGHT(YEAR(GiftData[[#This Row],[Gift_Date]]), 2))</f>
        <v>FY24</v>
      </c>
      <c r="K928">
        <f>IF(COUNTIFS(GiftData[Constituent_ID], GiftData[[#This Row],[Constituent_ID]], GiftData[Fiscal_Year], "FY24")&gt;0, 1, 0)</f>
        <v>1</v>
      </c>
      <c r="L928">
        <f>IF(COUNTIFS(GiftData[Constituent_ID], GiftData[[#This Row],[Constituent_ID]], GiftData[Fiscal_Year], "FY25")&gt;0, 1, 0)</f>
        <v>1</v>
      </c>
      <c r="M928">
        <f>IF(COUNTIFS(GiftData[Constituent_ID], GiftData[[#This Row],[Constituent_ID]], GiftData[Fiscal_Year], "FY26")&gt;0, 1, 0)</f>
        <v>0</v>
      </c>
      <c r="N928" t="str" cm="1">
        <f t="array" ref="N9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29" spans="1:14" x14ac:dyDescent="0.2">
      <c r="A929" t="s">
        <v>1306</v>
      </c>
      <c r="B929" t="s">
        <v>126</v>
      </c>
      <c r="C929" t="s">
        <v>11</v>
      </c>
      <c r="D929" s="1">
        <v>45739</v>
      </c>
      <c r="E929">
        <v>111.24</v>
      </c>
      <c r="F929" t="s">
        <v>12</v>
      </c>
      <c r="G929" t="s">
        <v>13</v>
      </c>
      <c r="H929" t="s">
        <v>41</v>
      </c>
      <c r="I929" t="s">
        <v>15</v>
      </c>
      <c r="J929" t="str">
        <f>"FY" &amp; IF(MONTH(GiftData[[#This Row],[Gift_Date]])&gt;=7, RIGHT(YEAR(GiftData[[#This Row],[Gift_Date]])+1, 2), RIGHT(YEAR(GiftData[[#This Row],[Gift_Date]]), 2))</f>
        <v>FY25</v>
      </c>
      <c r="K929">
        <f>IF(COUNTIFS(GiftData[Constituent_ID], GiftData[[#This Row],[Constituent_ID]], GiftData[Fiscal_Year], "FY24")&gt;0, 1, 0)</f>
        <v>1</v>
      </c>
      <c r="L929">
        <f>IF(COUNTIFS(GiftData[Constituent_ID], GiftData[[#This Row],[Constituent_ID]], GiftData[Fiscal_Year], "FY25")&gt;0, 1, 0)</f>
        <v>1</v>
      </c>
      <c r="M929">
        <f>IF(COUNTIFS(GiftData[Constituent_ID], GiftData[[#This Row],[Constituent_ID]], GiftData[Fiscal_Year], "FY26")&gt;0, 1, 0)</f>
        <v>1</v>
      </c>
      <c r="N929" t="str" cm="1">
        <f t="array" ref="N9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0" spans="1:14" x14ac:dyDescent="0.2">
      <c r="A930" t="s">
        <v>1307</v>
      </c>
      <c r="B930" t="s">
        <v>670</v>
      </c>
      <c r="C930" t="s">
        <v>18</v>
      </c>
      <c r="D930" s="1">
        <v>46013</v>
      </c>
      <c r="E930">
        <v>94.82</v>
      </c>
      <c r="F930" t="s">
        <v>12</v>
      </c>
      <c r="G930" t="s">
        <v>13</v>
      </c>
      <c r="H930" t="s">
        <v>20</v>
      </c>
      <c r="I930" t="s">
        <v>15</v>
      </c>
      <c r="J930" t="str">
        <f>"FY" &amp; IF(MONTH(GiftData[[#This Row],[Gift_Date]])&gt;=7, RIGHT(YEAR(GiftData[[#This Row],[Gift_Date]])+1, 2), RIGHT(YEAR(GiftData[[#This Row],[Gift_Date]]), 2))</f>
        <v>FY26</v>
      </c>
      <c r="K930">
        <f>IF(COUNTIFS(GiftData[Constituent_ID], GiftData[[#This Row],[Constituent_ID]], GiftData[Fiscal_Year], "FY24")&gt;0, 1, 0)</f>
        <v>1</v>
      </c>
      <c r="L930">
        <f>IF(COUNTIFS(GiftData[Constituent_ID], GiftData[[#This Row],[Constituent_ID]], GiftData[Fiscal_Year], "FY25")&gt;0, 1, 0)</f>
        <v>0</v>
      </c>
      <c r="M930">
        <f>IF(COUNTIFS(GiftData[Constituent_ID], GiftData[[#This Row],[Constituent_ID]], GiftData[Fiscal_Year], "FY26")&gt;0, 1, 0)</f>
        <v>1</v>
      </c>
      <c r="N930" t="str" cm="1">
        <f t="array" ref="N9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1" spans="1:14" x14ac:dyDescent="0.2">
      <c r="A931" t="s">
        <v>1308</v>
      </c>
      <c r="B931" t="s">
        <v>261</v>
      </c>
      <c r="C931" t="s">
        <v>11</v>
      </c>
      <c r="D931" s="1">
        <v>45312</v>
      </c>
      <c r="E931">
        <v>115.82</v>
      </c>
      <c r="F931" t="s">
        <v>59</v>
      </c>
      <c r="G931" t="s">
        <v>29</v>
      </c>
      <c r="H931" t="s">
        <v>20</v>
      </c>
      <c r="I931" t="s">
        <v>38</v>
      </c>
      <c r="J931" t="str">
        <f>"FY" &amp; IF(MONTH(GiftData[[#This Row],[Gift_Date]])&gt;=7, RIGHT(YEAR(GiftData[[#This Row],[Gift_Date]])+1, 2), RIGHT(YEAR(GiftData[[#This Row],[Gift_Date]]), 2))</f>
        <v>FY24</v>
      </c>
      <c r="K931">
        <f>IF(COUNTIFS(GiftData[Constituent_ID], GiftData[[#This Row],[Constituent_ID]], GiftData[Fiscal_Year], "FY24")&gt;0, 1, 0)</f>
        <v>1</v>
      </c>
      <c r="L931">
        <f>IF(COUNTIFS(GiftData[Constituent_ID], GiftData[[#This Row],[Constituent_ID]], GiftData[Fiscal_Year], "FY25")&gt;0, 1, 0)</f>
        <v>1</v>
      </c>
      <c r="M931">
        <f>IF(COUNTIFS(GiftData[Constituent_ID], GiftData[[#This Row],[Constituent_ID]], GiftData[Fiscal_Year], "FY26")&gt;0, 1, 0)</f>
        <v>1</v>
      </c>
      <c r="N931" t="str" cm="1">
        <f t="array" ref="N9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2" spans="1:14" x14ac:dyDescent="0.2">
      <c r="A932" t="s">
        <v>1309</v>
      </c>
      <c r="B932" t="s">
        <v>1118</v>
      </c>
      <c r="C932" t="s">
        <v>11</v>
      </c>
      <c r="D932" s="1">
        <v>45689</v>
      </c>
      <c r="E932">
        <v>89.38</v>
      </c>
      <c r="F932" t="s">
        <v>25</v>
      </c>
      <c r="G932" t="s">
        <v>13</v>
      </c>
      <c r="H932" t="s">
        <v>14</v>
      </c>
      <c r="I932" t="s">
        <v>15</v>
      </c>
      <c r="J932" t="str">
        <f>"FY" &amp; IF(MONTH(GiftData[[#This Row],[Gift_Date]])&gt;=7, RIGHT(YEAR(GiftData[[#This Row],[Gift_Date]])+1, 2), RIGHT(YEAR(GiftData[[#This Row],[Gift_Date]]), 2))</f>
        <v>FY25</v>
      </c>
      <c r="K932">
        <f>IF(COUNTIFS(GiftData[Constituent_ID], GiftData[[#This Row],[Constituent_ID]], GiftData[Fiscal_Year], "FY24")&gt;0, 1, 0)</f>
        <v>0</v>
      </c>
      <c r="L932">
        <f>IF(COUNTIFS(GiftData[Constituent_ID], GiftData[[#This Row],[Constituent_ID]], GiftData[Fiscal_Year], "FY25")&gt;0, 1, 0)</f>
        <v>1</v>
      </c>
      <c r="M932">
        <f>IF(COUNTIFS(GiftData[Constituent_ID], GiftData[[#This Row],[Constituent_ID]], GiftData[Fiscal_Year], "FY26")&gt;0, 1, 0)</f>
        <v>1</v>
      </c>
      <c r="N932" t="str" cm="1">
        <f t="array" ref="N9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3" spans="1:14" x14ac:dyDescent="0.2">
      <c r="A933" t="s">
        <v>1310</v>
      </c>
      <c r="B933" t="s">
        <v>484</v>
      </c>
      <c r="C933" t="s">
        <v>11</v>
      </c>
      <c r="D933" s="1">
        <v>45948</v>
      </c>
      <c r="E933">
        <v>61.16</v>
      </c>
      <c r="F933" t="s">
        <v>59</v>
      </c>
      <c r="G933" t="s">
        <v>29</v>
      </c>
      <c r="H933" t="s">
        <v>14</v>
      </c>
      <c r="I933" t="s">
        <v>30</v>
      </c>
      <c r="J933" t="str">
        <f>"FY" &amp; IF(MONTH(GiftData[[#This Row],[Gift_Date]])&gt;=7, RIGHT(YEAR(GiftData[[#This Row],[Gift_Date]])+1, 2), RIGHT(YEAR(GiftData[[#This Row],[Gift_Date]]), 2))</f>
        <v>FY26</v>
      </c>
      <c r="K933">
        <f>IF(COUNTIFS(GiftData[Constituent_ID], GiftData[[#This Row],[Constituent_ID]], GiftData[Fiscal_Year], "FY24")&gt;0, 1, 0)</f>
        <v>1</v>
      </c>
      <c r="L933">
        <f>IF(COUNTIFS(GiftData[Constituent_ID], GiftData[[#This Row],[Constituent_ID]], GiftData[Fiscal_Year], "FY25")&gt;0, 1, 0)</f>
        <v>0</v>
      </c>
      <c r="M933">
        <f>IF(COUNTIFS(GiftData[Constituent_ID], GiftData[[#This Row],[Constituent_ID]], GiftData[Fiscal_Year], "FY26")&gt;0, 1, 0)</f>
        <v>1</v>
      </c>
      <c r="N933" t="str" cm="1">
        <f t="array" ref="N9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4" spans="1:14" x14ac:dyDescent="0.2">
      <c r="A934" t="s">
        <v>1311</v>
      </c>
      <c r="B934" t="s">
        <v>242</v>
      </c>
      <c r="C934" t="s">
        <v>35</v>
      </c>
      <c r="D934" s="1">
        <v>45703</v>
      </c>
      <c r="E934">
        <v>165.91</v>
      </c>
      <c r="F934" t="s">
        <v>12</v>
      </c>
      <c r="G934" t="s">
        <v>29</v>
      </c>
      <c r="H934" t="s">
        <v>20</v>
      </c>
      <c r="I934" t="s">
        <v>30</v>
      </c>
      <c r="J934" t="str">
        <f>"FY" &amp; IF(MONTH(GiftData[[#This Row],[Gift_Date]])&gt;=7, RIGHT(YEAR(GiftData[[#This Row],[Gift_Date]])+1, 2), RIGHT(YEAR(GiftData[[#This Row],[Gift_Date]]), 2))</f>
        <v>FY25</v>
      </c>
      <c r="K934">
        <f>IF(COUNTIFS(GiftData[Constituent_ID], GiftData[[#This Row],[Constituent_ID]], GiftData[Fiscal_Year], "FY24")&gt;0, 1, 0)</f>
        <v>1</v>
      </c>
      <c r="L934">
        <f>IF(COUNTIFS(GiftData[Constituent_ID], GiftData[[#This Row],[Constituent_ID]], GiftData[Fiscal_Year], "FY25")&gt;0, 1, 0)</f>
        <v>1</v>
      </c>
      <c r="M934">
        <f>IF(COUNTIFS(GiftData[Constituent_ID], GiftData[[#This Row],[Constituent_ID]], GiftData[Fiscal_Year], "FY26")&gt;0, 1, 0)</f>
        <v>1</v>
      </c>
      <c r="N934" t="str" cm="1">
        <f t="array" ref="N9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5" spans="1:14" x14ac:dyDescent="0.2">
      <c r="A935" t="s">
        <v>1312</v>
      </c>
      <c r="B935" t="s">
        <v>876</v>
      </c>
      <c r="C935" t="s">
        <v>11</v>
      </c>
      <c r="D935" s="1">
        <v>45357</v>
      </c>
      <c r="E935">
        <v>228.01</v>
      </c>
      <c r="F935" t="s">
        <v>12</v>
      </c>
      <c r="G935" t="s">
        <v>13</v>
      </c>
      <c r="H935" t="s">
        <v>20</v>
      </c>
      <c r="I935" t="s">
        <v>15</v>
      </c>
      <c r="J935" t="str">
        <f>"FY" &amp; IF(MONTH(GiftData[[#This Row],[Gift_Date]])&gt;=7, RIGHT(YEAR(GiftData[[#This Row],[Gift_Date]])+1, 2), RIGHT(YEAR(GiftData[[#This Row],[Gift_Date]]), 2))</f>
        <v>FY24</v>
      </c>
      <c r="K935">
        <f>IF(COUNTIFS(GiftData[Constituent_ID], GiftData[[#This Row],[Constituent_ID]], GiftData[Fiscal_Year], "FY24")&gt;0, 1, 0)</f>
        <v>1</v>
      </c>
      <c r="L935">
        <f>IF(COUNTIFS(GiftData[Constituent_ID], GiftData[[#This Row],[Constituent_ID]], GiftData[Fiscal_Year], "FY25")&gt;0, 1, 0)</f>
        <v>0</v>
      </c>
      <c r="M935">
        <f>IF(COUNTIFS(GiftData[Constituent_ID], GiftData[[#This Row],[Constituent_ID]], GiftData[Fiscal_Year], "FY26")&gt;0, 1, 0)</f>
        <v>1</v>
      </c>
      <c r="N935" t="str" cm="1">
        <f t="array" ref="N9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6" spans="1:14" x14ac:dyDescent="0.2">
      <c r="A936" t="s">
        <v>1313</v>
      </c>
      <c r="B936" t="s">
        <v>434</v>
      </c>
      <c r="C936" t="s">
        <v>11</v>
      </c>
      <c r="D936" s="1">
        <v>45982</v>
      </c>
      <c r="E936">
        <v>44.62</v>
      </c>
      <c r="F936" t="s">
        <v>59</v>
      </c>
      <c r="G936" t="s">
        <v>13</v>
      </c>
      <c r="H936" t="s">
        <v>14</v>
      </c>
      <c r="I936" t="s">
        <v>30</v>
      </c>
      <c r="J936" t="str">
        <f>"FY" &amp; IF(MONTH(GiftData[[#This Row],[Gift_Date]])&gt;=7, RIGHT(YEAR(GiftData[[#This Row],[Gift_Date]])+1, 2), RIGHT(YEAR(GiftData[[#This Row],[Gift_Date]]), 2))</f>
        <v>FY26</v>
      </c>
      <c r="K936">
        <f>IF(COUNTIFS(GiftData[Constituent_ID], GiftData[[#This Row],[Constituent_ID]], GiftData[Fiscal_Year], "FY24")&gt;0, 1, 0)</f>
        <v>0</v>
      </c>
      <c r="L936">
        <f>IF(COUNTIFS(GiftData[Constituent_ID], GiftData[[#This Row],[Constituent_ID]], GiftData[Fiscal_Year], "FY25")&gt;0, 1, 0)</f>
        <v>0</v>
      </c>
      <c r="M936">
        <f>IF(COUNTIFS(GiftData[Constituent_ID], GiftData[[#This Row],[Constituent_ID]], GiftData[Fiscal_Year], "FY26")&gt;0, 1, 0)</f>
        <v>1</v>
      </c>
      <c r="N936" t="str" cm="1">
        <f t="array" ref="N9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7" spans="1:14" x14ac:dyDescent="0.2">
      <c r="A937" t="s">
        <v>1314</v>
      </c>
      <c r="B937" t="s">
        <v>537</v>
      </c>
      <c r="C937" t="s">
        <v>11</v>
      </c>
      <c r="D937" s="1">
        <v>45303</v>
      </c>
      <c r="E937">
        <v>72.17</v>
      </c>
      <c r="F937" t="s">
        <v>12</v>
      </c>
      <c r="G937" t="s">
        <v>13</v>
      </c>
      <c r="H937" t="s">
        <v>41</v>
      </c>
      <c r="I937" t="s">
        <v>15</v>
      </c>
      <c r="J937" t="str">
        <f>"FY" &amp; IF(MONTH(GiftData[[#This Row],[Gift_Date]])&gt;=7, RIGHT(YEAR(GiftData[[#This Row],[Gift_Date]])+1, 2), RIGHT(YEAR(GiftData[[#This Row],[Gift_Date]]), 2))</f>
        <v>FY24</v>
      </c>
      <c r="K937">
        <f>IF(COUNTIFS(GiftData[Constituent_ID], GiftData[[#This Row],[Constituent_ID]], GiftData[Fiscal_Year], "FY24")&gt;0, 1, 0)</f>
        <v>1</v>
      </c>
      <c r="L937">
        <f>IF(COUNTIFS(GiftData[Constituent_ID], GiftData[[#This Row],[Constituent_ID]], GiftData[Fiscal_Year], "FY25")&gt;0, 1, 0)</f>
        <v>1</v>
      </c>
      <c r="M937">
        <f>IF(COUNTIFS(GiftData[Constituent_ID], GiftData[[#This Row],[Constituent_ID]], GiftData[Fiscal_Year], "FY26")&gt;0, 1, 0)</f>
        <v>1</v>
      </c>
      <c r="N937" t="str" cm="1">
        <f t="array" ref="N9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38" spans="1:14" x14ac:dyDescent="0.2">
      <c r="A938" t="s">
        <v>1315</v>
      </c>
      <c r="B938" t="s">
        <v>1116</v>
      </c>
      <c r="C938" t="s">
        <v>35</v>
      </c>
      <c r="D938" s="1">
        <v>45797</v>
      </c>
      <c r="E938">
        <v>93.13</v>
      </c>
      <c r="F938" t="s">
        <v>12</v>
      </c>
      <c r="G938" t="s">
        <v>13</v>
      </c>
      <c r="H938" t="s">
        <v>164</v>
      </c>
      <c r="I938" t="s">
        <v>15</v>
      </c>
      <c r="J938" t="str">
        <f>"FY" &amp; IF(MONTH(GiftData[[#This Row],[Gift_Date]])&gt;=7, RIGHT(YEAR(GiftData[[#This Row],[Gift_Date]])+1, 2), RIGHT(YEAR(GiftData[[#This Row],[Gift_Date]]), 2))</f>
        <v>FY25</v>
      </c>
      <c r="K938">
        <f>IF(COUNTIFS(GiftData[Constituent_ID], GiftData[[#This Row],[Constituent_ID]], GiftData[Fiscal_Year], "FY24")&gt;0, 1, 0)</f>
        <v>1</v>
      </c>
      <c r="L938">
        <f>IF(COUNTIFS(GiftData[Constituent_ID], GiftData[[#This Row],[Constituent_ID]], GiftData[Fiscal_Year], "FY25")&gt;0, 1, 0)</f>
        <v>1</v>
      </c>
      <c r="M938">
        <f>IF(COUNTIFS(GiftData[Constituent_ID], GiftData[[#This Row],[Constituent_ID]], GiftData[Fiscal_Year], "FY26")&gt;0, 1, 0)</f>
        <v>0</v>
      </c>
      <c r="N938" t="str" cm="1">
        <f t="array" ref="N9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39" spans="1:14" x14ac:dyDescent="0.2">
      <c r="A939" t="s">
        <v>1316</v>
      </c>
      <c r="B939" t="s">
        <v>293</v>
      </c>
      <c r="C939" t="s">
        <v>35</v>
      </c>
      <c r="D939" s="1">
        <v>45746</v>
      </c>
      <c r="E939">
        <v>122.27</v>
      </c>
      <c r="F939" t="s">
        <v>12</v>
      </c>
      <c r="G939" t="s">
        <v>13</v>
      </c>
      <c r="H939" t="s">
        <v>41</v>
      </c>
      <c r="I939" t="s">
        <v>15</v>
      </c>
      <c r="J939" t="str">
        <f>"FY" &amp; IF(MONTH(GiftData[[#This Row],[Gift_Date]])&gt;=7, RIGHT(YEAR(GiftData[[#This Row],[Gift_Date]])+1, 2), RIGHT(YEAR(GiftData[[#This Row],[Gift_Date]]), 2))</f>
        <v>FY25</v>
      </c>
      <c r="K939">
        <f>IF(COUNTIFS(GiftData[Constituent_ID], GiftData[[#This Row],[Constituent_ID]], GiftData[Fiscal_Year], "FY24")&gt;0, 1, 0)</f>
        <v>1</v>
      </c>
      <c r="L939">
        <f>IF(COUNTIFS(GiftData[Constituent_ID], GiftData[[#This Row],[Constituent_ID]], GiftData[Fiscal_Year], "FY25")&gt;0, 1, 0)</f>
        <v>1</v>
      </c>
      <c r="M939">
        <f>IF(COUNTIFS(GiftData[Constituent_ID], GiftData[[#This Row],[Constituent_ID]], GiftData[Fiscal_Year], "FY26")&gt;0, 1, 0)</f>
        <v>0</v>
      </c>
      <c r="N939" t="str" cm="1">
        <f t="array" ref="N9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40" spans="1:14" x14ac:dyDescent="0.2">
      <c r="A940" t="s">
        <v>1317</v>
      </c>
      <c r="B940" t="s">
        <v>970</v>
      </c>
      <c r="C940" t="s">
        <v>35</v>
      </c>
      <c r="D940" s="1">
        <v>45779</v>
      </c>
      <c r="E940">
        <v>102.86</v>
      </c>
      <c r="F940" t="s">
        <v>12</v>
      </c>
      <c r="G940" t="s">
        <v>29</v>
      </c>
      <c r="H940" t="s">
        <v>41</v>
      </c>
      <c r="I940" t="s">
        <v>38</v>
      </c>
      <c r="J940" t="str">
        <f>"FY" &amp; IF(MONTH(GiftData[[#This Row],[Gift_Date]])&gt;=7, RIGHT(YEAR(GiftData[[#This Row],[Gift_Date]])+1, 2), RIGHT(YEAR(GiftData[[#This Row],[Gift_Date]]), 2))</f>
        <v>FY25</v>
      </c>
      <c r="K940">
        <f>IF(COUNTIFS(GiftData[Constituent_ID], GiftData[[#This Row],[Constituent_ID]], GiftData[Fiscal_Year], "FY24")&gt;0, 1, 0)</f>
        <v>1</v>
      </c>
      <c r="L940">
        <f>IF(COUNTIFS(GiftData[Constituent_ID], GiftData[[#This Row],[Constituent_ID]], GiftData[Fiscal_Year], "FY25")&gt;0, 1, 0)</f>
        <v>1</v>
      </c>
      <c r="M940">
        <f>IF(COUNTIFS(GiftData[Constituent_ID], GiftData[[#This Row],[Constituent_ID]], GiftData[Fiscal_Year], "FY26")&gt;0, 1, 0)</f>
        <v>1</v>
      </c>
      <c r="N940" t="str" cm="1">
        <f t="array" ref="N9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1" spans="1:14" x14ac:dyDescent="0.2">
      <c r="A941" t="s">
        <v>1318</v>
      </c>
      <c r="B941" t="s">
        <v>1073</v>
      </c>
      <c r="C941" t="s">
        <v>28</v>
      </c>
      <c r="D941" s="1">
        <v>46051</v>
      </c>
      <c r="E941">
        <v>286.47000000000003</v>
      </c>
      <c r="F941" t="s">
        <v>12</v>
      </c>
      <c r="G941" t="s">
        <v>13</v>
      </c>
      <c r="H941" t="s">
        <v>41</v>
      </c>
      <c r="I941" t="s">
        <v>15</v>
      </c>
      <c r="J941" t="str">
        <f>"FY" &amp; IF(MONTH(GiftData[[#This Row],[Gift_Date]])&gt;=7, RIGHT(YEAR(GiftData[[#This Row],[Gift_Date]])+1, 2), RIGHT(YEAR(GiftData[[#This Row],[Gift_Date]]), 2))</f>
        <v>FY26</v>
      </c>
      <c r="K941">
        <f>IF(COUNTIFS(GiftData[Constituent_ID], GiftData[[#This Row],[Constituent_ID]], GiftData[Fiscal_Year], "FY24")&gt;0, 1, 0)</f>
        <v>0</v>
      </c>
      <c r="L941">
        <f>IF(COUNTIFS(GiftData[Constituent_ID], GiftData[[#This Row],[Constituent_ID]], GiftData[Fiscal_Year], "FY25")&gt;0, 1, 0)</f>
        <v>1</v>
      </c>
      <c r="M941">
        <f>IF(COUNTIFS(GiftData[Constituent_ID], GiftData[[#This Row],[Constituent_ID]], GiftData[Fiscal_Year], "FY26")&gt;0, 1, 0)</f>
        <v>1</v>
      </c>
      <c r="N941" t="str" cm="1">
        <f t="array" ref="N9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2" spans="1:14" x14ac:dyDescent="0.2">
      <c r="A942" t="s">
        <v>1319</v>
      </c>
      <c r="B942" t="s">
        <v>201</v>
      </c>
      <c r="C942" t="s">
        <v>18</v>
      </c>
      <c r="D942" s="1">
        <v>45306</v>
      </c>
      <c r="E942">
        <v>15</v>
      </c>
      <c r="F942" t="s">
        <v>59</v>
      </c>
      <c r="G942" t="s">
        <v>13</v>
      </c>
      <c r="H942" t="s">
        <v>164</v>
      </c>
      <c r="I942" t="s">
        <v>30</v>
      </c>
      <c r="J942" t="str">
        <f>"FY" &amp; IF(MONTH(GiftData[[#This Row],[Gift_Date]])&gt;=7, RIGHT(YEAR(GiftData[[#This Row],[Gift_Date]])+1, 2), RIGHT(YEAR(GiftData[[#This Row],[Gift_Date]]), 2))</f>
        <v>FY24</v>
      </c>
      <c r="K942">
        <f>IF(COUNTIFS(GiftData[Constituent_ID], GiftData[[#This Row],[Constituent_ID]], GiftData[Fiscal_Year], "FY24")&gt;0, 1, 0)</f>
        <v>1</v>
      </c>
      <c r="L942">
        <f>IF(COUNTIFS(GiftData[Constituent_ID], GiftData[[#This Row],[Constituent_ID]], GiftData[Fiscal_Year], "FY25")&gt;0, 1, 0)</f>
        <v>1</v>
      </c>
      <c r="M942">
        <f>IF(COUNTIFS(GiftData[Constituent_ID], GiftData[[#This Row],[Constituent_ID]], GiftData[Fiscal_Year], "FY26")&gt;0, 1, 0)</f>
        <v>0</v>
      </c>
      <c r="N942" t="str" cm="1">
        <f t="array" ref="N9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43" spans="1:14" x14ac:dyDescent="0.2">
      <c r="A943" t="s">
        <v>1320</v>
      </c>
      <c r="B943" t="s">
        <v>1196</v>
      </c>
      <c r="C943" t="s">
        <v>11</v>
      </c>
      <c r="D943" s="1">
        <v>45599</v>
      </c>
      <c r="E943">
        <v>17.86</v>
      </c>
      <c r="F943" t="s">
        <v>59</v>
      </c>
      <c r="G943" t="s">
        <v>13</v>
      </c>
      <c r="H943" t="s">
        <v>41</v>
      </c>
      <c r="I943" t="s">
        <v>15</v>
      </c>
      <c r="J943" t="str">
        <f>"FY" &amp; IF(MONTH(GiftData[[#This Row],[Gift_Date]])&gt;=7, RIGHT(YEAR(GiftData[[#This Row],[Gift_Date]])+1, 2), RIGHT(YEAR(GiftData[[#This Row],[Gift_Date]]), 2))</f>
        <v>FY25</v>
      </c>
      <c r="K943">
        <f>IF(COUNTIFS(GiftData[Constituent_ID], GiftData[[#This Row],[Constituent_ID]], GiftData[Fiscal_Year], "FY24")&gt;0, 1, 0)</f>
        <v>0</v>
      </c>
      <c r="L943">
        <f>IF(COUNTIFS(GiftData[Constituent_ID], GiftData[[#This Row],[Constituent_ID]], GiftData[Fiscal_Year], "FY25")&gt;0, 1, 0)</f>
        <v>1</v>
      </c>
      <c r="M943">
        <f>IF(COUNTIFS(GiftData[Constituent_ID], GiftData[[#This Row],[Constituent_ID]], GiftData[Fiscal_Year], "FY26")&gt;0, 1, 0)</f>
        <v>1</v>
      </c>
      <c r="N943" t="str" cm="1">
        <f t="array" ref="N9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4" spans="1:14" x14ac:dyDescent="0.2">
      <c r="A944" t="s">
        <v>1321</v>
      </c>
      <c r="B944" t="s">
        <v>363</v>
      </c>
      <c r="C944" t="s">
        <v>18</v>
      </c>
      <c r="D944" s="1">
        <v>46003</v>
      </c>
      <c r="E944">
        <v>156.28</v>
      </c>
      <c r="F944" t="s">
        <v>59</v>
      </c>
      <c r="G944" t="s">
        <v>13</v>
      </c>
      <c r="H944" t="s">
        <v>51</v>
      </c>
      <c r="I944" t="s">
        <v>15</v>
      </c>
      <c r="J944" t="str">
        <f>"FY" &amp; IF(MONTH(GiftData[[#This Row],[Gift_Date]])&gt;=7, RIGHT(YEAR(GiftData[[#This Row],[Gift_Date]])+1, 2), RIGHT(YEAR(GiftData[[#This Row],[Gift_Date]]), 2))</f>
        <v>FY26</v>
      </c>
      <c r="K944">
        <f>IF(COUNTIFS(GiftData[Constituent_ID], GiftData[[#This Row],[Constituent_ID]], GiftData[Fiscal_Year], "FY24")&gt;0, 1, 0)</f>
        <v>0</v>
      </c>
      <c r="L944">
        <f>IF(COUNTIFS(GiftData[Constituent_ID], GiftData[[#This Row],[Constituent_ID]], GiftData[Fiscal_Year], "FY25")&gt;0, 1, 0)</f>
        <v>1</v>
      </c>
      <c r="M944">
        <f>IF(COUNTIFS(GiftData[Constituent_ID], GiftData[[#This Row],[Constituent_ID]], GiftData[Fiscal_Year], "FY26")&gt;0, 1, 0)</f>
        <v>1</v>
      </c>
      <c r="N944" t="str" cm="1">
        <f t="array" ref="N9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5" spans="1:14" x14ac:dyDescent="0.2">
      <c r="A945" t="s">
        <v>1322</v>
      </c>
      <c r="B945" t="s">
        <v>1323</v>
      </c>
      <c r="C945" t="s">
        <v>48</v>
      </c>
      <c r="D945" s="1">
        <v>45249</v>
      </c>
      <c r="E945">
        <v>55.51</v>
      </c>
      <c r="F945" t="s">
        <v>12</v>
      </c>
      <c r="G945" t="s">
        <v>13</v>
      </c>
      <c r="H945" t="s">
        <v>164</v>
      </c>
      <c r="I945" t="s">
        <v>56</v>
      </c>
      <c r="J945" t="str">
        <f>"FY" &amp; IF(MONTH(GiftData[[#This Row],[Gift_Date]])&gt;=7, RIGHT(YEAR(GiftData[[#This Row],[Gift_Date]])+1, 2), RIGHT(YEAR(GiftData[[#This Row],[Gift_Date]]), 2))</f>
        <v>FY24</v>
      </c>
      <c r="K945">
        <f>IF(COUNTIFS(GiftData[Constituent_ID], GiftData[[#This Row],[Constituent_ID]], GiftData[Fiscal_Year], "FY24")&gt;0, 1, 0)</f>
        <v>1</v>
      </c>
      <c r="L945">
        <f>IF(COUNTIFS(GiftData[Constituent_ID], GiftData[[#This Row],[Constituent_ID]], GiftData[Fiscal_Year], "FY25")&gt;0, 1, 0)</f>
        <v>0</v>
      </c>
      <c r="M945">
        <f>IF(COUNTIFS(GiftData[Constituent_ID], GiftData[[#This Row],[Constituent_ID]], GiftData[Fiscal_Year], "FY26")&gt;0, 1, 0)</f>
        <v>0</v>
      </c>
      <c r="N945" t="str" cm="1">
        <f t="array" ref="N9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946" spans="1:14" x14ac:dyDescent="0.2">
      <c r="A946" t="s">
        <v>1324</v>
      </c>
      <c r="B946" t="s">
        <v>189</v>
      </c>
      <c r="C946" t="s">
        <v>28</v>
      </c>
      <c r="D946" s="1">
        <v>45272</v>
      </c>
      <c r="E946">
        <v>383.57</v>
      </c>
      <c r="F946" t="s">
        <v>12</v>
      </c>
      <c r="G946" t="s">
        <v>13</v>
      </c>
      <c r="H946" t="s">
        <v>164</v>
      </c>
      <c r="I946" t="s">
        <v>15</v>
      </c>
      <c r="J946" t="str">
        <f>"FY" &amp; IF(MONTH(GiftData[[#This Row],[Gift_Date]])&gt;=7, RIGHT(YEAR(GiftData[[#This Row],[Gift_Date]])+1, 2), RIGHT(YEAR(GiftData[[#This Row],[Gift_Date]]), 2))</f>
        <v>FY24</v>
      </c>
      <c r="K946">
        <f>IF(COUNTIFS(GiftData[Constituent_ID], GiftData[[#This Row],[Constituent_ID]], GiftData[Fiscal_Year], "FY24")&gt;0, 1, 0)</f>
        <v>1</v>
      </c>
      <c r="L946">
        <f>IF(COUNTIFS(GiftData[Constituent_ID], GiftData[[#This Row],[Constituent_ID]], GiftData[Fiscal_Year], "FY25")&gt;0, 1, 0)</f>
        <v>1</v>
      </c>
      <c r="M946">
        <f>IF(COUNTIFS(GiftData[Constituent_ID], GiftData[[#This Row],[Constituent_ID]], GiftData[Fiscal_Year], "FY26")&gt;0, 1, 0)</f>
        <v>1</v>
      </c>
      <c r="N946" t="str" cm="1">
        <f t="array" ref="N9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7" spans="1:14" x14ac:dyDescent="0.2">
      <c r="A947" t="s">
        <v>1325</v>
      </c>
      <c r="B947" t="s">
        <v>1326</v>
      </c>
      <c r="C947" t="s">
        <v>28</v>
      </c>
      <c r="D947" s="1">
        <v>45421</v>
      </c>
      <c r="E947">
        <v>555.98</v>
      </c>
      <c r="F947" t="s">
        <v>12</v>
      </c>
      <c r="G947" t="s">
        <v>13</v>
      </c>
      <c r="H947" t="s">
        <v>14</v>
      </c>
      <c r="I947" t="s">
        <v>15</v>
      </c>
      <c r="J947" t="str">
        <f>"FY" &amp; IF(MONTH(GiftData[[#This Row],[Gift_Date]])&gt;=7, RIGHT(YEAR(GiftData[[#This Row],[Gift_Date]])+1, 2), RIGHT(YEAR(GiftData[[#This Row],[Gift_Date]]), 2))</f>
        <v>FY24</v>
      </c>
      <c r="K947">
        <f>IF(COUNTIFS(GiftData[Constituent_ID], GiftData[[#This Row],[Constituent_ID]], GiftData[Fiscal_Year], "FY24")&gt;0, 1, 0)</f>
        <v>1</v>
      </c>
      <c r="L947">
        <f>IF(COUNTIFS(GiftData[Constituent_ID], GiftData[[#This Row],[Constituent_ID]], GiftData[Fiscal_Year], "FY25")&gt;0, 1, 0)</f>
        <v>0</v>
      </c>
      <c r="M947">
        <f>IF(COUNTIFS(GiftData[Constituent_ID], GiftData[[#This Row],[Constituent_ID]], GiftData[Fiscal_Year], "FY26")&gt;0, 1, 0)</f>
        <v>0</v>
      </c>
      <c r="N947" t="str" cm="1">
        <f t="array" ref="N9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948" spans="1:14" x14ac:dyDescent="0.2">
      <c r="A948" t="s">
        <v>1327</v>
      </c>
      <c r="B948" t="s">
        <v>565</v>
      </c>
      <c r="C948" t="s">
        <v>11</v>
      </c>
      <c r="D948" s="1">
        <v>45128</v>
      </c>
      <c r="E948">
        <v>164.66</v>
      </c>
      <c r="F948" t="s">
        <v>59</v>
      </c>
      <c r="G948" t="s">
        <v>13</v>
      </c>
      <c r="H948" t="s">
        <v>20</v>
      </c>
      <c r="I948" t="s">
        <v>38</v>
      </c>
      <c r="J948" t="str">
        <f>"FY" &amp; IF(MONTH(GiftData[[#This Row],[Gift_Date]])&gt;=7, RIGHT(YEAR(GiftData[[#This Row],[Gift_Date]])+1, 2), RIGHT(YEAR(GiftData[[#This Row],[Gift_Date]]), 2))</f>
        <v>FY24</v>
      </c>
      <c r="K948">
        <f>IF(COUNTIFS(GiftData[Constituent_ID], GiftData[[#This Row],[Constituent_ID]], GiftData[Fiscal_Year], "FY24")&gt;0, 1, 0)</f>
        <v>1</v>
      </c>
      <c r="L948">
        <f>IF(COUNTIFS(GiftData[Constituent_ID], GiftData[[#This Row],[Constituent_ID]], GiftData[Fiscal_Year], "FY25")&gt;0, 1, 0)</f>
        <v>0</v>
      </c>
      <c r="M948">
        <f>IF(COUNTIFS(GiftData[Constituent_ID], GiftData[[#This Row],[Constituent_ID]], GiftData[Fiscal_Year], "FY26")&gt;0, 1, 0)</f>
        <v>1</v>
      </c>
      <c r="N948" t="str" cm="1">
        <f t="array" ref="N9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49" spans="1:14" x14ac:dyDescent="0.2">
      <c r="A949" t="s">
        <v>1328</v>
      </c>
      <c r="B949" t="s">
        <v>1071</v>
      </c>
      <c r="C949" t="s">
        <v>35</v>
      </c>
      <c r="D949" s="1">
        <v>46091</v>
      </c>
      <c r="E949">
        <v>30.16</v>
      </c>
      <c r="F949" t="s">
        <v>12</v>
      </c>
      <c r="G949" t="s">
        <v>13</v>
      </c>
      <c r="H949" t="s">
        <v>20</v>
      </c>
      <c r="I949" t="s">
        <v>15</v>
      </c>
      <c r="J949" t="str">
        <f>"FY" &amp; IF(MONTH(GiftData[[#This Row],[Gift_Date]])&gt;=7, RIGHT(YEAR(GiftData[[#This Row],[Gift_Date]])+1, 2), RIGHT(YEAR(GiftData[[#This Row],[Gift_Date]]), 2))</f>
        <v>FY26</v>
      </c>
      <c r="K949">
        <f>IF(COUNTIFS(GiftData[Constituent_ID], GiftData[[#This Row],[Constituent_ID]], GiftData[Fiscal_Year], "FY24")&gt;0, 1, 0)</f>
        <v>0</v>
      </c>
      <c r="L949">
        <f>IF(COUNTIFS(GiftData[Constituent_ID], GiftData[[#This Row],[Constituent_ID]], GiftData[Fiscal_Year], "FY25")&gt;0, 1, 0)</f>
        <v>1</v>
      </c>
      <c r="M949">
        <f>IF(COUNTIFS(GiftData[Constituent_ID], GiftData[[#This Row],[Constituent_ID]], GiftData[Fiscal_Year], "FY26")&gt;0, 1, 0)</f>
        <v>1</v>
      </c>
      <c r="N949" t="str" cm="1">
        <f t="array" ref="N9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0" spans="1:14" x14ac:dyDescent="0.2">
      <c r="A950" t="s">
        <v>1329</v>
      </c>
      <c r="B950" t="s">
        <v>365</v>
      </c>
      <c r="C950" t="s">
        <v>11</v>
      </c>
      <c r="D950" s="1">
        <v>45412</v>
      </c>
      <c r="E950">
        <v>478.65</v>
      </c>
      <c r="F950" t="s">
        <v>25</v>
      </c>
      <c r="G950" t="s">
        <v>13</v>
      </c>
      <c r="H950" t="s">
        <v>20</v>
      </c>
      <c r="I950" t="s">
        <v>15</v>
      </c>
      <c r="J950" t="str">
        <f>"FY" &amp; IF(MONTH(GiftData[[#This Row],[Gift_Date]])&gt;=7, RIGHT(YEAR(GiftData[[#This Row],[Gift_Date]])+1, 2), RIGHT(YEAR(GiftData[[#This Row],[Gift_Date]]), 2))</f>
        <v>FY24</v>
      </c>
      <c r="K950">
        <f>IF(COUNTIFS(GiftData[Constituent_ID], GiftData[[#This Row],[Constituent_ID]], GiftData[Fiscal_Year], "FY24")&gt;0, 1, 0)</f>
        <v>1</v>
      </c>
      <c r="L950">
        <f>IF(COUNTIFS(GiftData[Constituent_ID], GiftData[[#This Row],[Constituent_ID]], GiftData[Fiscal_Year], "FY25")&gt;0, 1, 0)</f>
        <v>1</v>
      </c>
      <c r="M950">
        <f>IF(COUNTIFS(GiftData[Constituent_ID], GiftData[[#This Row],[Constituent_ID]], GiftData[Fiscal_Year], "FY26")&gt;0, 1, 0)</f>
        <v>1</v>
      </c>
      <c r="N950" t="str" cm="1">
        <f t="array" ref="N9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1" spans="1:14" x14ac:dyDescent="0.2">
      <c r="A951" t="s">
        <v>1330</v>
      </c>
      <c r="B951" t="s">
        <v>1331</v>
      </c>
      <c r="C951" t="s">
        <v>18</v>
      </c>
      <c r="D951" s="1">
        <v>45478</v>
      </c>
      <c r="E951">
        <v>157.37</v>
      </c>
      <c r="F951" t="s">
        <v>25</v>
      </c>
      <c r="G951" t="s">
        <v>13</v>
      </c>
      <c r="H951" t="s">
        <v>20</v>
      </c>
      <c r="I951" t="s">
        <v>15</v>
      </c>
      <c r="J951" t="str">
        <f>"FY" &amp; IF(MONTH(GiftData[[#This Row],[Gift_Date]])&gt;=7, RIGHT(YEAR(GiftData[[#This Row],[Gift_Date]])+1, 2), RIGHT(YEAR(GiftData[[#This Row],[Gift_Date]]), 2))</f>
        <v>FY25</v>
      </c>
      <c r="K951">
        <f>IF(COUNTIFS(GiftData[Constituent_ID], GiftData[[#This Row],[Constituent_ID]], GiftData[Fiscal_Year], "FY24")&gt;0, 1, 0)</f>
        <v>0</v>
      </c>
      <c r="L951">
        <f>IF(COUNTIFS(GiftData[Constituent_ID], GiftData[[#This Row],[Constituent_ID]], GiftData[Fiscal_Year], "FY25")&gt;0, 1, 0)</f>
        <v>1</v>
      </c>
      <c r="M951">
        <f>IF(COUNTIFS(GiftData[Constituent_ID], GiftData[[#This Row],[Constituent_ID]], GiftData[Fiscal_Year], "FY26")&gt;0, 1, 0)</f>
        <v>0</v>
      </c>
      <c r="N951" t="str" cm="1">
        <f t="array" ref="N9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52" spans="1:14" x14ac:dyDescent="0.2">
      <c r="A952" t="s">
        <v>1332</v>
      </c>
      <c r="B952" t="s">
        <v>77</v>
      </c>
      <c r="C952" t="s">
        <v>11</v>
      </c>
      <c r="D952" s="1">
        <v>45960</v>
      </c>
      <c r="E952">
        <v>17.579999999999998</v>
      </c>
      <c r="F952" t="s">
        <v>12</v>
      </c>
      <c r="G952" t="s">
        <v>13</v>
      </c>
      <c r="H952" t="s">
        <v>20</v>
      </c>
      <c r="I952" t="s">
        <v>15</v>
      </c>
      <c r="J952" t="str">
        <f>"FY" &amp; IF(MONTH(GiftData[[#This Row],[Gift_Date]])&gt;=7, RIGHT(YEAR(GiftData[[#This Row],[Gift_Date]])+1, 2), RIGHT(YEAR(GiftData[[#This Row],[Gift_Date]]), 2))</f>
        <v>FY26</v>
      </c>
      <c r="K952">
        <f>IF(COUNTIFS(GiftData[Constituent_ID], GiftData[[#This Row],[Constituent_ID]], GiftData[Fiscal_Year], "FY24")&gt;0, 1, 0)</f>
        <v>1</v>
      </c>
      <c r="L952">
        <f>IF(COUNTIFS(GiftData[Constituent_ID], GiftData[[#This Row],[Constituent_ID]], GiftData[Fiscal_Year], "FY25")&gt;0, 1, 0)</f>
        <v>1</v>
      </c>
      <c r="M952">
        <f>IF(COUNTIFS(GiftData[Constituent_ID], GiftData[[#This Row],[Constituent_ID]], GiftData[Fiscal_Year], "FY26")&gt;0, 1, 0)</f>
        <v>1</v>
      </c>
      <c r="N952" t="str" cm="1">
        <f t="array" ref="N9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3" spans="1:14" x14ac:dyDescent="0.2">
      <c r="A953" t="s">
        <v>1333</v>
      </c>
      <c r="B953" t="s">
        <v>496</v>
      </c>
      <c r="C953" t="s">
        <v>28</v>
      </c>
      <c r="D953" s="1">
        <v>45491</v>
      </c>
      <c r="E953">
        <v>19.73</v>
      </c>
      <c r="F953" t="s">
        <v>12</v>
      </c>
      <c r="G953" t="s">
        <v>13</v>
      </c>
      <c r="H953" t="s">
        <v>20</v>
      </c>
      <c r="I953" t="s">
        <v>30</v>
      </c>
      <c r="J953" t="str">
        <f>"FY" &amp; IF(MONTH(GiftData[[#This Row],[Gift_Date]])&gt;=7, RIGHT(YEAR(GiftData[[#This Row],[Gift_Date]])+1, 2), RIGHT(YEAR(GiftData[[#This Row],[Gift_Date]]), 2))</f>
        <v>FY25</v>
      </c>
      <c r="K953">
        <f>IF(COUNTIFS(GiftData[Constituent_ID], GiftData[[#This Row],[Constituent_ID]], GiftData[Fiscal_Year], "FY24")&gt;0, 1, 0)</f>
        <v>1</v>
      </c>
      <c r="L953">
        <f>IF(COUNTIFS(GiftData[Constituent_ID], GiftData[[#This Row],[Constituent_ID]], GiftData[Fiscal_Year], "FY25")&gt;0, 1, 0)</f>
        <v>1</v>
      </c>
      <c r="M953">
        <f>IF(COUNTIFS(GiftData[Constituent_ID], GiftData[[#This Row],[Constituent_ID]], GiftData[Fiscal_Year], "FY26")&gt;0, 1, 0)</f>
        <v>1</v>
      </c>
      <c r="N953" t="str" cm="1">
        <f t="array" ref="N9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4" spans="1:14" x14ac:dyDescent="0.2">
      <c r="A954" t="s">
        <v>1334</v>
      </c>
      <c r="B954" t="s">
        <v>71</v>
      </c>
      <c r="C954" t="s">
        <v>11</v>
      </c>
      <c r="D954" s="1">
        <v>45552</v>
      </c>
      <c r="E954">
        <v>873.08</v>
      </c>
      <c r="F954" t="s">
        <v>19</v>
      </c>
      <c r="G954" t="s">
        <v>13</v>
      </c>
      <c r="H954" t="s">
        <v>14</v>
      </c>
      <c r="I954" t="s">
        <v>56</v>
      </c>
      <c r="J954" t="str">
        <f>"FY" &amp; IF(MONTH(GiftData[[#This Row],[Gift_Date]])&gt;=7, RIGHT(YEAR(GiftData[[#This Row],[Gift_Date]])+1, 2), RIGHT(YEAR(GiftData[[#This Row],[Gift_Date]]), 2))</f>
        <v>FY25</v>
      </c>
      <c r="K954">
        <f>IF(COUNTIFS(GiftData[Constituent_ID], GiftData[[#This Row],[Constituent_ID]], GiftData[Fiscal_Year], "FY24")&gt;0, 1, 0)</f>
        <v>1</v>
      </c>
      <c r="L954">
        <f>IF(COUNTIFS(GiftData[Constituent_ID], GiftData[[#This Row],[Constituent_ID]], GiftData[Fiscal_Year], "FY25")&gt;0, 1, 0)</f>
        <v>1</v>
      </c>
      <c r="M954">
        <f>IF(COUNTIFS(GiftData[Constituent_ID], GiftData[[#This Row],[Constituent_ID]], GiftData[Fiscal_Year], "FY26")&gt;0, 1, 0)</f>
        <v>1</v>
      </c>
      <c r="N954" t="str" cm="1">
        <f t="array" ref="N9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5" spans="1:14" x14ac:dyDescent="0.2">
      <c r="A955" t="s">
        <v>1335</v>
      </c>
      <c r="B955" t="s">
        <v>950</v>
      </c>
      <c r="C955" t="s">
        <v>35</v>
      </c>
      <c r="D955" s="1">
        <v>45532</v>
      </c>
      <c r="E955">
        <v>703.79</v>
      </c>
      <c r="F955" t="s">
        <v>19</v>
      </c>
      <c r="G955" t="s">
        <v>13</v>
      </c>
      <c r="H955" t="s">
        <v>41</v>
      </c>
      <c r="I955" t="s">
        <v>15</v>
      </c>
      <c r="J955" t="str">
        <f>"FY" &amp; IF(MONTH(GiftData[[#This Row],[Gift_Date]])&gt;=7, RIGHT(YEAR(GiftData[[#This Row],[Gift_Date]])+1, 2), RIGHT(YEAR(GiftData[[#This Row],[Gift_Date]]), 2))</f>
        <v>FY25</v>
      </c>
      <c r="K955">
        <f>IF(COUNTIFS(GiftData[Constituent_ID], GiftData[[#This Row],[Constituent_ID]], GiftData[Fiscal_Year], "FY24")&gt;0, 1, 0)</f>
        <v>0</v>
      </c>
      <c r="L955">
        <f>IF(COUNTIFS(GiftData[Constituent_ID], GiftData[[#This Row],[Constituent_ID]], GiftData[Fiscal_Year], "FY25")&gt;0, 1, 0)</f>
        <v>1</v>
      </c>
      <c r="M955">
        <f>IF(COUNTIFS(GiftData[Constituent_ID], GiftData[[#This Row],[Constituent_ID]], GiftData[Fiscal_Year], "FY26")&gt;0, 1, 0)</f>
        <v>0</v>
      </c>
      <c r="N955" t="str" cm="1">
        <f t="array" ref="N9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56" spans="1:14" x14ac:dyDescent="0.2">
      <c r="A956" t="s">
        <v>1336</v>
      </c>
      <c r="B956" t="s">
        <v>186</v>
      </c>
      <c r="C956" t="s">
        <v>18</v>
      </c>
      <c r="D956" s="1">
        <v>45268</v>
      </c>
      <c r="E956">
        <v>15</v>
      </c>
      <c r="F956" t="s">
        <v>12</v>
      </c>
      <c r="G956" t="s">
        <v>13</v>
      </c>
      <c r="H956" t="s">
        <v>20</v>
      </c>
      <c r="I956" t="s">
        <v>15</v>
      </c>
      <c r="J956" t="str">
        <f>"FY" &amp; IF(MONTH(GiftData[[#This Row],[Gift_Date]])&gt;=7, RIGHT(YEAR(GiftData[[#This Row],[Gift_Date]])+1, 2), RIGHT(YEAR(GiftData[[#This Row],[Gift_Date]]), 2))</f>
        <v>FY24</v>
      </c>
      <c r="K956">
        <f>IF(COUNTIFS(GiftData[Constituent_ID], GiftData[[#This Row],[Constituent_ID]], GiftData[Fiscal_Year], "FY24")&gt;0, 1, 0)</f>
        <v>1</v>
      </c>
      <c r="L956">
        <f>IF(COUNTIFS(GiftData[Constituent_ID], GiftData[[#This Row],[Constituent_ID]], GiftData[Fiscal_Year], "FY25")&gt;0, 1, 0)</f>
        <v>1</v>
      </c>
      <c r="M956">
        <f>IF(COUNTIFS(GiftData[Constituent_ID], GiftData[[#This Row],[Constituent_ID]], GiftData[Fiscal_Year], "FY26")&gt;0, 1, 0)</f>
        <v>0</v>
      </c>
      <c r="N956" t="str" cm="1">
        <f t="array" ref="N9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57" spans="1:14" x14ac:dyDescent="0.2">
      <c r="A957" t="s">
        <v>1337</v>
      </c>
      <c r="B957" t="s">
        <v>138</v>
      </c>
      <c r="C957" t="s">
        <v>28</v>
      </c>
      <c r="D957" s="1">
        <v>45736</v>
      </c>
      <c r="E957">
        <v>20.8</v>
      </c>
      <c r="F957" t="s">
        <v>12</v>
      </c>
      <c r="G957" t="s">
        <v>13</v>
      </c>
      <c r="H957" t="s">
        <v>41</v>
      </c>
      <c r="I957" t="s">
        <v>15</v>
      </c>
      <c r="J957" t="str">
        <f>"FY" &amp; IF(MONTH(GiftData[[#This Row],[Gift_Date]])&gt;=7, RIGHT(YEAR(GiftData[[#This Row],[Gift_Date]])+1, 2), RIGHT(YEAR(GiftData[[#This Row],[Gift_Date]]), 2))</f>
        <v>FY25</v>
      </c>
      <c r="K957">
        <f>IF(COUNTIFS(GiftData[Constituent_ID], GiftData[[#This Row],[Constituent_ID]], GiftData[Fiscal_Year], "FY24")&gt;0, 1, 0)</f>
        <v>0</v>
      </c>
      <c r="L957">
        <f>IF(COUNTIFS(GiftData[Constituent_ID], GiftData[[#This Row],[Constituent_ID]], GiftData[Fiscal_Year], "FY25")&gt;0, 1, 0)</f>
        <v>1</v>
      </c>
      <c r="M957">
        <f>IF(COUNTIFS(GiftData[Constituent_ID], GiftData[[#This Row],[Constituent_ID]], GiftData[Fiscal_Year], "FY26")&gt;0, 1, 0)</f>
        <v>0</v>
      </c>
      <c r="N957" t="str" cm="1">
        <f t="array" ref="N9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58" spans="1:14" x14ac:dyDescent="0.2">
      <c r="A958" t="s">
        <v>1338</v>
      </c>
      <c r="B958" t="s">
        <v>335</v>
      </c>
      <c r="C958" t="s">
        <v>11</v>
      </c>
      <c r="D958" s="1">
        <v>46002</v>
      </c>
      <c r="E958">
        <v>535.45000000000005</v>
      </c>
      <c r="F958" t="s">
        <v>19</v>
      </c>
      <c r="G958" t="s">
        <v>13</v>
      </c>
      <c r="H958" t="s">
        <v>41</v>
      </c>
      <c r="I958" t="s">
        <v>30</v>
      </c>
      <c r="J958" t="str">
        <f>"FY" &amp; IF(MONTH(GiftData[[#This Row],[Gift_Date]])&gt;=7, RIGHT(YEAR(GiftData[[#This Row],[Gift_Date]])+1, 2), RIGHT(YEAR(GiftData[[#This Row],[Gift_Date]]), 2))</f>
        <v>FY26</v>
      </c>
      <c r="K958">
        <f>IF(COUNTIFS(GiftData[Constituent_ID], GiftData[[#This Row],[Constituent_ID]], GiftData[Fiscal_Year], "FY24")&gt;0, 1, 0)</f>
        <v>1</v>
      </c>
      <c r="L958">
        <f>IF(COUNTIFS(GiftData[Constituent_ID], GiftData[[#This Row],[Constituent_ID]], GiftData[Fiscal_Year], "FY25")&gt;0, 1, 0)</f>
        <v>1</v>
      </c>
      <c r="M958">
        <f>IF(COUNTIFS(GiftData[Constituent_ID], GiftData[[#This Row],[Constituent_ID]], GiftData[Fiscal_Year], "FY26")&gt;0, 1, 0)</f>
        <v>1</v>
      </c>
      <c r="N958" t="str" cm="1">
        <f t="array" ref="N9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59" spans="1:14" x14ac:dyDescent="0.2">
      <c r="A959" t="s">
        <v>1339</v>
      </c>
      <c r="B959" t="s">
        <v>156</v>
      </c>
      <c r="C959" t="s">
        <v>11</v>
      </c>
      <c r="D959" s="1">
        <v>45597</v>
      </c>
      <c r="E959">
        <v>118.62</v>
      </c>
      <c r="F959" t="s">
        <v>12</v>
      </c>
      <c r="G959" t="s">
        <v>13</v>
      </c>
      <c r="H959" t="s">
        <v>14</v>
      </c>
      <c r="I959" t="s">
        <v>15</v>
      </c>
      <c r="J959" t="str">
        <f>"FY" &amp; IF(MONTH(GiftData[[#This Row],[Gift_Date]])&gt;=7, RIGHT(YEAR(GiftData[[#This Row],[Gift_Date]])+1, 2), RIGHT(YEAR(GiftData[[#This Row],[Gift_Date]]), 2))</f>
        <v>FY25</v>
      </c>
      <c r="K959">
        <f>IF(COUNTIFS(GiftData[Constituent_ID], GiftData[[#This Row],[Constituent_ID]], GiftData[Fiscal_Year], "FY24")&gt;0, 1, 0)</f>
        <v>1</v>
      </c>
      <c r="L959">
        <f>IF(COUNTIFS(GiftData[Constituent_ID], GiftData[[#This Row],[Constituent_ID]], GiftData[Fiscal_Year], "FY25")&gt;0, 1, 0)</f>
        <v>1</v>
      </c>
      <c r="M959">
        <f>IF(COUNTIFS(GiftData[Constituent_ID], GiftData[[#This Row],[Constituent_ID]], GiftData[Fiscal_Year], "FY26")&gt;0, 1, 0)</f>
        <v>0</v>
      </c>
      <c r="N959" t="str" cm="1">
        <f t="array" ref="N9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60" spans="1:14" x14ac:dyDescent="0.2">
      <c r="A960" t="s">
        <v>1340</v>
      </c>
      <c r="B960" t="s">
        <v>249</v>
      </c>
      <c r="C960" t="s">
        <v>35</v>
      </c>
      <c r="D960" s="1">
        <v>46124</v>
      </c>
      <c r="E960">
        <v>302.60000000000002</v>
      </c>
      <c r="F960" t="s">
        <v>12</v>
      </c>
      <c r="G960" t="s">
        <v>13</v>
      </c>
      <c r="H960" t="s">
        <v>164</v>
      </c>
      <c r="I960" t="s">
        <v>15</v>
      </c>
      <c r="J960" t="str">
        <f>"FY" &amp; IF(MONTH(GiftData[[#This Row],[Gift_Date]])&gt;=7, RIGHT(YEAR(GiftData[[#This Row],[Gift_Date]])+1, 2), RIGHT(YEAR(GiftData[[#This Row],[Gift_Date]]), 2))</f>
        <v>FY26</v>
      </c>
      <c r="K960">
        <f>IF(COUNTIFS(GiftData[Constituent_ID], GiftData[[#This Row],[Constituent_ID]], GiftData[Fiscal_Year], "FY24")&gt;0, 1, 0)</f>
        <v>1</v>
      </c>
      <c r="L960">
        <f>IF(COUNTIFS(GiftData[Constituent_ID], GiftData[[#This Row],[Constituent_ID]], GiftData[Fiscal_Year], "FY25")&gt;0, 1, 0)</f>
        <v>1</v>
      </c>
      <c r="M960">
        <f>IF(COUNTIFS(GiftData[Constituent_ID], GiftData[[#This Row],[Constituent_ID]], GiftData[Fiscal_Year], "FY26")&gt;0, 1, 0)</f>
        <v>1</v>
      </c>
      <c r="N960" t="str" cm="1">
        <f t="array" ref="N9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61" spans="1:14" x14ac:dyDescent="0.2">
      <c r="A961" t="s">
        <v>1341</v>
      </c>
      <c r="B961" t="s">
        <v>448</v>
      </c>
      <c r="C961" t="s">
        <v>35</v>
      </c>
      <c r="D961" s="1">
        <v>45434</v>
      </c>
      <c r="E961">
        <v>112.11</v>
      </c>
      <c r="F961" t="s">
        <v>12</v>
      </c>
      <c r="G961" t="s">
        <v>13</v>
      </c>
      <c r="H961" t="s">
        <v>20</v>
      </c>
      <c r="I961" t="s">
        <v>38</v>
      </c>
      <c r="J961" t="str">
        <f>"FY" &amp; IF(MONTH(GiftData[[#This Row],[Gift_Date]])&gt;=7, RIGHT(YEAR(GiftData[[#This Row],[Gift_Date]])+1, 2), RIGHT(YEAR(GiftData[[#This Row],[Gift_Date]]), 2))</f>
        <v>FY24</v>
      </c>
      <c r="K961">
        <f>IF(COUNTIFS(GiftData[Constituent_ID], GiftData[[#This Row],[Constituent_ID]], GiftData[Fiscal_Year], "FY24")&gt;0, 1, 0)</f>
        <v>1</v>
      </c>
      <c r="L961">
        <f>IF(COUNTIFS(GiftData[Constituent_ID], GiftData[[#This Row],[Constituent_ID]], GiftData[Fiscal_Year], "FY25")&gt;0, 1, 0)</f>
        <v>1</v>
      </c>
      <c r="M961">
        <f>IF(COUNTIFS(GiftData[Constituent_ID], GiftData[[#This Row],[Constituent_ID]], GiftData[Fiscal_Year], "FY26")&gt;0, 1, 0)</f>
        <v>1</v>
      </c>
      <c r="N961" t="str" cm="1">
        <f t="array" ref="N9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62" spans="1:14" x14ac:dyDescent="0.2">
      <c r="A962" t="s">
        <v>1342</v>
      </c>
      <c r="B962" t="s">
        <v>1343</v>
      </c>
      <c r="C962" t="s">
        <v>28</v>
      </c>
      <c r="D962" s="1">
        <v>45705</v>
      </c>
      <c r="E962">
        <v>284.52999999999997</v>
      </c>
      <c r="F962" t="s">
        <v>12</v>
      </c>
      <c r="G962" t="s">
        <v>29</v>
      </c>
      <c r="H962" t="s">
        <v>20</v>
      </c>
      <c r="I962" t="s">
        <v>30</v>
      </c>
      <c r="J962" t="str">
        <f>"FY" &amp; IF(MONTH(GiftData[[#This Row],[Gift_Date]])&gt;=7, RIGHT(YEAR(GiftData[[#This Row],[Gift_Date]])+1, 2), RIGHT(YEAR(GiftData[[#This Row],[Gift_Date]]), 2))</f>
        <v>FY25</v>
      </c>
      <c r="K962">
        <f>IF(COUNTIFS(GiftData[Constituent_ID], GiftData[[#This Row],[Constituent_ID]], GiftData[Fiscal_Year], "FY24")&gt;0, 1, 0)</f>
        <v>0</v>
      </c>
      <c r="L962">
        <f>IF(COUNTIFS(GiftData[Constituent_ID], GiftData[[#This Row],[Constituent_ID]], GiftData[Fiscal_Year], "FY25")&gt;0, 1, 0)</f>
        <v>1</v>
      </c>
      <c r="M962">
        <f>IF(COUNTIFS(GiftData[Constituent_ID], GiftData[[#This Row],[Constituent_ID]], GiftData[Fiscal_Year], "FY26")&gt;0, 1, 0)</f>
        <v>0</v>
      </c>
      <c r="N962" t="str" cm="1">
        <f t="array" ref="N9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63" spans="1:14" x14ac:dyDescent="0.2">
      <c r="A963" t="s">
        <v>1344</v>
      </c>
      <c r="B963" t="s">
        <v>894</v>
      </c>
      <c r="C963" t="s">
        <v>35</v>
      </c>
      <c r="D963" s="1">
        <v>46122</v>
      </c>
      <c r="E963">
        <v>122.44</v>
      </c>
      <c r="F963" t="s">
        <v>12</v>
      </c>
      <c r="G963" t="s">
        <v>13</v>
      </c>
      <c r="H963" t="s">
        <v>14</v>
      </c>
      <c r="I963" t="s">
        <v>15</v>
      </c>
      <c r="J963" t="str">
        <f>"FY" &amp; IF(MONTH(GiftData[[#This Row],[Gift_Date]])&gt;=7, RIGHT(YEAR(GiftData[[#This Row],[Gift_Date]])+1, 2), RIGHT(YEAR(GiftData[[#This Row],[Gift_Date]]), 2))</f>
        <v>FY26</v>
      </c>
      <c r="K963">
        <f>IF(COUNTIFS(GiftData[Constituent_ID], GiftData[[#This Row],[Constituent_ID]], GiftData[Fiscal_Year], "FY24")&gt;0, 1, 0)</f>
        <v>0</v>
      </c>
      <c r="L963">
        <f>IF(COUNTIFS(GiftData[Constituent_ID], GiftData[[#This Row],[Constituent_ID]], GiftData[Fiscal_Year], "FY25")&gt;0, 1, 0)</f>
        <v>1</v>
      </c>
      <c r="M963">
        <f>IF(COUNTIFS(GiftData[Constituent_ID], GiftData[[#This Row],[Constituent_ID]], GiftData[Fiscal_Year], "FY26")&gt;0, 1, 0)</f>
        <v>1</v>
      </c>
      <c r="N963" t="str" cm="1">
        <f t="array" ref="N9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64" spans="1:14" x14ac:dyDescent="0.2">
      <c r="A964" t="s">
        <v>1345</v>
      </c>
      <c r="B964" t="s">
        <v>1346</v>
      </c>
      <c r="C964" t="s">
        <v>28</v>
      </c>
      <c r="D964" s="1">
        <v>45396</v>
      </c>
      <c r="E964">
        <v>68.790000000000006</v>
      </c>
      <c r="F964" t="s">
        <v>12</v>
      </c>
      <c r="G964" t="s">
        <v>13</v>
      </c>
      <c r="H964" t="s">
        <v>20</v>
      </c>
      <c r="I964" t="s">
        <v>15</v>
      </c>
      <c r="J964" t="str">
        <f>"FY" &amp; IF(MONTH(GiftData[[#This Row],[Gift_Date]])&gt;=7, RIGHT(YEAR(GiftData[[#This Row],[Gift_Date]])+1, 2), RIGHT(YEAR(GiftData[[#This Row],[Gift_Date]]), 2))</f>
        <v>FY24</v>
      </c>
      <c r="K964">
        <f>IF(COUNTIFS(GiftData[Constituent_ID], GiftData[[#This Row],[Constituent_ID]], GiftData[Fiscal_Year], "FY24")&gt;0, 1, 0)</f>
        <v>1</v>
      </c>
      <c r="L964">
        <f>IF(COUNTIFS(GiftData[Constituent_ID], GiftData[[#This Row],[Constituent_ID]], GiftData[Fiscal_Year], "FY25")&gt;0, 1, 0)</f>
        <v>1</v>
      </c>
      <c r="M964">
        <f>IF(COUNTIFS(GiftData[Constituent_ID], GiftData[[#This Row],[Constituent_ID]], GiftData[Fiscal_Year], "FY26")&gt;0, 1, 0)</f>
        <v>0</v>
      </c>
      <c r="N964" t="str" cm="1">
        <f t="array" ref="N9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65" spans="1:14" x14ac:dyDescent="0.2">
      <c r="A965" t="s">
        <v>1347</v>
      </c>
      <c r="B965" t="s">
        <v>740</v>
      </c>
      <c r="C965" t="s">
        <v>18</v>
      </c>
      <c r="D965" s="1">
        <v>45700</v>
      </c>
      <c r="E965">
        <v>481.24</v>
      </c>
      <c r="F965" t="s">
        <v>12</v>
      </c>
      <c r="G965" t="s">
        <v>13</v>
      </c>
      <c r="H965" t="s">
        <v>14</v>
      </c>
      <c r="I965" t="s">
        <v>15</v>
      </c>
      <c r="J965" t="str">
        <f>"FY" &amp; IF(MONTH(GiftData[[#This Row],[Gift_Date]])&gt;=7, RIGHT(YEAR(GiftData[[#This Row],[Gift_Date]])+1, 2), RIGHT(YEAR(GiftData[[#This Row],[Gift_Date]]), 2))</f>
        <v>FY25</v>
      </c>
      <c r="K965">
        <f>IF(COUNTIFS(GiftData[Constituent_ID], GiftData[[#This Row],[Constituent_ID]], GiftData[Fiscal_Year], "FY24")&gt;0, 1, 0)</f>
        <v>0</v>
      </c>
      <c r="L965">
        <f>IF(COUNTIFS(GiftData[Constituent_ID], GiftData[[#This Row],[Constituent_ID]], GiftData[Fiscal_Year], "FY25")&gt;0, 1, 0)</f>
        <v>1</v>
      </c>
      <c r="M965">
        <f>IF(COUNTIFS(GiftData[Constituent_ID], GiftData[[#This Row],[Constituent_ID]], GiftData[Fiscal_Year], "FY26")&gt;0, 1, 0)</f>
        <v>1</v>
      </c>
      <c r="N965" t="str" cm="1">
        <f t="array" ref="N9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66" spans="1:14" x14ac:dyDescent="0.2">
      <c r="A966" t="s">
        <v>1348</v>
      </c>
      <c r="B966" t="s">
        <v>1349</v>
      </c>
      <c r="C966" t="s">
        <v>28</v>
      </c>
      <c r="D966" s="1">
        <v>45680</v>
      </c>
      <c r="E966">
        <v>158.01</v>
      </c>
      <c r="F966" t="s">
        <v>12</v>
      </c>
      <c r="G966" t="s">
        <v>13</v>
      </c>
      <c r="H966" t="s">
        <v>14</v>
      </c>
      <c r="I966" t="s">
        <v>15</v>
      </c>
      <c r="J966" t="str">
        <f>"FY" &amp; IF(MONTH(GiftData[[#This Row],[Gift_Date]])&gt;=7, RIGHT(YEAR(GiftData[[#This Row],[Gift_Date]])+1, 2), RIGHT(YEAR(GiftData[[#This Row],[Gift_Date]]), 2))</f>
        <v>FY25</v>
      </c>
      <c r="K966">
        <f>IF(COUNTIFS(GiftData[Constituent_ID], GiftData[[#This Row],[Constituent_ID]], GiftData[Fiscal_Year], "FY24")&gt;0, 1, 0)</f>
        <v>0</v>
      </c>
      <c r="L966">
        <f>IF(COUNTIFS(GiftData[Constituent_ID], GiftData[[#This Row],[Constituent_ID]], GiftData[Fiscal_Year], "FY25")&gt;0, 1, 0)</f>
        <v>1</v>
      </c>
      <c r="M966">
        <f>IF(COUNTIFS(GiftData[Constituent_ID], GiftData[[#This Row],[Constituent_ID]], GiftData[Fiscal_Year], "FY26")&gt;0, 1, 0)</f>
        <v>0</v>
      </c>
      <c r="N966" t="str" cm="1">
        <f t="array" ref="N9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67" spans="1:14" x14ac:dyDescent="0.2">
      <c r="A967" t="s">
        <v>1350</v>
      </c>
      <c r="B967" t="s">
        <v>1351</v>
      </c>
      <c r="C967" t="s">
        <v>11</v>
      </c>
      <c r="D967" s="1">
        <v>45135</v>
      </c>
      <c r="E967">
        <v>283.75</v>
      </c>
      <c r="F967" t="s">
        <v>19</v>
      </c>
      <c r="G967" t="s">
        <v>29</v>
      </c>
      <c r="H967" t="s">
        <v>20</v>
      </c>
      <c r="I967" t="s">
        <v>38</v>
      </c>
      <c r="J967" t="str">
        <f>"FY" &amp; IF(MONTH(GiftData[[#This Row],[Gift_Date]])&gt;=7, RIGHT(YEAR(GiftData[[#This Row],[Gift_Date]])+1, 2), RIGHT(YEAR(GiftData[[#This Row],[Gift_Date]]), 2))</f>
        <v>FY24</v>
      </c>
      <c r="K967">
        <f>IF(COUNTIFS(GiftData[Constituent_ID], GiftData[[#This Row],[Constituent_ID]], GiftData[Fiscal_Year], "FY24")&gt;0, 1, 0)</f>
        <v>1</v>
      </c>
      <c r="L967">
        <f>IF(COUNTIFS(GiftData[Constituent_ID], GiftData[[#This Row],[Constituent_ID]], GiftData[Fiscal_Year], "FY25")&gt;0, 1, 0)</f>
        <v>0</v>
      </c>
      <c r="M967">
        <f>IF(COUNTIFS(GiftData[Constituent_ID], GiftData[[#This Row],[Constituent_ID]], GiftData[Fiscal_Year], "FY26")&gt;0, 1, 0)</f>
        <v>0</v>
      </c>
      <c r="N967" t="str" cm="1">
        <f t="array" ref="N9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968" spans="1:14" x14ac:dyDescent="0.2">
      <c r="A968" t="s">
        <v>1352</v>
      </c>
      <c r="B968" t="s">
        <v>240</v>
      </c>
      <c r="C968" t="s">
        <v>18</v>
      </c>
      <c r="D968" s="1">
        <v>46061</v>
      </c>
      <c r="E968">
        <v>149.11000000000001</v>
      </c>
      <c r="F968" t="s">
        <v>59</v>
      </c>
      <c r="G968" t="s">
        <v>13</v>
      </c>
      <c r="H968" t="s">
        <v>20</v>
      </c>
      <c r="I968" t="s">
        <v>38</v>
      </c>
      <c r="J968" t="str">
        <f>"FY" &amp; IF(MONTH(GiftData[[#This Row],[Gift_Date]])&gt;=7, RIGHT(YEAR(GiftData[[#This Row],[Gift_Date]])+1, 2), RIGHT(YEAR(GiftData[[#This Row],[Gift_Date]]), 2))</f>
        <v>FY26</v>
      </c>
      <c r="K968">
        <f>IF(COUNTIFS(GiftData[Constituent_ID], GiftData[[#This Row],[Constituent_ID]], GiftData[Fiscal_Year], "FY24")&gt;0, 1, 0)</f>
        <v>1</v>
      </c>
      <c r="L968">
        <f>IF(COUNTIFS(GiftData[Constituent_ID], GiftData[[#This Row],[Constituent_ID]], GiftData[Fiscal_Year], "FY25")&gt;0, 1, 0)</f>
        <v>0</v>
      </c>
      <c r="M968">
        <f>IF(COUNTIFS(GiftData[Constituent_ID], GiftData[[#This Row],[Constituent_ID]], GiftData[Fiscal_Year], "FY26")&gt;0, 1, 0)</f>
        <v>1</v>
      </c>
      <c r="N968" t="str" cm="1">
        <f t="array" ref="N9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69" spans="1:14" x14ac:dyDescent="0.2">
      <c r="A969" t="s">
        <v>1353</v>
      </c>
      <c r="B969" t="s">
        <v>312</v>
      </c>
      <c r="C969" t="s">
        <v>18</v>
      </c>
      <c r="D969" s="1">
        <v>45150</v>
      </c>
      <c r="E969">
        <v>64.569999999999993</v>
      </c>
      <c r="F969" t="s">
        <v>59</v>
      </c>
      <c r="G969" t="s">
        <v>29</v>
      </c>
      <c r="H969" t="s">
        <v>20</v>
      </c>
      <c r="I969" t="s">
        <v>38</v>
      </c>
      <c r="J969" t="str">
        <f>"FY" &amp; IF(MONTH(GiftData[[#This Row],[Gift_Date]])&gt;=7, RIGHT(YEAR(GiftData[[#This Row],[Gift_Date]])+1, 2), RIGHT(YEAR(GiftData[[#This Row],[Gift_Date]]), 2))</f>
        <v>FY24</v>
      </c>
      <c r="K969">
        <f>IF(COUNTIFS(GiftData[Constituent_ID], GiftData[[#This Row],[Constituent_ID]], GiftData[Fiscal_Year], "FY24")&gt;0, 1, 0)</f>
        <v>1</v>
      </c>
      <c r="L969">
        <f>IF(COUNTIFS(GiftData[Constituent_ID], GiftData[[#This Row],[Constituent_ID]], GiftData[Fiscal_Year], "FY25")&gt;0, 1, 0)</f>
        <v>1</v>
      </c>
      <c r="M969">
        <f>IF(COUNTIFS(GiftData[Constituent_ID], GiftData[[#This Row],[Constituent_ID]], GiftData[Fiscal_Year], "FY26")&gt;0, 1, 0)</f>
        <v>0</v>
      </c>
      <c r="N969" t="str" cm="1">
        <f t="array" ref="N9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70" spans="1:14" x14ac:dyDescent="0.2">
      <c r="A970" t="s">
        <v>1354</v>
      </c>
      <c r="B970" t="s">
        <v>456</v>
      </c>
      <c r="C970" t="s">
        <v>28</v>
      </c>
      <c r="D970" s="1">
        <v>45530</v>
      </c>
      <c r="E970">
        <v>983.29</v>
      </c>
      <c r="F970" t="s">
        <v>25</v>
      </c>
      <c r="G970" t="s">
        <v>13</v>
      </c>
      <c r="H970" t="s">
        <v>41</v>
      </c>
      <c r="I970" t="s">
        <v>15</v>
      </c>
      <c r="J970" t="str">
        <f>"FY" &amp; IF(MONTH(GiftData[[#This Row],[Gift_Date]])&gt;=7, RIGHT(YEAR(GiftData[[#This Row],[Gift_Date]])+1, 2), RIGHT(YEAR(GiftData[[#This Row],[Gift_Date]]), 2))</f>
        <v>FY25</v>
      </c>
      <c r="K970">
        <f>IF(COUNTIFS(GiftData[Constituent_ID], GiftData[[#This Row],[Constituent_ID]], GiftData[Fiscal_Year], "FY24")&gt;0, 1, 0)</f>
        <v>1</v>
      </c>
      <c r="L970">
        <f>IF(COUNTIFS(GiftData[Constituent_ID], GiftData[[#This Row],[Constituent_ID]], GiftData[Fiscal_Year], "FY25")&gt;0, 1, 0)</f>
        <v>1</v>
      </c>
      <c r="M970">
        <f>IF(COUNTIFS(GiftData[Constituent_ID], GiftData[[#This Row],[Constituent_ID]], GiftData[Fiscal_Year], "FY26")&gt;0, 1, 0)</f>
        <v>1</v>
      </c>
      <c r="N970" t="str" cm="1">
        <f t="array" ref="N9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1" spans="1:14" x14ac:dyDescent="0.2">
      <c r="A971" t="s">
        <v>1355</v>
      </c>
      <c r="B971" t="s">
        <v>486</v>
      </c>
      <c r="C971" t="s">
        <v>28</v>
      </c>
      <c r="D971" s="1">
        <v>45284</v>
      </c>
      <c r="E971">
        <v>192.76</v>
      </c>
      <c r="F971" t="s">
        <v>12</v>
      </c>
      <c r="G971" t="s">
        <v>13</v>
      </c>
      <c r="H971" t="s">
        <v>14</v>
      </c>
      <c r="I971" t="s">
        <v>15</v>
      </c>
      <c r="J971" t="str">
        <f>"FY" &amp; IF(MONTH(GiftData[[#This Row],[Gift_Date]])&gt;=7, RIGHT(YEAR(GiftData[[#This Row],[Gift_Date]])+1, 2), RIGHT(YEAR(GiftData[[#This Row],[Gift_Date]]), 2))</f>
        <v>FY24</v>
      </c>
      <c r="K971">
        <f>IF(COUNTIFS(GiftData[Constituent_ID], GiftData[[#This Row],[Constituent_ID]], GiftData[Fiscal_Year], "FY24")&gt;0, 1, 0)</f>
        <v>1</v>
      </c>
      <c r="L971">
        <f>IF(COUNTIFS(GiftData[Constituent_ID], GiftData[[#This Row],[Constituent_ID]], GiftData[Fiscal_Year], "FY25")&gt;0, 1, 0)</f>
        <v>1</v>
      </c>
      <c r="M971">
        <f>IF(COUNTIFS(GiftData[Constituent_ID], GiftData[[#This Row],[Constituent_ID]], GiftData[Fiscal_Year], "FY26")&gt;0, 1, 0)</f>
        <v>1</v>
      </c>
      <c r="N971" t="str" cm="1">
        <f t="array" ref="N9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2" spans="1:14" x14ac:dyDescent="0.2">
      <c r="A972" t="s">
        <v>1356</v>
      </c>
      <c r="B972" t="s">
        <v>291</v>
      </c>
      <c r="C972" t="s">
        <v>18</v>
      </c>
      <c r="D972" s="1">
        <v>45636</v>
      </c>
      <c r="E972">
        <v>76.59</v>
      </c>
      <c r="F972" t="s">
        <v>12</v>
      </c>
      <c r="G972" t="s">
        <v>13</v>
      </c>
      <c r="H972" t="s">
        <v>20</v>
      </c>
      <c r="I972" t="s">
        <v>15</v>
      </c>
      <c r="J972" t="str">
        <f>"FY" &amp; IF(MONTH(GiftData[[#This Row],[Gift_Date]])&gt;=7, RIGHT(YEAR(GiftData[[#This Row],[Gift_Date]])+1, 2), RIGHT(YEAR(GiftData[[#This Row],[Gift_Date]]), 2))</f>
        <v>FY25</v>
      </c>
      <c r="K972">
        <f>IF(COUNTIFS(GiftData[Constituent_ID], GiftData[[#This Row],[Constituent_ID]], GiftData[Fiscal_Year], "FY24")&gt;0, 1, 0)</f>
        <v>1</v>
      </c>
      <c r="L972">
        <f>IF(COUNTIFS(GiftData[Constituent_ID], GiftData[[#This Row],[Constituent_ID]], GiftData[Fiscal_Year], "FY25")&gt;0, 1, 0)</f>
        <v>1</v>
      </c>
      <c r="M972">
        <f>IF(COUNTIFS(GiftData[Constituent_ID], GiftData[[#This Row],[Constituent_ID]], GiftData[Fiscal_Year], "FY26")&gt;0, 1, 0)</f>
        <v>1</v>
      </c>
      <c r="N972" t="str" cm="1">
        <f t="array" ref="N9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3" spans="1:14" x14ac:dyDescent="0.2">
      <c r="A973" t="s">
        <v>1357</v>
      </c>
      <c r="B973" t="s">
        <v>375</v>
      </c>
      <c r="C973" t="s">
        <v>28</v>
      </c>
      <c r="D973" s="1">
        <v>46073</v>
      </c>
      <c r="E973">
        <v>640.23</v>
      </c>
      <c r="F973" t="s">
        <v>59</v>
      </c>
      <c r="G973" t="s">
        <v>13</v>
      </c>
      <c r="H973" t="s">
        <v>20</v>
      </c>
      <c r="I973" t="s">
        <v>15</v>
      </c>
      <c r="J973" t="str">
        <f>"FY" &amp; IF(MONTH(GiftData[[#This Row],[Gift_Date]])&gt;=7, RIGHT(YEAR(GiftData[[#This Row],[Gift_Date]])+1, 2), RIGHT(YEAR(GiftData[[#This Row],[Gift_Date]]), 2))</f>
        <v>FY26</v>
      </c>
      <c r="K973">
        <f>IF(COUNTIFS(GiftData[Constituent_ID], GiftData[[#This Row],[Constituent_ID]], GiftData[Fiscal_Year], "FY24")&gt;0, 1, 0)</f>
        <v>1</v>
      </c>
      <c r="L973">
        <f>IF(COUNTIFS(GiftData[Constituent_ID], GiftData[[#This Row],[Constituent_ID]], GiftData[Fiscal_Year], "FY25")&gt;0, 1, 0)</f>
        <v>0</v>
      </c>
      <c r="M973">
        <f>IF(COUNTIFS(GiftData[Constituent_ID], GiftData[[#This Row],[Constituent_ID]], GiftData[Fiscal_Year], "FY26")&gt;0, 1, 0)</f>
        <v>1</v>
      </c>
      <c r="N973" t="str" cm="1">
        <f t="array" ref="N9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4" spans="1:14" x14ac:dyDescent="0.2">
      <c r="A974" t="s">
        <v>1358</v>
      </c>
      <c r="B974" t="s">
        <v>482</v>
      </c>
      <c r="C974" t="s">
        <v>48</v>
      </c>
      <c r="D974" s="1">
        <v>45305</v>
      </c>
      <c r="E974">
        <v>21.82</v>
      </c>
      <c r="F974" t="s">
        <v>12</v>
      </c>
      <c r="G974" t="s">
        <v>13</v>
      </c>
      <c r="H974" t="s">
        <v>20</v>
      </c>
      <c r="I974" t="s">
        <v>38</v>
      </c>
      <c r="J974" t="str">
        <f>"FY" &amp; IF(MONTH(GiftData[[#This Row],[Gift_Date]])&gt;=7, RIGHT(YEAR(GiftData[[#This Row],[Gift_Date]])+1, 2), RIGHT(YEAR(GiftData[[#This Row],[Gift_Date]]), 2))</f>
        <v>FY24</v>
      </c>
      <c r="K974">
        <f>IF(COUNTIFS(GiftData[Constituent_ID], GiftData[[#This Row],[Constituent_ID]], GiftData[Fiscal_Year], "FY24")&gt;0, 1, 0)</f>
        <v>1</v>
      </c>
      <c r="L974">
        <f>IF(COUNTIFS(GiftData[Constituent_ID], GiftData[[#This Row],[Constituent_ID]], GiftData[Fiscal_Year], "FY25")&gt;0, 1, 0)</f>
        <v>0</v>
      </c>
      <c r="M974">
        <f>IF(COUNTIFS(GiftData[Constituent_ID], GiftData[[#This Row],[Constituent_ID]], GiftData[Fiscal_Year], "FY26")&gt;0, 1, 0)</f>
        <v>1</v>
      </c>
      <c r="N974" t="str" cm="1">
        <f t="array" ref="N9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5" spans="1:14" x14ac:dyDescent="0.2">
      <c r="A975" t="s">
        <v>1359</v>
      </c>
      <c r="B975" t="s">
        <v>921</v>
      </c>
      <c r="C975" t="s">
        <v>18</v>
      </c>
      <c r="D975" s="1">
        <v>45717</v>
      </c>
      <c r="E975">
        <v>2224.2399999999998</v>
      </c>
      <c r="F975" t="s">
        <v>12</v>
      </c>
      <c r="G975" t="s">
        <v>13</v>
      </c>
      <c r="H975" t="s">
        <v>20</v>
      </c>
      <c r="I975" t="s">
        <v>15</v>
      </c>
      <c r="J975" t="str">
        <f>"FY" &amp; IF(MONTH(GiftData[[#This Row],[Gift_Date]])&gt;=7, RIGHT(YEAR(GiftData[[#This Row],[Gift_Date]])+1, 2), RIGHT(YEAR(GiftData[[#This Row],[Gift_Date]]), 2))</f>
        <v>FY25</v>
      </c>
      <c r="K975">
        <f>IF(COUNTIFS(GiftData[Constituent_ID], GiftData[[#This Row],[Constituent_ID]], GiftData[Fiscal_Year], "FY24")&gt;0, 1, 0)</f>
        <v>1</v>
      </c>
      <c r="L975">
        <f>IF(COUNTIFS(GiftData[Constituent_ID], GiftData[[#This Row],[Constituent_ID]], GiftData[Fiscal_Year], "FY25")&gt;0, 1, 0)</f>
        <v>1</v>
      </c>
      <c r="M975">
        <f>IF(COUNTIFS(GiftData[Constituent_ID], GiftData[[#This Row],[Constituent_ID]], GiftData[Fiscal_Year], "FY26")&gt;0, 1, 0)</f>
        <v>1</v>
      </c>
      <c r="N975" t="str" cm="1">
        <f t="array" ref="N9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6" spans="1:14" x14ac:dyDescent="0.2">
      <c r="A976" t="s">
        <v>1360</v>
      </c>
      <c r="B976" t="s">
        <v>1037</v>
      </c>
      <c r="C976" t="s">
        <v>18</v>
      </c>
      <c r="D976" s="1">
        <v>45949</v>
      </c>
      <c r="E976">
        <v>96.27</v>
      </c>
      <c r="F976" t="s">
        <v>25</v>
      </c>
      <c r="G976" t="s">
        <v>13</v>
      </c>
      <c r="H976" t="s">
        <v>51</v>
      </c>
      <c r="I976" t="s">
        <v>15</v>
      </c>
      <c r="J976" t="str">
        <f>"FY" &amp; IF(MONTH(GiftData[[#This Row],[Gift_Date]])&gt;=7, RIGHT(YEAR(GiftData[[#This Row],[Gift_Date]])+1, 2), RIGHT(YEAR(GiftData[[#This Row],[Gift_Date]]), 2))</f>
        <v>FY26</v>
      </c>
      <c r="K976">
        <f>IF(COUNTIFS(GiftData[Constituent_ID], GiftData[[#This Row],[Constituent_ID]], GiftData[Fiscal_Year], "FY24")&gt;0, 1, 0)</f>
        <v>1</v>
      </c>
      <c r="L976">
        <f>IF(COUNTIFS(GiftData[Constituent_ID], GiftData[[#This Row],[Constituent_ID]], GiftData[Fiscal_Year], "FY25")&gt;0, 1, 0)</f>
        <v>0</v>
      </c>
      <c r="M976">
        <f>IF(COUNTIFS(GiftData[Constituent_ID], GiftData[[#This Row],[Constituent_ID]], GiftData[Fiscal_Year], "FY26")&gt;0, 1, 0)</f>
        <v>1</v>
      </c>
      <c r="N976" t="str" cm="1">
        <f t="array" ref="N9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7" spans="1:14" x14ac:dyDescent="0.2">
      <c r="A977" t="s">
        <v>1361</v>
      </c>
      <c r="B977" t="s">
        <v>136</v>
      </c>
      <c r="C977" t="s">
        <v>35</v>
      </c>
      <c r="D977" s="1">
        <v>45960</v>
      </c>
      <c r="E977">
        <v>23.37</v>
      </c>
      <c r="F977" t="s">
        <v>12</v>
      </c>
      <c r="G977" t="s">
        <v>13</v>
      </c>
      <c r="H977" t="s">
        <v>20</v>
      </c>
      <c r="I977" t="s">
        <v>15</v>
      </c>
      <c r="J977" t="str">
        <f>"FY" &amp; IF(MONTH(GiftData[[#This Row],[Gift_Date]])&gt;=7, RIGHT(YEAR(GiftData[[#This Row],[Gift_Date]])+1, 2), RIGHT(YEAR(GiftData[[#This Row],[Gift_Date]]), 2))</f>
        <v>FY26</v>
      </c>
      <c r="K977">
        <f>IF(COUNTIFS(GiftData[Constituent_ID], GiftData[[#This Row],[Constituent_ID]], GiftData[Fiscal_Year], "FY24")&gt;0, 1, 0)</f>
        <v>1</v>
      </c>
      <c r="L977">
        <f>IF(COUNTIFS(GiftData[Constituent_ID], GiftData[[#This Row],[Constituent_ID]], GiftData[Fiscal_Year], "FY25")&gt;0, 1, 0)</f>
        <v>0</v>
      </c>
      <c r="M977">
        <f>IF(COUNTIFS(GiftData[Constituent_ID], GiftData[[#This Row],[Constituent_ID]], GiftData[Fiscal_Year], "FY26")&gt;0, 1, 0)</f>
        <v>1</v>
      </c>
      <c r="N977" t="str" cm="1">
        <f t="array" ref="N9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8" spans="1:14" x14ac:dyDescent="0.2">
      <c r="A978" t="s">
        <v>1362</v>
      </c>
      <c r="B978" t="s">
        <v>710</v>
      </c>
      <c r="C978" t="s">
        <v>11</v>
      </c>
      <c r="D978" s="1">
        <v>45129</v>
      </c>
      <c r="E978">
        <v>1447.69</v>
      </c>
      <c r="F978" t="s">
        <v>12</v>
      </c>
      <c r="G978" t="s">
        <v>29</v>
      </c>
      <c r="H978" t="s">
        <v>41</v>
      </c>
      <c r="I978" t="s">
        <v>15</v>
      </c>
      <c r="J978" t="str">
        <f>"FY" &amp; IF(MONTH(GiftData[[#This Row],[Gift_Date]])&gt;=7, RIGHT(YEAR(GiftData[[#This Row],[Gift_Date]])+1, 2), RIGHT(YEAR(GiftData[[#This Row],[Gift_Date]]), 2))</f>
        <v>FY24</v>
      </c>
      <c r="K978">
        <f>IF(COUNTIFS(GiftData[Constituent_ID], GiftData[[#This Row],[Constituent_ID]], GiftData[Fiscal_Year], "FY24")&gt;0, 1, 0)</f>
        <v>1</v>
      </c>
      <c r="L978">
        <f>IF(COUNTIFS(GiftData[Constituent_ID], GiftData[[#This Row],[Constituent_ID]], GiftData[Fiscal_Year], "FY25")&gt;0, 1, 0)</f>
        <v>0</v>
      </c>
      <c r="M978">
        <f>IF(COUNTIFS(GiftData[Constituent_ID], GiftData[[#This Row],[Constituent_ID]], GiftData[Fiscal_Year], "FY26")&gt;0, 1, 0)</f>
        <v>1</v>
      </c>
      <c r="N978" t="str" cm="1">
        <f t="array" ref="N9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79" spans="1:14" x14ac:dyDescent="0.2">
      <c r="A979" t="s">
        <v>1363</v>
      </c>
      <c r="B979" t="s">
        <v>192</v>
      </c>
      <c r="C979" t="s">
        <v>28</v>
      </c>
      <c r="D979" s="1">
        <v>45949</v>
      </c>
      <c r="E979">
        <v>66.55</v>
      </c>
      <c r="F979" t="s">
        <v>19</v>
      </c>
      <c r="G979" t="s">
        <v>13</v>
      </c>
      <c r="H979" t="s">
        <v>51</v>
      </c>
      <c r="I979" t="s">
        <v>15</v>
      </c>
      <c r="J979" t="str">
        <f>"FY" &amp; IF(MONTH(GiftData[[#This Row],[Gift_Date]])&gt;=7, RIGHT(YEAR(GiftData[[#This Row],[Gift_Date]])+1, 2), RIGHT(YEAR(GiftData[[#This Row],[Gift_Date]]), 2))</f>
        <v>FY26</v>
      </c>
      <c r="K979">
        <f>IF(COUNTIFS(GiftData[Constituent_ID], GiftData[[#This Row],[Constituent_ID]], GiftData[Fiscal_Year], "FY24")&gt;0, 1, 0)</f>
        <v>1</v>
      </c>
      <c r="L979">
        <f>IF(COUNTIFS(GiftData[Constituent_ID], GiftData[[#This Row],[Constituent_ID]], GiftData[Fiscal_Year], "FY25")&gt;0, 1, 0)</f>
        <v>1</v>
      </c>
      <c r="M979">
        <f>IF(COUNTIFS(GiftData[Constituent_ID], GiftData[[#This Row],[Constituent_ID]], GiftData[Fiscal_Year], "FY26")&gt;0, 1, 0)</f>
        <v>1</v>
      </c>
      <c r="N979" t="str" cm="1">
        <f t="array" ref="N9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0" spans="1:14" x14ac:dyDescent="0.2">
      <c r="A980" t="s">
        <v>1364</v>
      </c>
      <c r="B980" t="s">
        <v>956</v>
      </c>
      <c r="C980" t="s">
        <v>18</v>
      </c>
      <c r="D980" s="1">
        <v>45205</v>
      </c>
      <c r="E980">
        <v>166.7</v>
      </c>
      <c r="F980" t="s">
        <v>59</v>
      </c>
      <c r="G980" t="s">
        <v>13</v>
      </c>
      <c r="H980" t="s">
        <v>20</v>
      </c>
      <c r="I980" t="s">
        <v>56</v>
      </c>
      <c r="J980" t="str">
        <f>"FY" &amp; IF(MONTH(GiftData[[#This Row],[Gift_Date]])&gt;=7, RIGHT(YEAR(GiftData[[#This Row],[Gift_Date]])+1, 2), RIGHT(YEAR(GiftData[[#This Row],[Gift_Date]]), 2))</f>
        <v>FY24</v>
      </c>
      <c r="K980">
        <f>IF(COUNTIFS(GiftData[Constituent_ID], GiftData[[#This Row],[Constituent_ID]], GiftData[Fiscal_Year], "FY24")&gt;0, 1, 0)</f>
        <v>1</v>
      </c>
      <c r="L980">
        <f>IF(COUNTIFS(GiftData[Constituent_ID], GiftData[[#This Row],[Constituent_ID]], GiftData[Fiscal_Year], "FY25")&gt;0, 1, 0)</f>
        <v>0</v>
      </c>
      <c r="M980">
        <f>IF(COUNTIFS(GiftData[Constituent_ID], GiftData[[#This Row],[Constituent_ID]], GiftData[Fiscal_Year], "FY26")&gt;0, 1, 0)</f>
        <v>1</v>
      </c>
      <c r="N980" t="str" cm="1">
        <f t="array" ref="N9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1" spans="1:14" x14ac:dyDescent="0.2">
      <c r="A981" t="s">
        <v>1365</v>
      </c>
      <c r="B981" t="s">
        <v>1366</v>
      </c>
      <c r="C981" t="s">
        <v>11</v>
      </c>
      <c r="D981" s="1">
        <v>45542</v>
      </c>
      <c r="E981">
        <v>308.89</v>
      </c>
      <c r="F981" t="s">
        <v>12</v>
      </c>
      <c r="G981" t="s">
        <v>13</v>
      </c>
      <c r="H981" t="s">
        <v>14</v>
      </c>
      <c r="I981" t="s">
        <v>15</v>
      </c>
      <c r="J981" t="str">
        <f>"FY" &amp; IF(MONTH(GiftData[[#This Row],[Gift_Date]])&gt;=7, RIGHT(YEAR(GiftData[[#This Row],[Gift_Date]])+1, 2), RIGHT(YEAR(GiftData[[#This Row],[Gift_Date]]), 2))</f>
        <v>FY25</v>
      </c>
      <c r="K981">
        <f>IF(COUNTIFS(GiftData[Constituent_ID], GiftData[[#This Row],[Constituent_ID]], GiftData[Fiscal_Year], "FY24")&gt;0, 1, 0)</f>
        <v>0</v>
      </c>
      <c r="L981">
        <f>IF(COUNTIFS(GiftData[Constituent_ID], GiftData[[#This Row],[Constituent_ID]], GiftData[Fiscal_Year], "FY25")&gt;0, 1, 0)</f>
        <v>1</v>
      </c>
      <c r="M981">
        <f>IF(COUNTIFS(GiftData[Constituent_ID], GiftData[[#This Row],[Constituent_ID]], GiftData[Fiscal_Year], "FY26")&gt;0, 1, 0)</f>
        <v>0</v>
      </c>
      <c r="N981" t="str" cm="1">
        <f t="array" ref="N9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82" spans="1:14" x14ac:dyDescent="0.2">
      <c r="A982" t="s">
        <v>1367</v>
      </c>
      <c r="B982" t="s">
        <v>144</v>
      </c>
      <c r="C982" t="s">
        <v>28</v>
      </c>
      <c r="D982" s="1">
        <v>45744</v>
      </c>
      <c r="E982">
        <v>566.47</v>
      </c>
      <c r="F982" t="s">
        <v>19</v>
      </c>
      <c r="G982" t="s">
        <v>13</v>
      </c>
      <c r="H982" t="s">
        <v>164</v>
      </c>
      <c r="I982" t="s">
        <v>38</v>
      </c>
      <c r="J982" t="str">
        <f>"FY" &amp; IF(MONTH(GiftData[[#This Row],[Gift_Date]])&gt;=7, RIGHT(YEAR(GiftData[[#This Row],[Gift_Date]])+1, 2), RIGHT(YEAR(GiftData[[#This Row],[Gift_Date]]), 2))</f>
        <v>FY25</v>
      </c>
      <c r="K982">
        <f>IF(COUNTIFS(GiftData[Constituent_ID], GiftData[[#This Row],[Constituent_ID]], GiftData[Fiscal_Year], "FY24")&gt;0, 1, 0)</f>
        <v>1</v>
      </c>
      <c r="L982">
        <f>IF(COUNTIFS(GiftData[Constituent_ID], GiftData[[#This Row],[Constituent_ID]], GiftData[Fiscal_Year], "FY25")&gt;0, 1, 0)</f>
        <v>1</v>
      </c>
      <c r="M982">
        <f>IF(COUNTIFS(GiftData[Constituent_ID], GiftData[[#This Row],[Constituent_ID]], GiftData[Fiscal_Year], "FY26")&gt;0, 1, 0)</f>
        <v>1</v>
      </c>
      <c r="N982" t="str" cm="1">
        <f t="array" ref="N9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3" spans="1:14" x14ac:dyDescent="0.2">
      <c r="A983" t="s">
        <v>1368</v>
      </c>
      <c r="B983" t="s">
        <v>1346</v>
      </c>
      <c r="C983" t="s">
        <v>28</v>
      </c>
      <c r="D983" s="1">
        <v>45695</v>
      </c>
      <c r="E983">
        <v>179.42</v>
      </c>
      <c r="F983" t="s">
        <v>25</v>
      </c>
      <c r="G983" t="s">
        <v>13</v>
      </c>
      <c r="H983" t="s">
        <v>51</v>
      </c>
      <c r="I983" t="s">
        <v>15</v>
      </c>
      <c r="J983" t="str">
        <f>"FY" &amp; IF(MONTH(GiftData[[#This Row],[Gift_Date]])&gt;=7, RIGHT(YEAR(GiftData[[#This Row],[Gift_Date]])+1, 2), RIGHT(YEAR(GiftData[[#This Row],[Gift_Date]]), 2))</f>
        <v>FY25</v>
      </c>
      <c r="K983">
        <f>IF(COUNTIFS(GiftData[Constituent_ID], GiftData[[#This Row],[Constituent_ID]], GiftData[Fiscal_Year], "FY24")&gt;0, 1, 0)</f>
        <v>1</v>
      </c>
      <c r="L983">
        <f>IF(COUNTIFS(GiftData[Constituent_ID], GiftData[[#This Row],[Constituent_ID]], GiftData[Fiscal_Year], "FY25")&gt;0, 1, 0)</f>
        <v>1</v>
      </c>
      <c r="M983">
        <f>IF(COUNTIFS(GiftData[Constituent_ID], GiftData[[#This Row],[Constituent_ID]], GiftData[Fiscal_Year], "FY26")&gt;0, 1, 0)</f>
        <v>0</v>
      </c>
      <c r="N983" t="str" cm="1">
        <f t="array" ref="N9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84" spans="1:14" x14ac:dyDescent="0.2">
      <c r="A984" t="s">
        <v>1369</v>
      </c>
      <c r="B984" t="s">
        <v>496</v>
      </c>
      <c r="C984" t="s">
        <v>35</v>
      </c>
      <c r="D984" s="1">
        <v>45451</v>
      </c>
      <c r="E984">
        <v>52.38</v>
      </c>
      <c r="F984" t="s">
        <v>25</v>
      </c>
      <c r="G984" t="s">
        <v>13</v>
      </c>
      <c r="H984" t="s">
        <v>14</v>
      </c>
      <c r="I984" t="s">
        <v>15</v>
      </c>
      <c r="J984" t="str">
        <f>"FY" &amp; IF(MONTH(GiftData[[#This Row],[Gift_Date]])&gt;=7, RIGHT(YEAR(GiftData[[#This Row],[Gift_Date]])+1, 2), RIGHT(YEAR(GiftData[[#This Row],[Gift_Date]]), 2))</f>
        <v>FY24</v>
      </c>
      <c r="K984">
        <f>IF(COUNTIFS(GiftData[Constituent_ID], GiftData[[#This Row],[Constituent_ID]], GiftData[Fiscal_Year], "FY24")&gt;0, 1, 0)</f>
        <v>1</v>
      </c>
      <c r="L984">
        <f>IF(COUNTIFS(GiftData[Constituent_ID], GiftData[[#This Row],[Constituent_ID]], GiftData[Fiscal_Year], "FY25")&gt;0, 1, 0)</f>
        <v>1</v>
      </c>
      <c r="M984">
        <f>IF(COUNTIFS(GiftData[Constituent_ID], GiftData[[#This Row],[Constituent_ID]], GiftData[Fiscal_Year], "FY26")&gt;0, 1, 0)</f>
        <v>1</v>
      </c>
      <c r="N984" t="str" cm="1">
        <f t="array" ref="N9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5" spans="1:14" x14ac:dyDescent="0.2">
      <c r="A985" t="s">
        <v>1370</v>
      </c>
      <c r="B985" t="s">
        <v>1093</v>
      </c>
      <c r="C985" t="s">
        <v>35</v>
      </c>
      <c r="D985" s="1">
        <v>45678</v>
      </c>
      <c r="E985">
        <v>161.53</v>
      </c>
      <c r="F985" t="s">
        <v>12</v>
      </c>
      <c r="G985" t="s">
        <v>29</v>
      </c>
      <c r="H985" t="s">
        <v>41</v>
      </c>
      <c r="I985" t="s">
        <v>56</v>
      </c>
      <c r="J985" t="str">
        <f>"FY" &amp; IF(MONTH(GiftData[[#This Row],[Gift_Date]])&gt;=7, RIGHT(YEAR(GiftData[[#This Row],[Gift_Date]])+1, 2), RIGHT(YEAR(GiftData[[#This Row],[Gift_Date]]), 2))</f>
        <v>FY25</v>
      </c>
      <c r="K985">
        <f>IF(COUNTIFS(GiftData[Constituent_ID], GiftData[[#This Row],[Constituent_ID]], GiftData[Fiscal_Year], "FY24")&gt;0, 1, 0)</f>
        <v>0</v>
      </c>
      <c r="L985">
        <f>IF(COUNTIFS(GiftData[Constituent_ID], GiftData[[#This Row],[Constituent_ID]], GiftData[Fiscal_Year], "FY25")&gt;0, 1, 0)</f>
        <v>1</v>
      </c>
      <c r="M985">
        <f>IF(COUNTIFS(GiftData[Constituent_ID], GiftData[[#This Row],[Constituent_ID]], GiftData[Fiscal_Year], "FY26")&gt;0, 1, 0)</f>
        <v>0</v>
      </c>
      <c r="N985" t="str" cm="1">
        <f t="array" ref="N9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86" spans="1:14" x14ac:dyDescent="0.2">
      <c r="A986" t="s">
        <v>1371</v>
      </c>
      <c r="B986" t="s">
        <v>632</v>
      </c>
      <c r="C986" t="s">
        <v>35</v>
      </c>
      <c r="D986" s="1">
        <v>45718</v>
      </c>
      <c r="E986">
        <v>70.45</v>
      </c>
      <c r="F986" t="s">
        <v>12</v>
      </c>
      <c r="G986" t="s">
        <v>13</v>
      </c>
      <c r="H986" t="s">
        <v>51</v>
      </c>
      <c r="I986" t="s">
        <v>15</v>
      </c>
      <c r="J986" t="str">
        <f>"FY" &amp; IF(MONTH(GiftData[[#This Row],[Gift_Date]])&gt;=7, RIGHT(YEAR(GiftData[[#This Row],[Gift_Date]])+1, 2), RIGHT(YEAR(GiftData[[#This Row],[Gift_Date]]), 2))</f>
        <v>FY25</v>
      </c>
      <c r="K986">
        <f>IF(COUNTIFS(GiftData[Constituent_ID], GiftData[[#This Row],[Constituent_ID]], GiftData[Fiscal_Year], "FY24")&gt;0, 1, 0)</f>
        <v>1</v>
      </c>
      <c r="L986">
        <f>IF(COUNTIFS(GiftData[Constituent_ID], GiftData[[#This Row],[Constituent_ID]], GiftData[Fiscal_Year], "FY25")&gt;0, 1, 0)</f>
        <v>1</v>
      </c>
      <c r="M986">
        <f>IF(COUNTIFS(GiftData[Constituent_ID], GiftData[[#This Row],[Constituent_ID]], GiftData[Fiscal_Year], "FY26")&gt;0, 1, 0)</f>
        <v>1</v>
      </c>
      <c r="N986" t="str" cm="1">
        <f t="array" ref="N9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7" spans="1:14" x14ac:dyDescent="0.2">
      <c r="A987" t="s">
        <v>1372</v>
      </c>
      <c r="B987" t="s">
        <v>53</v>
      </c>
      <c r="C987" t="s">
        <v>28</v>
      </c>
      <c r="D987" s="1">
        <v>45350</v>
      </c>
      <c r="E987">
        <v>167.96</v>
      </c>
      <c r="F987" t="s">
        <v>25</v>
      </c>
      <c r="G987" t="s">
        <v>13</v>
      </c>
      <c r="H987" t="s">
        <v>20</v>
      </c>
      <c r="I987" t="s">
        <v>38</v>
      </c>
      <c r="J987" t="str">
        <f>"FY" &amp; IF(MONTH(GiftData[[#This Row],[Gift_Date]])&gt;=7, RIGHT(YEAR(GiftData[[#This Row],[Gift_Date]])+1, 2), RIGHT(YEAR(GiftData[[#This Row],[Gift_Date]]), 2))</f>
        <v>FY24</v>
      </c>
      <c r="K987">
        <f>IF(COUNTIFS(GiftData[Constituent_ID], GiftData[[#This Row],[Constituent_ID]], GiftData[Fiscal_Year], "FY24")&gt;0, 1, 0)</f>
        <v>1</v>
      </c>
      <c r="L987">
        <f>IF(COUNTIFS(GiftData[Constituent_ID], GiftData[[#This Row],[Constituent_ID]], GiftData[Fiscal_Year], "FY25")&gt;0, 1, 0)</f>
        <v>1</v>
      </c>
      <c r="M987">
        <f>IF(COUNTIFS(GiftData[Constituent_ID], GiftData[[#This Row],[Constituent_ID]], GiftData[Fiscal_Year], "FY26")&gt;0, 1, 0)</f>
        <v>1</v>
      </c>
      <c r="N987" t="str" cm="1">
        <f t="array" ref="N9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8" spans="1:14" x14ac:dyDescent="0.2">
      <c r="A988" t="s">
        <v>1373</v>
      </c>
      <c r="B988" t="s">
        <v>1295</v>
      </c>
      <c r="C988" t="s">
        <v>18</v>
      </c>
      <c r="D988" s="1">
        <v>45668</v>
      </c>
      <c r="E988">
        <v>1008.88</v>
      </c>
      <c r="F988" t="s">
        <v>59</v>
      </c>
      <c r="G988" t="s">
        <v>13</v>
      </c>
      <c r="H988" t="s">
        <v>51</v>
      </c>
      <c r="I988" t="s">
        <v>15</v>
      </c>
      <c r="J988" t="str">
        <f>"FY" &amp; IF(MONTH(GiftData[[#This Row],[Gift_Date]])&gt;=7, RIGHT(YEAR(GiftData[[#This Row],[Gift_Date]])+1, 2), RIGHT(YEAR(GiftData[[#This Row],[Gift_Date]]), 2))</f>
        <v>FY25</v>
      </c>
      <c r="K988">
        <f>IF(COUNTIFS(GiftData[Constituent_ID], GiftData[[#This Row],[Constituent_ID]], GiftData[Fiscal_Year], "FY24")&gt;0, 1, 0)</f>
        <v>0</v>
      </c>
      <c r="L988">
        <f>IF(COUNTIFS(GiftData[Constituent_ID], GiftData[[#This Row],[Constituent_ID]], GiftData[Fiscal_Year], "FY25")&gt;0, 1, 0)</f>
        <v>1</v>
      </c>
      <c r="M988">
        <f>IF(COUNTIFS(GiftData[Constituent_ID], GiftData[[#This Row],[Constituent_ID]], GiftData[Fiscal_Year], "FY26")&gt;0, 1, 0)</f>
        <v>1</v>
      </c>
      <c r="N988" t="str" cm="1">
        <f t="array" ref="N9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89" spans="1:14" x14ac:dyDescent="0.2">
      <c r="A989" t="s">
        <v>1374</v>
      </c>
      <c r="B989" t="s">
        <v>222</v>
      </c>
      <c r="C989" t="s">
        <v>11</v>
      </c>
      <c r="D989" s="1">
        <v>46067</v>
      </c>
      <c r="E989">
        <v>324.64</v>
      </c>
      <c r="F989" t="s">
        <v>25</v>
      </c>
      <c r="G989" t="s">
        <v>13</v>
      </c>
      <c r="H989" t="s">
        <v>14</v>
      </c>
      <c r="I989" t="s">
        <v>15</v>
      </c>
      <c r="J989" t="str">
        <f>"FY" &amp; IF(MONTH(GiftData[[#This Row],[Gift_Date]])&gt;=7, RIGHT(YEAR(GiftData[[#This Row],[Gift_Date]])+1, 2), RIGHT(YEAR(GiftData[[#This Row],[Gift_Date]]), 2))</f>
        <v>FY26</v>
      </c>
      <c r="K989">
        <f>IF(COUNTIFS(GiftData[Constituent_ID], GiftData[[#This Row],[Constituent_ID]], GiftData[Fiscal_Year], "FY24")&gt;0, 1, 0)</f>
        <v>0</v>
      </c>
      <c r="L989">
        <f>IF(COUNTIFS(GiftData[Constituent_ID], GiftData[[#This Row],[Constituent_ID]], GiftData[Fiscal_Year], "FY25")&gt;0, 1, 0)</f>
        <v>1</v>
      </c>
      <c r="M989">
        <f>IF(COUNTIFS(GiftData[Constituent_ID], GiftData[[#This Row],[Constituent_ID]], GiftData[Fiscal_Year], "FY26")&gt;0, 1, 0)</f>
        <v>1</v>
      </c>
      <c r="N989" t="str" cm="1">
        <f t="array" ref="N9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0" spans="1:14" x14ac:dyDescent="0.2">
      <c r="A990" t="s">
        <v>1375</v>
      </c>
      <c r="B990" t="s">
        <v>361</v>
      </c>
      <c r="C990" t="s">
        <v>18</v>
      </c>
      <c r="D990" s="1">
        <v>45139</v>
      </c>
      <c r="E990">
        <v>158.96</v>
      </c>
      <c r="F990" t="s">
        <v>12</v>
      </c>
      <c r="G990" t="s">
        <v>13</v>
      </c>
      <c r="H990" t="s">
        <v>14</v>
      </c>
      <c r="I990" t="s">
        <v>38</v>
      </c>
      <c r="J990" t="str">
        <f>"FY" &amp; IF(MONTH(GiftData[[#This Row],[Gift_Date]])&gt;=7, RIGHT(YEAR(GiftData[[#This Row],[Gift_Date]])+1, 2), RIGHT(YEAR(GiftData[[#This Row],[Gift_Date]]), 2))</f>
        <v>FY24</v>
      </c>
      <c r="K990">
        <f>IF(COUNTIFS(GiftData[Constituent_ID], GiftData[[#This Row],[Constituent_ID]], GiftData[Fiscal_Year], "FY24")&gt;0, 1, 0)</f>
        <v>1</v>
      </c>
      <c r="L990">
        <f>IF(COUNTIFS(GiftData[Constituent_ID], GiftData[[#This Row],[Constituent_ID]], GiftData[Fiscal_Year], "FY25")&gt;0, 1, 0)</f>
        <v>1</v>
      </c>
      <c r="M990">
        <f>IF(COUNTIFS(GiftData[Constituent_ID], GiftData[[#This Row],[Constituent_ID]], GiftData[Fiscal_Year], "FY26")&gt;0, 1, 0)</f>
        <v>1</v>
      </c>
      <c r="N990" t="str" cm="1">
        <f t="array" ref="N9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1" spans="1:14" x14ac:dyDescent="0.2">
      <c r="A991" t="s">
        <v>1376</v>
      </c>
      <c r="B991" t="s">
        <v>474</v>
      </c>
      <c r="C991" t="s">
        <v>35</v>
      </c>
      <c r="D991" s="1">
        <v>45498</v>
      </c>
      <c r="E991">
        <v>317.36</v>
      </c>
      <c r="F991" t="s">
        <v>12</v>
      </c>
      <c r="G991" t="s">
        <v>13</v>
      </c>
      <c r="H991" t="s">
        <v>164</v>
      </c>
      <c r="I991" t="s">
        <v>56</v>
      </c>
      <c r="J991" t="str">
        <f>"FY" &amp; IF(MONTH(GiftData[[#This Row],[Gift_Date]])&gt;=7, RIGHT(YEAR(GiftData[[#This Row],[Gift_Date]])+1, 2), RIGHT(YEAR(GiftData[[#This Row],[Gift_Date]]), 2))</f>
        <v>FY25</v>
      </c>
      <c r="K991">
        <f>IF(COUNTIFS(GiftData[Constituent_ID], GiftData[[#This Row],[Constituent_ID]], GiftData[Fiscal_Year], "FY24")&gt;0, 1, 0)</f>
        <v>1</v>
      </c>
      <c r="L991">
        <f>IF(COUNTIFS(GiftData[Constituent_ID], GiftData[[#This Row],[Constituent_ID]], GiftData[Fiscal_Year], "FY25")&gt;0, 1, 0)</f>
        <v>1</v>
      </c>
      <c r="M991">
        <f>IF(COUNTIFS(GiftData[Constituent_ID], GiftData[[#This Row],[Constituent_ID]], GiftData[Fiscal_Year], "FY26")&gt;0, 1, 0)</f>
        <v>1</v>
      </c>
      <c r="N991" t="str" cm="1">
        <f t="array" ref="N9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2" spans="1:14" x14ac:dyDescent="0.2">
      <c r="A992" t="s">
        <v>1377</v>
      </c>
      <c r="B992" t="s">
        <v>546</v>
      </c>
      <c r="C992" t="s">
        <v>11</v>
      </c>
      <c r="D992" s="1">
        <v>45384</v>
      </c>
      <c r="E992">
        <v>348.31</v>
      </c>
      <c r="F992" t="s">
        <v>59</v>
      </c>
      <c r="G992" t="s">
        <v>13</v>
      </c>
      <c r="H992" t="s">
        <v>51</v>
      </c>
      <c r="I992" t="s">
        <v>56</v>
      </c>
      <c r="J992" t="str">
        <f>"FY" &amp; IF(MONTH(GiftData[[#This Row],[Gift_Date]])&gt;=7, RIGHT(YEAR(GiftData[[#This Row],[Gift_Date]])+1, 2), RIGHT(YEAR(GiftData[[#This Row],[Gift_Date]]), 2))</f>
        <v>FY24</v>
      </c>
      <c r="K992">
        <f>IF(COUNTIFS(GiftData[Constituent_ID], GiftData[[#This Row],[Constituent_ID]], GiftData[Fiscal_Year], "FY24")&gt;0, 1, 0)</f>
        <v>1</v>
      </c>
      <c r="L992">
        <f>IF(COUNTIFS(GiftData[Constituent_ID], GiftData[[#This Row],[Constituent_ID]], GiftData[Fiscal_Year], "FY25")&gt;0, 1, 0)</f>
        <v>1</v>
      </c>
      <c r="M992">
        <f>IF(COUNTIFS(GiftData[Constituent_ID], GiftData[[#This Row],[Constituent_ID]], GiftData[Fiscal_Year], "FY26")&gt;0, 1, 0)</f>
        <v>1</v>
      </c>
      <c r="N992" t="str" cm="1">
        <f t="array" ref="N9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3" spans="1:14" x14ac:dyDescent="0.2">
      <c r="A993" t="s">
        <v>1378</v>
      </c>
      <c r="B993" t="s">
        <v>150</v>
      </c>
      <c r="C993" t="s">
        <v>28</v>
      </c>
      <c r="D993" s="1">
        <v>45639</v>
      </c>
      <c r="E993">
        <v>29.93</v>
      </c>
      <c r="F993" t="s">
        <v>12</v>
      </c>
      <c r="G993" t="s">
        <v>29</v>
      </c>
      <c r="H993" t="s">
        <v>14</v>
      </c>
      <c r="I993" t="s">
        <v>38</v>
      </c>
      <c r="J993" t="str">
        <f>"FY" &amp; IF(MONTH(GiftData[[#This Row],[Gift_Date]])&gt;=7, RIGHT(YEAR(GiftData[[#This Row],[Gift_Date]])+1, 2), RIGHT(YEAR(GiftData[[#This Row],[Gift_Date]]), 2))</f>
        <v>FY25</v>
      </c>
      <c r="K993">
        <f>IF(COUNTIFS(GiftData[Constituent_ID], GiftData[[#This Row],[Constituent_ID]], GiftData[Fiscal_Year], "FY24")&gt;0, 1, 0)</f>
        <v>1</v>
      </c>
      <c r="L993">
        <f>IF(COUNTIFS(GiftData[Constituent_ID], GiftData[[#This Row],[Constituent_ID]], GiftData[Fiscal_Year], "FY25")&gt;0, 1, 0)</f>
        <v>1</v>
      </c>
      <c r="M993">
        <f>IF(COUNTIFS(GiftData[Constituent_ID], GiftData[[#This Row],[Constituent_ID]], GiftData[Fiscal_Year], "FY26")&gt;0, 1, 0)</f>
        <v>0</v>
      </c>
      <c r="N993" t="str" cm="1">
        <f t="array" ref="N9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994" spans="1:14" x14ac:dyDescent="0.2">
      <c r="A994" t="s">
        <v>1379</v>
      </c>
      <c r="B994" t="s">
        <v>263</v>
      </c>
      <c r="C994" t="s">
        <v>11</v>
      </c>
      <c r="D994" s="1">
        <v>45490</v>
      </c>
      <c r="E994">
        <v>128.28</v>
      </c>
      <c r="F994" t="s">
        <v>12</v>
      </c>
      <c r="G994" t="s">
        <v>13</v>
      </c>
      <c r="H994" t="s">
        <v>20</v>
      </c>
      <c r="I994" t="s">
        <v>15</v>
      </c>
      <c r="J994" t="str">
        <f>"FY" &amp; IF(MONTH(GiftData[[#This Row],[Gift_Date]])&gt;=7, RIGHT(YEAR(GiftData[[#This Row],[Gift_Date]])+1, 2), RIGHT(YEAR(GiftData[[#This Row],[Gift_Date]]), 2))</f>
        <v>FY25</v>
      </c>
      <c r="K994">
        <f>IF(COUNTIFS(GiftData[Constituent_ID], GiftData[[#This Row],[Constituent_ID]], GiftData[Fiscal_Year], "FY24")&gt;0, 1, 0)</f>
        <v>1</v>
      </c>
      <c r="L994">
        <f>IF(COUNTIFS(GiftData[Constituent_ID], GiftData[[#This Row],[Constituent_ID]], GiftData[Fiscal_Year], "FY25")&gt;0, 1, 0)</f>
        <v>1</v>
      </c>
      <c r="M994">
        <f>IF(COUNTIFS(GiftData[Constituent_ID], GiftData[[#This Row],[Constituent_ID]], GiftData[Fiscal_Year], "FY26")&gt;0, 1, 0)</f>
        <v>1</v>
      </c>
      <c r="N994" t="str" cm="1">
        <f t="array" ref="N9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5" spans="1:14" x14ac:dyDescent="0.2">
      <c r="A995" t="s">
        <v>1380</v>
      </c>
      <c r="B995" t="s">
        <v>344</v>
      </c>
      <c r="C995" t="s">
        <v>35</v>
      </c>
      <c r="D995" s="1">
        <v>45991</v>
      </c>
      <c r="E995">
        <v>3399.17</v>
      </c>
      <c r="F995" t="s">
        <v>12</v>
      </c>
      <c r="G995" t="s">
        <v>13</v>
      </c>
      <c r="H995" t="s">
        <v>41</v>
      </c>
      <c r="I995" t="s">
        <v>38</v>
      </c>
      <c r="J995" t="str">
        <f>"FY" &amp; IF(MONTH(GiftData[[#This Row],[Gift_Date]])&gt;=7, RIGHT(YEAR(GiftData[[#This Row],[Gift_Date]])+1, 2), RIGHT(YEAR(GiftData[[#This Row],[Gift_Date]]), 2))</f>
        <v>FY26</v>
      </c>
      <c r="K995">
        <f>IF(COUNTIFS(GiftData[Constituent_ID], GiftData[[#This Row],[Constituent_ID]], GiftData[Fiscal_Year], "FY24")&gt;0, 1, 0)</f>
        <v>1</v>
      </c>
      <c r="L995">
        <f>IF(COUNTIFS(GiftData[Constituent_ID], GiftData[[#This Row],[Constituent_ID]], GiftData[Fiscal_Year], "FY25")&gt;0, 1, 0)</f>
        <v>1</v>
      </c>
      <c r="M995">
        <f>IF(COUNTIFS(GiftData[Constituent_ID], GiftData[[#This Row],[Constituent_ID]], GiftData[Fiscal_Year], "FY26")&gt;0, 1, 0)</f>
        <v>1</v>
      </c>
      <c r="N995" t="str" cm="1">
        <f t="array" ref="N9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6" spans="1:14" x14ac:dyDescent="0.2">
      <c r="A996" t="s">
        <v>1381</v>
      </c>
      <c r="B996" t="s">
        <v>144</v>
      </c>
      <c r="C996" t="s">
        <v>35</v>
      </c>
      <c r="D996" s="1">
        <v>45321</v>
      </c>
      <c r="E996">
        <v>587.96</v>
      </c>
      <c r="F996" t="s">
        <v>12</v>
      </c>
      <c r="G996" t="s">
        <v>13</v>
      </c>
      <c r="H996" t="s">
        <v>41</v>
      </c>
      <c r="I996" t="s">
        <v>38</v>
      </c>
      <c r="J996" t="str">
        <f>"FY" &amp; IF(MONTH(GiftData[[#This Row],[Gift_Date]])&gt;=7, RIGHT(YEAR(GiftData[[#This Row],[Gift_Date]])+1, 2), RIGHT(YEAR(GiftData[[#This Row],[Gift_Date]]), 2))</f>
        <v>FY24</v>
      </c>
      <c r="K996">
        <f>IF(COUNTIFS(GiftData[Constituent_ID], GiftData[[#This Row],[Constituent_ID]], GiftData[Fiscal_Year], "FY24")&gt;0, 1, 0)</f>
        <v>1</v>
      </c>
      <c r="L996">
        <f>IF(COUNTIFS(GiftData[Constituent_ID], GiftData[[#This Row],[Constituent_ID]], GiftData[Fiscal_Year], "FY25")&gt;0, 1, 0)</f>
        <v>1</v>
      </c>
      <c r="M996">
        <f>IF(COUNTIFS(GiftData[Constituent_ID], GiftData[[#This Row],[Constituent_ID]], GiftData[Fiscal_Year], "FY26")&gt;0, 1, 0)</f>
        <v>1</v>
      </c>
      <c r="N996" t="str" cm="1">
        <f t="array" ref="N9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7" spans="1:14" x14ac:dyDescent="0.2">
      <c r="A997" t="s">
        <v>1382</v>
      </c>
      <c r="B997" t="s">
        <v>1106</v>
      </c>
      <c r="C997" t="s">
        <v>11</v>
      </c>
      <c r="D997" s="1">
        <v>45483</v>
      </c>
      <c r="E997">
        <v>63.15</v>
      </c>
      <c r="F997" t="s">
        <v>25</v>
      </c>
      <c r="G997" t="s">
        <v>13</v>
      </c>
      <c r="H997" t="s">
        <v>41</v>
      </c>
      <c r="I997" t="s">
        <v>15</v>
      </c>
      <c r="J997" t="str">
        <f>"FY" &amp; IF(MONTH(GiftData[[#This Row],[Gift_Date]])&gt;=7, RIGHT(YEAR(GiftData[[#This Row],[Gift_Date]])+1, 2), RIGHT(YEAR(GiftData[[#This Row],[Gift_Date]]), 2))</f>
        <v>FY25</v>
      </c>
      <c r="K997">
        <f>IF(COUNTIFS(GiftData[Constituent_ID], GiftData[[#This Row],[Constituent_ID]], GiftData[Fiscal_Year], "FY24")&gt;0, 1, 0)</f>
        <v>0</v>
      </c>
      <c r="L997">
        <f>IF(COUNTIFS(GiftData[Constituent_ID], GiftData[[#This Row],[Constituent_ID]], GiftData[Fiscal_Year], "FY25")&gt;0, 1, 0)</f>
        <v>1</v>
      </c>
      <c r="M997">
        <f>IF(COUNTIFS(GiftData[Constituent_ID], GiftData[[#This Row],[Constituent_ID]], GiftData[Fiscal_Year], "FY26")&gt;0, 1, 0)</f>
        <v>1</v>
      </c>
      <c r="N997" t="str" cm="1">
        <f t="array" ref="N9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8" spans="1:14" x14ac:dyDescent="0.2">
      <c r="A998" t="s">
        <v>1383</v>
      </c>
      <c r="B998" t="s">
        <v>105</v>
      </c>
      <c r="C998" t="s">
        <v>35</v>
      </c>
      <c r="D998" s="1">
        <v>45851</v>
      </c>
      <c r="E998">
        <v>55.47</v>
      </c>
      <c r="F998" t="s">
        <v>25</v>
      </c>
      <c r="G998" t="s">
        <v>13</v>
      </c>
      <c r="H998" t="s">
        <v>164</v>
      </c>
      <c r="I998" t="s">
        <v>15</v>
      </c>
      <c r="J998" t="str">
        <f>"FY" &amp; IF(MONTH(GiftData[[#This Row],[Gift_Date]])&gt;=7, RIGHT(YEAR(GiftData[[#This Row],[Gift_Date]])+1, 2), RIGHT(YEAR(GiftData[[#This Row],[Gift_Date]]), 2))</f>
        <v>FY26</v>
      </c>
      <c r="K998">
        <f>IF(COUNTIFS(GiftData[Constituent_ID], GiftData[[#This Row],[Constituent_ID]], GiftData[Fiscal_Year], "FY24")&gt;0, 1, 0)</f>
        <v>1</v>
      </c>
      <c r="L998">
        <f>IF(COUNTIFS(GiftData[Constituent_ID], GiftData[[#This Row],[Constituent_ID]], GiftData[Fiscal_Year], "FY25")&gt;0, 1, 0)</f>
        <v>1</v>
      </c>
      <c r="M998">
        <f>IF(COUNTIFS(GiftData[Constituent_ID], GiftData[[#This Row],[Constituent_ID]], GiftData[Fiscal_Year], "FY26")&gt;0, 1, 0)</f>
        <v>1</v>
      </c>
      <c r="N998" t="str" cm="1">
        <f t="array" ref="N9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999" spans="1:14" x14ac:dyDescent="0.2">
      <c r="A999" t="s">
        <v>1384</v>
      </c>
      <c r="B999" t="s">
        <v>298</v>
      </c>
      <c r="C999" t="s">
        <v>11</v>
      </c>
      <c r="D999" s="1">
        <v>45320</v>
      </c>
      <c r="E999">
        <v>53.12</v>
      </c>
      <c r="F999" t="s">
        <v>12</v>
      </c>
      <c r="G999" t="s">
        <v>13</v>
      </c>
      <c r="H999" t="s">
        <v>51</v>
      </c>
      <c r="I999" t="s">
        <v>56</v>
      </c>
      <c r="J999" t="str">
        <f>"FY" &amp; IF(MONTH(GiftData[[#This Row],[Gift_Date]])&gt;=7, RIGHT(YEAR(GiftData[[#This Row],[Gift_Date]])+1, 2), RIGHT(YEAR(GiftData[[#This Row],[Gift_Date]]), 2))</f>
        <v>FY24</v>
      </c>
      <c r="K999">
        <f>IF(COUNTIFS(GiftData[Constituent_ID], GiftData[[#This Row],[Constituent_ID]], GiftData[Fiscal_Year], "FY24")&gt;0, 1, 0)</f>
        <v>1</v>
      </c>
      <c r="L999">
        <f>IF(COUNTIFS(GiftData[Constituent_ID], GiftData[[#This Row],[Constituent_ID]], GiftData[Fiscal_Year], "FY25")&gt;0, 1, 0)</f>
        <v>1</v>
      </c>
      <c r="M999">
        <f>IF(COUNTIFS(GiftData[Constituent_ID], GiftData[[#This Row],[Constituent_ID]], GiftData[Fiscal_Year], "FY26")&gt;0, 1, 0)</f>
        <v>1</v>
      </c>
      <c r="N999" t="str" cm="1">
        <f t="array" ref="N9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0" spans="1:14" x14ac:dyDescent="0.2">
      <c r="A1000" t="s">
        <v>1385</v>
      </c>
      <c r="B1000" t="s">
        <v>440</v>
      </c>
      <c r="C1000" t="s">
        <v>11</v>
      </c>
      <c r="D1000" s="1">
        <v>45186</v>
      </c>
      <c r="E1000">
        <v>374.73</v>
      </c>
      <c r="F1000" t="s">
        <v>12</v>
      </c>
      <c r="G1000" t="s">
        <v>13</v>
      </c>
      <c r="H1000" t="s">
        <v>14</v>
      </c>
      <c r="I1000" t="s">
        <v>15</v>
      </c>
      <c r="J1000" t="str">
        <f>"FY" &amp; IF(MONTH(GiftData[[#This Row],[Gift_Date]])&gt;=7, RIGHT(YEAR(GiftData[[#This Row],[Gift_Date]])+1, 2), RIGHT(YEAR(GiftData[[#This Row],[Gift_Date]]), 2))</f>
        <v>FY24</v>
      </c>
      <c r="K1000">
        <f>IF(COUNTIFS(GiftData[Constituent_ID], GiftData[[#This Row],[Constituent_ID]], GiftData[Fiscal_Year], "FY24")&gt;0, 1, 0)</f>
        <v>1</v>
      </c>
      <c r="L1000">
        <f>IF(COUNTIFS(GiftData[Constituent_ID], GiftData[[#This Row],[Constituent_ID]], GiftData[Fiscal_Year], "FY25")&gt;0, 1, 0)</f>
        <v>1</v>
      </c>
      <c r="M1000">
        <f>IF(COUNTIFS(GiftData[Constituent_ID], GiftData[[#This Row],[Constituent_ID]], GiftData[Fiscal_Year], "FY26")&gt;0, 1, 0)</f>
        <v>1</v>
      </c>
      <c r="N1000" t="str" cm="1">
        <f t="array" ref="N10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1" spans="1:14" x14ac:dyDescent="0.2">
      <c r="A1001" t="s">
        <v>1386</v>
      </c>
      <c r="B1001" t="s">
        <v>544</v>
      </c>
      <c r="C1001" t="s">
        <v>35</v>
      </c>
      <c r="D1001" s="1">
        <v>45735</v>
      </c>
      <c r="E1001">
        <v>982.34</v>
      </c>
      <c r="F1001" t="s">
        <v>59</v>
      </c>
      <c r="G1001" t="s">
        <v>29</v>
      </c>
      <c r="H1001" t="s">
        <v>20</v>
      </c>
      <c r="I1001" t="s">
        <v>15</v>
      </c>
      <c r="J1001" t="str">
        <f>"FY" &amp; IF(MONTH(GiftData[[#This Row],[Gift_Date]])&gt;=7, RIGHT(YEAR(GiftData[[#This Row],[Gift_Date]])+1, 2), RIGHT(YEAR(GiftData[[#This Row],[Gift_Date]]), 2))</f>
        <v>FY25</v>
      </c>
      <c r="K1001">
        <f>IF(COUNTIFS(GiftData[Constituent_ID], GiftData[[#This Row],[Constituent_ID]], GiftData[Fiscal_Year], "FY24")&gt;0, 1, 0)</f>
        <v>1</v>
      </c>
      <c r="L1001">
        <f>IF(COUNTIFS(GiftData[Constituent_ID], GiftData[[#This Row],[Constituent_ID]], GiftData[Fiscal_Year], "FY25")&gt;0, 1, 0)</f>
        <v>1</v>
      </c>
      <c r="M1001">
        <f>IF(COUNTIFS(GiftData[Constituent_ID], GiftData[[#This Row],[Constituent_ID]], GiftData[Fiscal_Year], "FY26")&gt;0, 1, 0)</f>
        <v>1</v>
      </c>
      <c r="N1001" t="str" cm="1">
        <f t="array" ref="N10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2" spans="1:14" x14ac:dyDescent="0.2">
      <c r="A1002" t="s">
        <v>1387</v>
      </c>
      <c r="B1002" t="s">
        <v>683</v>
      </c>
      <c r="C1002" t="s">
        <v>11</v>
      </c>
      <c r="D1002" s="1">
        <v>45711</v>
      </c>
      <c r="E1002">
        <v>259</v>
      </c>
      <c r="F1002" t="s">
        <v>12</v>
      </c>
      <c r="G1002" t="s">
        <v>13</v>
      </c>
      <c r="H1002" t="s">
        <v>14</v>
      </c>
      <c r="I1002" t="s">
        <v>56</v>
      </c>
      <c r="J1002" t="str">
        <f>"FY" &amp; IF(MONTH(GiftData[[#This Row],[Gift_Date]])&gt;=7, RIGHT(YEAR(GiftData[[#This Row],[Gift_Date]])+1, 2), RIGHT(YEAR(GiftData[[#This Row],[Gift_Date]]), 2))</f>
        <v>FY25</v>
      </c>
      <c r="K1002">
        <f>IF(COUNTIFS(GiftData[Constituent_ID], GiftData[[#This Row],[Constituent_ID]], GiftData[Fiscal_Year], "FY24")&gt;0, 1, 0)</f>
        <v>0</v>
      </c>
      <c r="L1002">
        <f>IF(COUNTIFS(GiftData[Constituent_ID], GiftData[[#This Row],[Constituent_ID]], GiftData[Fiscal_Year], "FY25")&gt;0, 1, 0)</f>
        <v>1</v>
      </c>
      <c r="M1002">
        <f>IF(COUNTIFS(GiftData[Constituent_ID], GiftData[[#This Row],[Constituent_ID]], GiftData[Fiscal_Year], "FY26")&gt;0, 1, 0)</f>
        <v>0</v>
      </c>
      <c r="N1002" t="str" cm="1">
        <f t="array" ref="N10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03" spans="1:14" x14ac:dyDescent="0.2">
      <c r="A1003" t="s">
        <v>1388</v>
      </c>
      <c r="B1003" t="s">
        <v>440</v>
      </c>
      <c r="C1003" t="s">
        <v>48</v>
      </c>
      <c r="D1003" s="1">
        <v>45889</v>
      </c>
      <c r="E1003">
        <v>149.05000000000001</v>
      </c>
      <c r="F1003" t="s">
        <v>12</v>
      </c>
      <c r="G1003" t="s">
        <v>13</v>
      </c>
      <c r="H1003" t="s">
        <v>41</v>
      </c>
      <c r="I1003" t="s">
        <v>15</v>
      </c>
      <c r="J1003" t="str">
        <f>"FY" &amp; IF(MONTH(GiftData[[#This Row],[Gift_Date]])&gt;=7, RIGHT(YEAR(GiftData[[#This Row],[Gift_Date]])+1, 2), RIGHT(YEAR(GiftData[[#This Row],[Gift_Date]]), 2))</f>
        <v>FY26</v>
      </c>
      <c r="K1003">
        <f>IF(COUNTIFS(GiftData[Constituent_ID], GiftData[[#This Row],[Constituent_ID]], GiftData[Fiscal_Year], "FY24")&gt;0, 1, 0)</f>
        <v>1</v>
      </c>
      <c r="L1003">
        <f>IF(COUNTIFS(GiftData[Constituent_ID], GiftData[[#This Row],[Constituent_ID]], GiftData[Fiscal_Year], "FY25")&gt;0, 1, 0)</f>
        <v>1</v>
      </c>
      <c r="M1003">
        <f>IF(COUNTIFS(GiftData[Constituent_ID], GiftData[[#This Row],[Constituent_ID]], GiftData[Fiscal_Year], "FY26")&gt;0, 1, 0)</f>
        <v>1</v>
      </c>
      <c r="N1003" t="str" cm="1">
        <f t="array" ref="N10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4" spans="1:14" x14ac:dyDescent="0.2">
      <c r="A1004" t="s">
        <v>1389</v>
      </c>
      <c r="B1004" t="s">
        <v>921</v>
      </c>
      <c r="C1004" t="s">
        <v>18</v>
      </c>
      <c r="D1004" s="1">
        <v>46108</v>
      </c>
      <c r="E1004">
        <v>68.209999999999994</v>
      </c>
      <c r="F1004" t="s">
        <v>19</v>
      </c>
      <c r="G1004" t="s">
        <v>13</v>
      </c>
      <c r="H1004" t="s">
        <v>41</v>
      </c>
      <c r="I1004" t="s">
        <v>15</v>
      </c>
      <c r="J1004" t="str">
        <f>"FY" &amp; IF(MONTH(GiftData[[#This Row],[Gift_Date]])&gt;=7, RIGHT(YEAR(GiftData[[#This Row],[Gift_Date]])+1, 2), RIGHT(YEAR(GiftData[[#This Row],[Gift_Date]]), 2))</f>
        <v>FY26</v>
      </c>
      <c r="K1004">
        <f>IF(COUNTIFS(GiftData[Constituent_ID], GiftData[[#This Row],[Constituent_ID]], GiftData[Fiscal_Year], "FY24")&gt;0, 1, 0)</f>
        <v>1</v>
      </c>
      <c r="L1004">
        <f>IF(COUNTIFS(GiftData[Constituent_ID], GiftData[[#This Row],[Constituent_ID]], GiftData[Fiscal_Year], "FY25")&gt;0, 1, 0)</f>
        <v>1</v>
      </c>
      <c r="M1004">
        <f>IF(COUNTIFS(GiftData[Constituent_ID], GiftData[[#This Row],[Constituent_ID]], GiftData[Fiscal_Year], "FY26")&gt;0, 1, 0)</f>
        <v>1</v>
      </c>
      <c r="N1004" t="str" cm="1">
        <f t="array" ref="N10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5" spans="1:14" x14ac:dyDescent="0.2">
      <c r="A1005" t="s">
        <v>1390</v>
      </c>
      <c r="B1005" t="s">
        <v>1116</v>
      </c>
      <c r="C1005" t="s">
        <v>18</v>
      </c>
      <c r="D1005" s="1">
        <v>45787</v>
      </c>
      <c r="E1005">
        <v>186.45</v>
      </c>
      <c r="F1005" t="s">
        <v>12</v>
      </c>
      <c r="G1005" t="s">
        <v>13</v>
      </c>
      <c r="H1005" t="s">
        <v>14</v>
      </c>
      <c r="I1005" t="s">
        <v>38</v>
      </c>
      <c r="J1005" t="str">
        <f>"FY" &amp; IF(MONTH(GiftData[[#This Row],[Gift_Date]])&gt;=7, RIGHT(YEAR(GiftData[[#This Row],[Gift_Date]])+1, 2), RIGHT(YEAR(GiftData[[#This Row],[Gift_Date]]), 2))</f>
        <v>FY25</v>
      </c>
      <c r="K1005">
        <f>IF(COUNTIFS(GiftData[Constituent_ID], GiftData[[#This Row],[Constituent_ID]], GiftData[Fiscal_Year], "FY24")&gt;0, 1, 0)</f>
        <v>1</v>
      </c>
      <c r="L1005">
        <f>IF(COUNTIFS(GiftData[Constituent_ID], GiftData[[#This Row],[Constituent_ID]], GiftData[Fiscal_Year], "FY25")&gt;0, 1, 0)</f>
        <v>1</v>
      </c>
      <c r="M1005">
        <f>IF(COUNTIFS(GiftData[Constituent_ID], GiftData[[#This Row],[Constituent_ID]], GiftData[Fiscal_Year], "FY26")&gt;0, 1, 0)</f>
        <v>0</v>
      </c>
      <c r="N1005" t="str" cm="1">
        <f t="array" ref="N10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06" spans="1:14" x14ac:dyDescent="0.2">
      <c r="A1006" t="s">
        <v>1391</v>
      </c>
      <c r="B1006" t="s">
        <v>1392</v>
      </c>
      <c r="C1006" t="s">
        <v>48</v>
      </c>
      <c r="D1006" s="1">
        <v>45165</v>
      </c>
      <c r="E1006">
        <v>41.84</v>
      </c>
      <c r="F1006" t="s">
        <v>59</v>
      </c>
      <c r="G1006" t="s">
        <v>13</v>
      </c>
      <c r="H1006" t="s">
        <v>14</v>
      </c>
      <c r="I1006" t="s">
        <v>15</v>
      </c>
      <c r="J1006" t="str">
        <f>"FY" &amp; IF(MONTH(GiftData[[#This Row],[Gift_Date]])&gt;=7, RIGHT(YEAR(GiftData[[#This Row],[Gift_Date]])+1, 2), RIGHT(YEAR(GiftData[[#This Row],[Gift_Date]]), 2))</f>
        <v>FY24</v>
      </c>
      <c r="K1006">
        <f>IF(COUNTIFS(GiftData[Constituent_ID], GiftData[[#This Row],[Constituent_ID]], GiftData[Fiscal_Year], "FY24")&gt;0, 1, 0)</f>
        <v>1</v>
      </c>
      <c r="L1006">
        <f>IF(COUNTIFS(GiftData[Constituent_ID], GiftData[[#This Row],[Constituent_ID]], GiftData[Fiscal_Year], "FY25")&gt;0, 1, 0)</f>
        <v>0</v>
      </c>
      <c r="M1006">
        <f>IF(COUNTIFS(GiftData[Constituent_ID], GiftData[[#This Row],[Constituent_ID]], GiftData[Fiscal_Year], "FY26")&gt;0, 1, 0)</f>
        <v>0</v>
      </c>
      <c r="N1006" t="str" cm="1">
        <f t="array" ref="N10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007" spans="1:14" x14ac:dyDescent="0.2">
      <c r="A1007" t="s">
        <v>1393</v>
      </c>
      <c r="B1007" t="s">
        <v>130</v>
      </c>
      <c r="C1007" t="s">
        <v>18</v>
      </c>
      <c r="D1007" s="1">
        <v>46157</v>
      </c>
      <c r="E1007">
        <v>15</v>
      </c>
      <c r="F1007" t="s">
        <v>12</v>
      </c>
      <c r="G1007" t="s">
        <v>29</v>
      </c>
      <c r="H1007" t="s">
        <v>20</v>
      </c>
      <c r="I1007" t="s">
        <v>38</v>
      </c>
      <c r="J1007" t="str">
        <f>"FY" &amp; IF(MONTH(GiftData[[#This Row],[Gift_Date]])&gt;=7, RIGHT(YEAR(GiftData[[#This Row],[Gift_Date]])+1, 2), RIGHT(YEAR(GiftData[[#This Row],[Gift_Date]]), 2))</f>
        <v>FY26</v>
      </c>
      <c r="K1007">
        <f>IF(COUNTIFS(GiftData[Constituent_ID], GiftData[[#This Row],[Constituent_ID]], GiftData[Fiscal_Year], "FY24")&gt;0, 1, 0)</f>
        <v>1</v>
      </c>
      <c r="L1007">
        <f>IF(COUNTIFS(GiftData[Constituent_ID], GiftData[[#This Row],[Constituent_ID]], GiftData[Fiscal_Year], "FY25")&gt;0, 1, 0)</f>
        <v>0</v>
      </c>
      <c r="M1007">
        <f>IF(COUNTIFS(GiftData[Constituent_ID], GiftData[[#This Row],[Constituent_ID]], GiftData[Fiscal_Year], "FY26")&gt;0, 1, 0)</f>
        <v>1</v>
      </c>
      <c r="N1007" t="str" cm="1">
        <f t="array" ref="N10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8" spans="1:14" x14ac:dyDescent="0.2">
      <c r="A1008" t="s">
        <v>1394</v>
      </c>
      <c r="B1008" t="s">
        <v>658</v>
      </c>
      <c r="C1008" t="s">
        <v>48</v>
      </c>
      <c r="D1008" s="1">
        <v>45988</v>
      </c>
      <c r="E1008">
        <v>1020.32</v>
      </c>
      <c r="F1008" t="s">
        <v>12</v>
      </c>
      <c r="G1008" t="s">
        <v>13</v>
      </c>
      <c r="H1008" t="s">
        <v>20</v>
      </c>
      <c r="I1008" t="s">
        <v>15</v>
      </c>
      <c r="J1008" t="str">
        <f>"FY" &amp; IF(MONTH(GiftData[[#This Row],[Gift_Date]])&gt;=7, RIGHT(YEAR(GiftData[[#This Row],[Gift_Date]])+1, 2), RIGHT(YEAR(GiftData[[#This Row],[Gift_Date]]), 2))</f>
        <v>FY26</v>
      </c>
      <c r="K1008">
        <f>IF(COUNTIFS(GiftData[Constituent_ID], GiftData[[#This Row],[Constituent_ID]], GiftData[Fiscal_Year], "FY24")&gt;0, 1, 0)</f>
        <v>1</v>
      </c>
      <c r="L1008">
        <f>IF(COUNTIFS(GiftData[Constituent_ID], GiftData[[#This Row],[Constituent_ID]], GiftData[Fiscal_Year], "FY25")&gt;0, 1, 0)</f>
        <v>1</v>
      </c>
      <c r="M1008">
        <f>IF(COUNTIFS(GiftData[Constituent_ID], GiftData[[#This Row],[Constituent_ID]], GiftData[Fiscal_Year], "FY26")&gt;0, 1, 0)</f>
        <v>1</v>
      </c>
      <c r="N1008" t="str" cm="1">
        <f t="array" ref="N10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09" spans="1:14" x14ac:dyDescent="0.2">
      <c r="A1009" t="s">
        <v>1395</v>
      </c>
      <c r="B1009" t="s">
        <v>958</v>
      </c>
      <c r="C1009" t="s">
        <v>48</v>
      </c>
      <c r="D1009" s="1">
        <v>45554</v>
      </c>
      <c r="E1009">
        <v>32.869999999999997</v>
      </c>
      <c r="F1009" t="s">
        <v>12</v>
      </c>
      <c r="G1009" t="s">
        <v>13</v>
      </c>
      <c r="H1009" t="s">
        <v>14</v>
      </c>
      <c r="I1009" t="s">
        <v>15</v>
      </c>
      <c r="J1009" t="str">
        <f>"FY" &amp; IF(MONTH(GiftData[[#This Row],[Gift_Date]])&gt;=7, RIGHT(YEAR(GiftData[[#This Row],[Gift_Date]])+1, 2), RIGHT(YEAR(GiftData[[#This Row],[Gift_Date]]), 2))</f>
        <v>FY25</v>
      </c>
      <c r="K1009">
        <f>IF(COUNTIFS(GiftData[Constituent_ID], GiftData[[#This Row],[Constituent_ID]], GiftData[Fiscal_Year], "FY24")&gt;0, 1, 0)</f>
        <v>1</v>
      </c>
      <c r="L1009">
        <f>IF(COUNTIFS(GiftData[Constituent_ID], GiftData[[#This Row],[Constituent_ID]], GiftData[Fiscal_Year], "FY25")&gt;0, 1, 0)</f>
        <v>1</v>
      </c>
      <c r="M1009">
        <f>IF(COUNTIFS(GiftData[Constituent_ID], GiftData[[#This Row],[Constituent_ID]], GiftData[Fiscal_Year], "FY26")&gt;0, 1, 0)</f>
        <v>1</v>
      </c>
      <c r="N1009" t="str" cm="1">
        <f t="array" ref="N10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0" spans="1:14" x14ac:dyDescent="0.2">
      <c r="A1010" t="s">
        <v>1396</v>
      </c>
      <c r="B1010" t="s">
        <v>242</v>
      </c>
      <c r="C1010" t="s">
        <v>18</v>
      </c>
      <c r="D1010" s="1">
        <v>45173</v>
      </c>
      <c r="E1010">
        <v>79.66</v>
      </c>
      <c r="F1010" t="s">
        <v>19</v>
      </c>
      <c r="G1010" t="s">
        <v>13</v>
      </c>
      <c r="H1010" t="s">
        <v>20</v>
      </c>
      <c r="I1010" t="s">
        <v>15</v>
      </c>
      <c r="J1010" t="str">
        <f>"FY" &amp; IF(MONTH(GiftData[[#This Row],[Gift_Date]])&gt;=7, RIGHT(YEAR(GiftData[[#This Row],[Gift_Date]])+1, 2), RIGHT(YEAR(GiftData[[#This Row],[Gift_Date]]), 2))</f>
        <v>FY24</v>
      </c>
      <c r="K1010">
        <f>IF(COUNTIFS(GiftData[Constituent_ID], GiftData[[#This Row],[Constituent_ID]], GiftData[Fiscal_Year], "FY24")&gt;0, 1, 0)</f>
        <v>1</v>
      </c>
      <c r="L1010">
        <f>IF(COUNTIFS(GiftData[Constituent_ID], GiftData[[#This Row],[Constituent_ID]], GiftData[Fiscal_Year], "FY25")&gt;0, 1, 0)</f>
        <v>1</v>
      </c>
      <c r="M1010">
        <f>IF(COUNTIFS(GiftData[Constituent_ID], GiftData[[#This Row],[Constituent_ID]], GiftData[Fiscal_Year], "FY26")&gt;0, 1, 0)</f>
        <v>1</v>
      </c>
      <c r="N1010" t="str" cm="1">
        <f t="array" ref="N10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1" spans="1:14" x14ac:dyDescent="0.2">
      <c r="A1011" t="s">
        <v>1397</v>
      </c>
      <c r="B1011" t="s">
        <v>226</v>
      </c>
      <c r="C1011" t="s">
        <v>11</v>
      </c>
      <c r="D1011" s="1">
        <v>46119</v>
      </c>
      <c r="E1011">
        <v>285.22000000000003</v>
      </c>
      <c r="F1011" t="s">
        <v>12</v>
      </c>
      <c r="G1011" t="s">
        <v>13</v>
      </c>
      <c r="H1011" t="s">
        <v>20</v>
      </c>
      <c r="I1011" t="s">
        <v>30</v>
      </c>
      <c r="J1011" t="str">
        <f>"FY" &amp; IF(MONTH(GiftData[[#This Row],[Gift_Date]])&gt;=7, RIGHT(YEAR(GiftData[[#This Row],[Gift_Date]])+1, 2), RIGHT(YEAR(GiftData[[#This Row],[Gift_Date]]), 2))</f>
        <v>FY26</v>
      </c>
      <c r="K1011">
        <f>IF(COUNTIFS(GiftData[Constituent_ID], GiftData[[#This Row],[Constituent_ID]], GiftData[Fiscal_Year], "FY24")&gt;0, 1, 0)</f>
        <v>1</v>
      </c>
      <c r="L1011">
        <f>IF(COUNTIFS(GiftData[Constituent_ID], GiftData[[#This Row],[Constituent_ID]], GiftData[Fiscal_Year], "FY25")&gt;0, 1, 0)</f>
        <v>1</v>
      </c>
      <c r="M1011">
        <f>IF(COUNTIFS(GiftData[Constituent_ID], GiftData[[#This Row],[Constituent_ID]], GiftData[Fiscal_Year], "FY26")&gt;0, 1, 0)</f>
        <v>1</v>
      </c>
      <c r="N1011" t="str" cm="1">
        <f t="array" ref="N10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2" spans="1:14" x14ac:dyDescent="0.2">
      <c r="A1012" t="s">
        <v>1398</v>
      </c>
      <c r="B1012" t="s">
        <v>236</v>
      </c>
      <c r="C1012" t="s">
        <v>18</v>
      </c>
      <c r="D1012" s="1">
        <v>45334</v>
      </c>
      <c r="E1012">
        <v>784.31</v>
      </c>
      <c r="F1012" t="s">
        <v>12</v>
      </c>
      <c r="G1012" t="s">
        <v>29</v>
      </c>
      <c r="H1012" t="s">
        <v>20</v>
      </c>
      <c r="I1012" t="s">
        <v>15</v>
      </c>
      <c r="J1012" t="str">
        <f>"FY" &amp; IF(MONTH(GiftData[[#This Row],[Gift_Date]])&gt;=7, RIGHT(YEAR(GiftData[[#This Row],[Gift_Date]])+1, 2), RIGHT(YEAR(GiftData[[#This Row],[Gift_Date]]), 2))</f>
        <v>FY24</v>
      </c>
      <c r="K1012">
        <f>IF(COUNTIFS(GiftData[Constituent_ID], GiftData[[#This Row],[Constituent_ID]], GiftData[Fiscal_Year], "FY24")&gt;0, 1, 0)</f>
        <v>1</v>
      </c>
      <c r="L1012">
        <f>IF(COUNTIFS(GiftData[Constituent_ID], GiftData[[#This Row],[Constituent_ID]], GiftData[Fiscal_Year], "FY25")&gt;0, 1, 0)</f>
        <v>1</v>
      </c>
      <c r="M1012">
        <f>IF(COUNTIFS(GiftData[Constituent_ID], GiftData[[#This Row],[Constituent_ID]], GiftData[Fiscal_Year], "FY26")&gt;0, 1, 0)</f>
        <v>1</v>
      </c>
      <c r="N1012" t="str" cm="1">
        <f t="array" ref="N10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3" spans="1:14" x14ac:dyDescent="0.2">
      <c r="A1013" t="s">
        <v>1399</v>
      </c>
      <c r="B1013" t="s">
        <v>938</v>
      </c>
      <c r="C1013" t="s">
        <v>11</v>
      </c>
      <c r="D1013" s="1">
        <v>45881</v>
      </c>
      <c r="E1013">
        <v>169.74</v>
      </c>
      <c r="F1013" t="s">
        <v>19</v>
      </c>
      <c r="G1013" t="s">
        <v>13</v>
      </c>
      <c r="H1013" t="s">
        <v>14</v>
      </c>
      <c r="I1013" t="s">
        <v>15</v>
      </c>
      <c r="J1013" t="str">
        <f>"FY" &amp; IF(MONTH(GiftData[[#This Row],[Gift_Date]])&gt;=7, RIGHT(YEAR(GiftData[[#This Row],[Gift_Date]])+1, 2), RIGHT(YEAR(GiftData[[#This Row],[Gift_Date]]), 2))</f>
        <v>FY26</v>
      </c>
      <c r="K1013">
        <f>IF(COUNTIFS(GiftData[Constituent_ID], GiftData[[#This Row],[Constituent_ID]], GiftData[Fiscal_Year], "FY24")&gt;0, 1, 0)</f>
        <v>1</v>
      </c>
      <c r="L1013">
        <f>IF(COUNTIFS(GiftData[Constituent_ID], GiftData[[#This Row],[Constituent_ID]], GiftData[Fiscal_Year], "FY25")&gt;0, 1, 0)</f>
        <v>0</v>
      </c>
      <c r="M1013">
        <f>IF(COUNTIFS(GiftData[Constituent_ID], GiftData[[#This Row],[Constituent_ID]], GiftData[Fiscal_Year], "FY26")&gt;0, 1, 0)</f>
        <v>1</v>
      </c>
      <c r="N1013" t="str" cm="1">
        <f t="array" ref="N10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4" spans="1:14" x14ac:dyDescent="0.2">
      <c r="A1014" t="s">
        <v>1400</v>
      </c>
      <c r="B1014" t="s">
        <v>1188</v>
      </c>
      <c r="C1014" t="s">
        <v>18</v>
      </c>
      <c r="D1014" s="1">
        <v>45786</v>
      </c>
      <c r="E1014">
        <v>25.74</v>
      </c>
      <c r="F1014" t="s">
        <v>12</v>
      </c>
      <c r="G1014" t="s">
        <v>13</v>
      </c>
      <c r="H1014" t="s">
        <v>20</v>
      </c>
      <c r="I1014" t="s">
        <v>15</v>
      </c>
      <c r="J1014" t="str">
        <f>"FY" &amp; IF(MONTH(GiftData[[#This Row],[Gift_Date]])&gt;=7, RIGHT(YEAR(GiftData[[#This Row],[Gift_Date]])+1, 2), RIGHT(YEAR(GiftData[[#This Row],[Gift_Date]]), 2))</f>
        <v>FY25</v>
      </c>
      <c r="K1014">
        <f>IF(COUNTIFS(GiftData[Constituent_ID], GiftData[[#This Row],[Constituent_ID]], GiftData[Fiscal_Year], "FY24")&gt;0, 1, 0)</f>
        <v>0</v>
      </c>
      <c r="L1014">
        <f>IF(COUNTIFS(GiftData[Constituent_ID], GiftData[[#This Row],[Constituent_ID]], GiftData[Fiscal_Year], "FY25")&gt;0, 1, 0)</f>
        <v>1</v>
      </c>
      <c r="M1014">
        <f>IF(COUNTIFS(GiftData[Constituent_ID], GiftData[[#This Row],[Constituent_ID]], GiftData[Fiscal_Year], "FY26")&gt;0, 1, 0)</f>
        <v>0</v>
      </c>
      <c r="N1014" t="str" cm="1">
        <f t="array" ref="N10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15" spans="1:14" x14ac:dyDescent="0.2">
      <c r="A1015" t="s">
        <v>1401</v>
      </c>
      <c r="B1015" t="s">
        <v>386</v>
      </c>
      <c r="C1015" t="s">
        <v>18</v>
      </c>
      <c r="D1015" s="1">
        <v>45708</v>
      </c>
      <c r="E1015">
        <v>82.13</v>
      </c>
      <c r="F1015" t="s">
        <v>12</v>
      </c>
      <c r="G1015" t="s">
        <v>13</v>
      </c>
      <c r="H1015" t="s">
        <v>51</v>
      </c>
      <c r="I1015" t="s">
        <v>15</v>
      </c>
      <c r="J1015" t="str">
        <f>"FY" &amp; IF(MONTH(GiftData[[#This Row],[Gift_Date]])&gt;=7, RIGHT(YEAR(GiftData[[#This Row],[Gift_Date]])+1, 2), RIGHT(YEAR(GiftData[[#This Row],[Gift_Date]]), 2))</f>
        <v>FY25</v>
      </c>
      <c r="K1015">
        <f>IF(COUNTIFS(GiftData[Constituent_ID], GiftData[[#This Row],[Constituent_ID]], GiftData[Fiscal_Year], "FY24")&gt;0, 1, 0)</f>
        <v>0</v>
      </c>
      <c r="L1015">
        <f>IF(COUNTIFS(GiftData[Constituent_ID], GiftData[[#This Row],[Constituent_ID]], GiftData[Fiscal_Year], "FY25")&gt;0, 1, 0)</f>
        <v>1</v>
      </c>
      <c r="M1015">
        <f>IF(COUNTIFS(GiftData[Constituent_ID], GiftData[[#This Row],[Constituent_ID]], GiftData[Fiscal_Year], "FY26")&gt;0, 1, 0)</f>
        <v>1</v>
      </c>
      <c r="N1015" t="str" cm="1">
        <f t="array" ref="N10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6" spans="1:14" x14ac:dyDescent="0.2">
      <c r="A1016" t="s">
        <v>1402</v>
      </c>
      <c r="B1016" t="s">
        <v>1403</v>
      </c>
      <c r="C1016" t="s">
        <v>11</v>
      </c>
      <c r="D1016" s="1">
        <v>45486</v>
      </c>
      <c r="E1016">
        <v>50.3</v>
      </c>
      <c r="F1016" t="s">
        <v>12</v>
      </c>
      <c r="G1016" t="s">
        <v>13</v>
      </c>
      <c r="H1016" t="s">
        <v>14</v>
      </c>
      <c r="I1016" t="s">
        <v>15</v>
      </c>
      <c r="J1016" t="str">
        <f>"FY" &amp; IF(MONTH(GiftData[[#This Row],[Gift_Date]])&gt;=7, RIGHT(YEAR(GiftData[[#This Row],[Gift_Date]])+1, 2), RIGHT(YEAR(GiftData[[#This Row],[Gift_Date]]), 2))</f>
        <v>FY25</v>
      </c>
      <c r="K1016">
        <f>IF(COUNTIFS(GiftData[Constituent_ID], GiftData[[#This Row],[Constituent_ID]], GiftData[Fiscal_Year], "FY24")&gt;0, 1, 0)</f>
        <v>1</v>
      </c>
      <c r="L1016">
        <f>IF(COUNTIFS(GiftData[Constituent_ID], GiftData[[#This Row],[Constituent_ID]], GiftData[Fiscal_Year], "FY25")&gt;0, 1, 0)</f>
        <v>1</v>
      </c>
      <c r="M1016">
        <f>IF(COUNTIFS(GiftData[Constituent_ID], GiftData[[#This Row],[Constituent_ID]], GiftData[Fiscal_Year], "FY26")&gt;0, 1, 0)</f>
        <v>1</v>
      </c>
      <c r="N1016" t="str" cm="1">
        <f t="array" ref="N10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17" spans="1:14" x14ac:dyDescent="0.2">
      <c r="A1017" t="s">
        <v>1404</v>
      </c>
      <c r="B1017" t="s">
        <v>889</v>
      </c>
      <c r="C1017" t="s">
        <v>11</v>
      </c>
      <c r="D1017" s="1">
        <v>45816</v>
      </c>
      <c r="E1017">
        <v>115.62</v>
      </c>
      <c r="F1017" t="s">
        <v>25</v>
      </c>
      <c r="G1017" t="s">
        <v>13</v>
      </c>
      <c r="H1017" t="s">
        <v>41</v>
      </c>
      <c r="I1017" t="s">
        <v>15</v>
      </c>
      <c r="J1017" t="str">
        <f>"FY" &amp; IF(MONTH(GiftData[[#This Row],[Gift_Date]])&gt;=7, RIGHT(YEAR(GiftData[[#This Row],[Gift_Date]])+1, 2), RIGHT(YEAR(GiftData[[#This Row],[Gift_Date]]), 2))</f>
        <v>FY25</v>
      </c>
      <c r="K1017">
        <f>IF(COUNTIFS(GiftData[Constituent_ID], GiftData[[#This Row],[Constituent_ID]], GiftData[Fiscal_Year], "FY24")&gt;0, 1, 0)</f>
        <v>1</v>
      </c>
      <c r="L1017">
        <f>IF(COUNTIFS(GiftData[Constituent_ID], GiftData[[#This Row],[Constituent_ID]], GiftData[Fiscal_Year], "FY25")&gt;0, 1, 0)</f>
        <v>1</v>
      </c>
      <c r="M1017">
        <f>IF(COUNTIFS(GiftData[Constituent_ID], GiftData[[#This Row],[Constituent_ID]], GiftData[Fiscal_Year], "FY26")&gt;0, 1, 0)</f>
        <v>0</v>
      </c>
      <c r="N1017" t="str" cm="1">
        <f t="array" ref="N10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18" spans="1:14" x14ac:dyDescent="0.2">
      <c r="A1018" t="s">
        <v>1405</v>
      </c>
      <c r="B1018" t="s">
        <v>1406</v>
      </c>
      <c r="C1018" t="s">
        <v>48</v>
      </c>
      <c r="D1018" s="1">
        <v>45414</v>
      </c>
      <c r="E1018">
        <v>602.79999999999995</v>
      </c>
      <c r="F1018" t="s">
        <v>12</v>
      </c>
      <c r="G1018" t="s">
        <v>13</v>
      </c>
      <c r="H1018" t="s">
        <v>41</v>
      </c>
      <c r="I1018" t="s">
        <v>15</v>
      </c>
      <c r="J1018" t="str">
        <f>"FY" &amp; IF(MONTH(GiftData[[#This Row],[Gift_Date]])&gt;=7, RIGHT(YEAR(GiftData[[#This Row],[Gift_Date]])+1, 2), RIGHT(YEAR(GiftData[[#This Row],[Gift_Date]]), 2))</f>
        <v>FY24</v>
      </c>
      <c r="K1018">
        <f>IF(COUNTIFS(GiftData[Constituent_ID], GiftData[[#This Row],[Constituent_ID]], GiftData[Fiscal_Year], "FY24")&gt;0, 1, 0)</f>
        <v>1</v>
      </c>
      <c r="L1018">
        <f>IF(COUNTIFS(GiftData[Constituent_ID], GiftData[[#This Row],[Constituent_ID]], GiftData[Fiscal_Year], "FY25")&gt;0, 1, 0)</f>
        <v>0</v>
      </c>
      <c r="M1018">
        <f>IF(COUNTIFS(GiftData[Constituent_ID], GiftData[[#This Row],[Constituent_ID]], GiftData[Fiscal_Year], "FY26")&gt;0, 1, 0)</f>
        <v>0</v>
      </c>
      <c r="N1018" t="str" cm="1">
        <f t="array" ref="N10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019" spans="1:14" x14ac:dyDescent="0.2">
      <c r="A1019" t="s">
        <v>1407</v>
      </c>
      <c r="B1019" t="s">
        <v>1408</v>
      </c>
      <c r="C1019" t="s">
        <v>35</v>
      </c>
      <c r="D1019" s="1">
        <v>45886</v>
      </c>
      <c r="E1019">
        <v>15</v>
      </c>
      <c r="F1019" t="s">
        <v>12</v>
      </c>
      <c r="G1019" t="s">
        <v>13</v>
      </c>
      <c r="H1019" t="s">
        <v>20</v>
      </c>
      <c r="I1019" t="s">
        <v>15</v>
      </c>
      <c r="J1019" t="str">
        <f>"FY" &amp; IF(MONTH(GiftData[[#This Row],[Gift_Date]])&gt;=7, RIGHT(YEAR(GiftData[[#This Row],[Gift_Date]])+1, 2), RIGHT(YEAR(GiftData[[#This Row],[Gift_Date]]), 2))</f>
        <v>FY26</v>
      </c>
      <c r="K1019">
        <f>IF(COUNTIFS(GiftData[Constituent_ID], GiftData[[#This Row],[Constituent_ID]], GiftData[Fiscal_Year], "FY24")&gt;0, 1, 0)</f>
        <v>0</v>
      </c>
      <c r="L1019">
        <f>IF(COUNTIFS(GiftData[Constituent_ID], GiftData[[#This Row],[Constituent_ID]], GiftData[Fiscal_Year], "FY25")&gt;0, 1, 0)</f>
        <v>0</v>
      </c>
      <c r="M1019">
        <f>IF(COUNTIFS(GiftData[Constituent_ID], GiftData[[#This Row],[Constituent_ID]], GiftData[Fiscal_Year], "FY26")&gt;0, 1, 0)</f>
        <v>1</v>
      </c>
      <c r="N1019" t="str" cm="1">
        <f t="array" ref="N10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0" spans="1:14" x14ac:dyDescent="0.2">
      <c r="A1020" t="s">
        <v>1409</v>
      </c>
      <c r="B1020" t="s">
        <v>89</v>
      </c>
      <c r="C1020" t="s">
        <v>28</v>
      </c>
      <c r="D1020" s="1">
        <v>45611</v>
      </c>
      <c r="E1020">
        <v>71.180000000000007</v>
      </c>
      <c r="F1020" t="s">
        <v>12</v>
      </c>
      <c r="G1020" t="s">
        <v>13</v>
      </c>
      <c r="H1020" t="s">
        <v>14</v>
      </c>
      <c r="I1020" t="s">
        <v>38</v>
      </c>
      <c r="J1020" t="str">
        <f>"FY" &amp; IF(MONTH(GiftData[[#This Row],[Gift_Date]])&gt;=7, RIGHT(YEAR(GiftData[[#This Row],[Gift_Date]])+1, 2), RIGHT(YEAR(GiftData[[#This Row],[Gift_Date]]), 2))</f>
        <v>FY25</v>
      </c>
      <c r="K1020">
        <f>IF(COUNTIFS(GiftData[Constituent_ID], GiftData[[#This Row],[Constituent_ID]], GiftData[Fiscal_Year], "FY24")&gt;0, 1, 0)</f>
        <v>1</v>
      </c>
      <c r="L1020">
        <f>IF(COUNTIFS(GiftData[Constituent_ID], GiftData[[#This Row],[Constituent_ID]], GiftData[Fiscal_Year], "FY25")&gt;0, 1, 0)</f>
        <v>1</v>
      </c>
      <c r="M1020">
        <f>IF(COUNTIFS(GiftData[Constituent_ID], GiftData[[#This Row],[Constituent_ID]], GiftData[Fiscal_Year], "FY26")&gt;0, 1, 0)</f>
        <v>0</v>
      </c>
      <c r="N1020" t="str" cm="1">
        <f t="array" ref="N10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21" spans="1:14" x14ac:dyDescent="0.2">
      <c r="A1021" t="s">
        <v>1410</v>
      </c>
      <c r="B1021" t="s">
        <v>318</v>
      </c>
      <c r="C1021" t="s">
        <v>11</v>
      </c>
      <c r="D1021" s="1">
        <v>45375</v>
      </c>
      <c r="E1021">
        <v>64.760000000000005</v>
      </c>
      <c r="F1021" t="s">
        <v>12</v>
      </c>
      <c r="G1021" t="s">
        <v>29</v>
      </c>
      <c r="H1021" t="s">
        <v>164</v>
      </c>
      <c r="I1021" t="s">
        <v>38</v>
      </c>
      <c r="J1021" t="str">
        <f>"FY" &amp; IF(MONTH(GiftData[[#This Row],[Gift_Date]])&gt;=7, RIGHT(YEAR(GiftData[[#This Row],[Gift_Date]])+1, 2), RIGHT(YEAR(GiftData[[#This Row],[Gift_Date]]), 2))</f>
        <v>FY24</v>
      </c>
      <c r="K1021">
        <f>IF(COUNTIFS(GiftData[Constituent_ID], GiftData[[#This Row],[Constituent_ID]], GiftData[Fiscal_Year], "FY24")&gt;0, 1, 0)</f>
        <v>1</v>
      </c>
      <c r="L1021">
        <f>IF(COUNTIFS(GiftData[Constituent_ID], GiftData[[#This Row],[Constituent_ID]], GiftData[Fiscal_Year], "FY25")&gt;0, 1, 0)</f>
        <v>1</v>
      </c>
      <c r="M1021">
        <f>IF(COUNTIFS(GiftData[Constituent_ID], GiftData[[#This Row],[Constituent_ID]], GiftData[Fiscal_Year], "FY26")&gt;0, 1, 0)</f>
        <v>1</v>
      </c>
      <c r="N1021" t="str" cm="1">
        <f t="array" ref="N10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2" spans="1:14" x14ac:dyDescent="0.2">
      <c r="A1022" t="s">
        <v>1411</v>
      </c>
      <c r="B1022" t="s">
        <v>69</v>
      </c>
      <c r="C1022" t="s">
        <v>35</v>
      </c>
      <c r="D1022" s="1">
        <v>45115</v>
      </c>
      <c r="E1022">
        <v>23.72</v>
      </c>
      <c r="F1022" t="s">
        <v>19</v>
      </c>
      <c r="G1022" t="s">
        <v>13</v>
      </c>
      <c r="H1022" t="s">
        <v>41</v>
      </c>
      <c r="I1022" t="s">
        <v>15</v>
      </c>
      <c r="J1022" t="str">
        <f>"FY" &amp; IF(MONTH(GiftData[[#This Row],[Gift_Date]])&gt;=7, RIGHT(YEAR(GiftData[[#This Row],[Gift_Date]])+1, 2), RIGHT(YEAR(GiftData[[#This Row],[Gift_Date]]), 2))</f>
        <v>FY24</v>
      </c>
      <c r="K1022">
        <f>IF(COUNTIFS(GiftData[Constituent_ID], GiftData[[#This Row],[Constituent_ID]], GiftData[Fiscal_Year], "FY24")&gt;0, 1, 0)</f>
        <v>1</v>
      </c>
      <c r="L1022">
        <f>IF(COUNTIFS(GiftData[Constituent_ID], GiftData[[#This Row],[Constituent_ID]], GiftData[Fiscal_Year], "FY25")&gt;0, 1, 0)</f>
        <v>0</v>
      </c>
      <c r="M1022">
        <f>IF(COUNTIFS(GiftData[Constituent_ID], GiftData[[#This Row],[Constituent_ID]], GiftData[Fiscal_Year], "FY26")&gt;0, 1, 0)</f>
        <v>1</v>
      </c>
      <c r="N1022" t="str" cm="1">
        <f t="array" ref="N10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3" spans="1:14" x14ac:dyDescent="0.2">
      <c r="A1023" t="s">
        <v>1412</v>
      </c>
      <c r="B1023" t="s">
        <v>83</v>
      </c>
      <c r="C1023" t="s">
        <v>11</v>
      </c>
      <c r="D1023" s="1">
        <v>45615</v>
      </c>
      <c r="E1023">
        <v>260.12</v>
      </c>
      <c r="F1023" t="s">
        <v>59</v>
      </c>
      <c r="G1023" t="s">
        <v>13</v>
      </c>
      <c r="H1023" t="s">
        <v>164</v>
      </c>
      <c r="I1023" t="s">
        <v>15</v>
      </c>
      <c r="J1023" t="str">
        <f>"FY" &amp; IF(MONTH(GiftData[[#This Row],[Gift_Date]])&gt;=7, RIGHT(YEAR(GiftData[[#This Row],[Gift_Date]])+1, 2), RIGHT(YEAR(GiftData[[#This Row],[Gift_Date]]), 2))</f>
        <v>FY25</v>
      </c>
      <c r="K1023">
        <f>IF(COUNTIFS(GiftData[Constituent_ID], GiftData[[#This Row],[Constituent_ID]], GiftData[Fiscal_Year], "FY24")&gt;0, 1, 0)</f>
        <v>1</v>
      </c>
      <c r="L1023">
        <f>IF(COUNTIFS(GiftData[Constituent_ID], GiftData[[#This Row],[Constituent_ID]], GiftData[Fiscal_Year], "FY25")&gt;0, 1, 0)</f>
        <v>1</v>
      </c>
      <c r="M1023">
        <f>IF(COUNTIFS(GiftData[Constituent_ID], GiftData[[#This Row],[Constituent_ID]], GiftData[Fiscal_Year], "FY26")&gt;0, 1, 0)</f>
        <v>0</v>
      </c>
      <c r="N1023" t="str" cm="1">
        <f t="array" ref="N10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24" spans="1:14" x14ac:dyDescent="0.2">
      <c r="A1024" t="s">
        <v>1413</v>
      </c>
      <c r="B1024" t="s">
        <v>396</v>
      </c>
      <c r="C1024" t="s">
        <v>28</v>
      </c>
      <c r="D1024" s="1">
        <v>45583</v>
      </c>
      <c r="E1024">
        <v>19.309999999999999</v>
      </c>
      <c r="F1024" t="s">
        <v>25</v>
      </c>
      <c r="G1024" t="s">
        <v>13</v>
      </c>
      <c r="H1024" t="s">
        <v>41</v>
      </c>
      <c r="I1024" t="s">
        <v>38</v>
      </c>
      <c r="J1024" t="str">
        <f>"FY" &amp; IF(MONTH(GiftData[[#This Row],[Gift_Date]])&gt;=7, RIGHT(YEAR(GiftData[[#This Row],[Gift_Date]])+1, 2), RIGHT(YEAR(GiftData[[#This Row],[Gift_Date]]), 2))</f>
        <v>FY25</v>
      </c>
      <c r="K1024">
        <f>IF(COUNTIFS(GiftData[Constituent_ID], GiftData[[#This Row],[Constituent_ID]], GiftData[Fiscal_Year], "FY24")&gt;0, 1, 0)</f>
        <v>1</v>
      </c>
      <c r="L1024">
        <f>IF(COUNTIFS(GiftData[Constituent_ID], GiftData[[#This Row],[Constituent_ID]], GiftData[Fiscal_Year], "FY25")&gt;0, 1, 0)</f>
        <v>1</v>
      </c>
      <c r="M1024">
        <f>IF(COUNTIFS(GiftData[Constituent_ID], GiftData[[#This Row],[Constituent_ID]], GiftData[Fiscal_Year], "FY26")&gt;0, 1, 0)</f>
        <v>0</v>
      </c>
      <c r="N1024" t="str" cm="1">
        <f t="array" ref="N10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25" spans="1:14" x14ac:dyDescent="0.2">
      <c r="A1025" t="s">
        <v>1414</v>
      </c>
      <c r="B1025" t="s">
        <v>1116</v>
      </c>
      <c r="C1025" t="s">
        <v>48</v>
      </c>
      <c r="D1025" s="1">
        <v>45271</v>
      </c>
      <c r="E1025">
        <v>22.42</v>
      </c>
      <c r="F1025" t="s">
        <v>59</v>
      </c>
      <c r="G1025" t="s">
        <v>13</v>
      </c>
      <c r="H1025" t="s">
        <v>20</v>
      </c>
      <c r="I1025" t="s">
        <v>38</v>
      </c>
      <c r="J1025" t="str">
        <f>"FY" &amp; IF(MONTH(GiftData[[#This Row],[Gift_Date]])&gt;=7, RIGHT(YEAR(GiftData[[#This Row],[Gift_Date]])+1, 2), RIGHT(YEAR(GiftData[[#This Row],[Gift_Date]]), 2))</f>
        <v>FY24</v>
      </c>
      <c r="K1025">
        <f>IF(COUNTIFS(GiftData[Constituent_ID], GiftData[[#This Row],[Constituent_ID]], GiftData[Fiscal_Year], "FY24")&gt;0, 1, 0)</f>
        <v>1</v>
      </c>
      <c r="L1025">
        <f>IF(COUNTIFS(GiftData[Constituent_ID], GiftData[[#This Row],[Constituent_ID]], GiftData[Fiscal_Year], "FY25")&gt;0, 1, 0)</f>
        <v>1</v>
      </c>
      <c r="M1025">
        <f>IF(COUNTIFS(GiftData[Constituent_ID], GiftData[[#This Row],[Constituent_ID]], GiftData[Fiscal_Year], "FY26")&gt;0, 1, 0)</f>
        <v>0</v>
      </c>
      <c r="N1025" t="str" cm="1">
        <f t="array" ref="N10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26" spans="1:14" x14ac:dyDescent="0.2">
      <c r="A1026" t="s">
        <v>1415</v>
      </c>
      <c r="B1026" t="s">
        <v>79</v>
      </c>
      <c r="C1026" t="s">
        <v>11</v>
      </c>
      <c r="D1026" s="1">
        <v>45592</v>
      </c>
      <c r="E1026">
        <v>367.38</v>
      </c>
      <c r="F1026" t="s">
        <v>25</v>
      </c>
      <c r="G1026" t="s">
        <v>29</v>
      </c>
      <c r="H1026" t="s">
        <v>20</v>
      </c>
      <c r="I1026" t="s">
        <v>15</v>
      </c>
      <c r="J1026" t="str">
        <f>"FY" &amp; IF(MONTH(GiftData[[#This Row],[Gift_Date]])&gt;=7, RIGHT(YEAR(GiftData[[#This Row],[Gift_Date]])+1, 2), RIGHT(YEAR(GiftData[[#This Row],[Gift_Date]]), 2))</f>
        <v>FY25</v>
      </c>
      <c r="K1026">
        <f>IF(COUNTIFS(GiftData[Constituent_ID], GiftData[[#This Row],[Constituent_ID]], GiftData[Fiscal_Year], "FY24")&gt;0, 1, 0)</f>
        <v>1</v>
      </c>
      <c r="L1026">
        <f>IF(COUNTIFS(GiftData[Constituent_ID], GiftData[[#This Row],[Constituent_ID]], GiftData[Fiscal_Year], "FY25")&gt;0, 1, 0)</f>
        <v>1</v>
      </c>
      <c r="M1026">
        <f>IF(COUNTIFS(GiftData[Constituent_ID], GiftData[[#This Row],[Constituent_ID]], GiftData[Fiscal_Year], "FY26")&gt;0, 1, 0)</f>
        <v>1</v>
      </c>
      <c r="N1026" t="str" cm="1">
        <f t="array" ref="N10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7" spans="1:14" x14ac:dyDescent="0.2">
      <c r="A1027" t="s">
        <v>1416</v>
      </c>
      <c r="B1027" t="s">
        <v>234</v>
      </c>
      <c r="C1027" t="s">
        <v>28</v>
      </c>
      <c r="D1027" s="1">
        <v>45674</v>
      </c>
      <c r="E1027">
        <v>854.69</v>
      </c>
      <c r="F1027" t="s">
        <v>12</v>
      </c>
      <c r="G1027" t="s">
        <v>13</v>
      </c>
      <c r="H1027" t="s">
        <v>14</v>
      </c>
      <c r="I1027" t="s">
        <v>56</v>
      </c>
      <c r="J1027" t="str">
        <f>"FY" &amp; IF(MONTH(GiftData[[#This Row],[Gift_Date]])&gt;=7, RIGHT(YEAR(GiftData[[#This Row],[Gift_Date]])+1, 2), RIGHT(YEAR(GiftData[[#This Row],[Gift_Date]]), 2))</f>
        <v>FY25</v>
      </c>
      <c r="K1027">
        <f>IF(COUNTIFS(GiftData[Constituent_ID], GiftData[[#This Row],[Constituent_ID]], GiftData[Fiscal_Year], "FY24")&gt;0, 1, 0)</f>
        <v>0</v>
      </c>
      <c r="L1027">
        <f>IF(COUNTIFS(GiftData[Constituent_ID], GiftData[[#This Row],[Constituent_ID]], GiftData[Fiscal_Year], "FY25")&gt;0, 1, 0)</f>
        <v>1</v>
      </c>
      <c r="M1027">
        <f>IF(COUNTIFS(GiftData[Constituent_ID], GiftData[[#This Row],[Constituent_ID]], GiftData[Fiscal_Year], "FY26")&gt;0, 1, 0)</f>
        <v>1</v>
      </c>
      <c r="N1027" t="str" cm="1">
        <f t="array" ref="N10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8" spans="1:14" x14ac:dyDescent="0.2">
      <c r="A1028" t="s">
        <v>1417</v>
      </c>
      <c r="B1028" t="s">
        <v>502</v>
      </c>
      <c r="C1028" t="s">
        <v>35</v>
      </c>
      <c r="D1028" s="1">
        <v>46012</v>
      </c>
      <c r="E1028">
        <v>110.07</v>
      </c>
      <c r="F1028" t="s">
        <v>25</v>
      </c>
      <c r="G1028" t="s">
        <v>13</v>
      </c>
      <c r="H1028" t="s">
        <v>14</v>
      </c>
      <c r="I1028" t="s">
        <v>15</v>
      </c>
      <c r="J1028" t="str">
        <f>"FY" &amp; IF(MONTH(GiftData[[#This Row],[Gift_Date]])&gt;=7, RIGHT(YEAR(GiftData[[#This Row],[Gift_Date]])+1, 2), RIGHT(YEAR(GiftData[[#This Row],[Gift_Date]]), 2))</f>
        <v>FY26</v>
      </c>
      <c r="K1028">
        <f>IF(COUNTIFS(GiftData[Constituent_ID], GiftData[[#This Row],[Constituent_ID]], GiftData[Fiscal_Year], "FY24")&gt;0, 1, 0)</f>
        <v>1</v>
      </c>
      <c r="L1028">
        <f>IF(COUNTIFS(GiftData[Constituent_ID], GiftData[[#This Row],[Constituent_ID]], GiftData[Fiscal_Year], "FY25")&gt;0, 1, 0)</f>
        <v>1</v>
      </c>
      <c r="M1028">
        <f>IF(COUNTIFS(GiftData[Constituent_ID], GiftData[[#This Row],[Constituent_ID]], GiftData[Fiscal_Year], "FY26")&gt;0, 1, 0)</f>
        <v>1</v>
      </c>
      <c r="N1028" t="str" cm="1">
        <f t="array" ref="N10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29" spans="1:14" x14ac:dyDescent="0.2">
      <c r="A1029" t="s">
        <v>1418</v>
      </c>
      <c r="B1029" t="s">
        <v>373</v>
      </c>
      <c r="C1029" t="s">
        <v>48</v>
      </c>
      <c r="D1029" s="1">
        <v>45666</v>
      </c>
      <c r="E1029">
        <v>24.96</v>
      </c>
      <c r="F1029" t="s">
        <v>12</v>
      </c>
      <c r="G1029" t="s">
        <v>13</v>
      </c>
      <c r="H1029" t="s">
        <v>20</v>
      </c>
      <c r="I1029" t="s">
        <v>15</v>
      </c>
      <c r="J1029" t="str">
        <f>"FY" &amp; IF(MONTH(GiftData[[#This Row],[Gift_Date]])&gt;=7, RIGHT(YEAR(GiftData[[#This Row],[Gift_Date]])+1, 2), RIGHT(YEAR(GiftData[[#This Row],[Gift_Date]]), 2))</f>
        <v>FY25</v>
      </c>
      <c r="K1029">
        <f>IF(COUNTIFS(GiftData[Constituent_ID], GiftData[[#This Row],[Constituent_ID]], GiftData[Fiscal_Year], "FY24")&gt;0, 1, 0)</f>
        <v>1</v>
      </c>
      <c r="L1029">
        <f>IF(COUNTIFS(GiftData[Constituent_ID], GiftData[[#This Row],[Constituent_ID]], GiftData[Fiscal_Year], "FY25")&gt;0, 1, 0)</f>
        <v>1</v>
      </c>
      <c r="M1029">
        <f>IF(COUNTIFS(GiftData[Constituent_ID], GiftData[[#This Row],[Constituent_ID]], GiftData[Fiscal_Year], "FY26")&gt;0, 1, 0)</f>
        <v>1</v>
      </c>
      <c r="N1029" t="str" cm="1">
        <f t="array" ref="N10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0" spans="1:14" x14ac:dyDescent="0.2">
      <c r="A1030" t="s">
        <v>1419</v>
      </c>
      <c r="B1030" t="s">
        <v>89</v>
      </c>
      <c r="C1030" t="s">
        <v>28</v>
      </c>
      <c r="D1030" s="1">
        <v>45345</v>
      </c>
      <c r="E1030">
        <v>48.56</v>
      </c>
      <c r="F1030" t="s">
        <v>12</v>
      </c>
      <c r="G1030" t="s">
        <v>13</v>
      </c>
      <c r="H1030" t="s">
        <v>51</v>
      </c>
      <c r="I1030" t="s">
        <v>15</v>
      </c>
      <c r="J1030" t="str">
        <f>"FY" &amp; IF(MONTH(GiftData[[#This Row],[Gift_Date]])&gt;=7, RIGHT(YEAR(GiftData[[#This Row],[Gift_Date]])+1, 2), RIGHT(YEAR(GiftData[[#This Row],[Gift_Date]]), 2))</f>
        <v>FY24</v>
      </c>
      <c r="K1030">
        <f>IF(COUNTIFS(GiftData[Constituent_ID], GiftData[[#This Row],[Constituent_ID]], GiftData[Fiscal_Year], "FY24")&gt;0, 1, 0)</f>
        <v>1</v>
      </c>
      <c r="L1030">
        <f>IF(COUNTIFS(GiftData[Constituent_ID], GiftData[[#This Row],[Constituent_ID]], GiftData[Fiscal_Year], "FY25")&gt;0, 1, 0)</f>
        <v>1</v>
      </c>
      <c r="M1030">
        <f>IF(COUNTIFS(GiftData[Constituent_ID], GiftData[[#This Row],[Constituent_ID]], GiftData[Fiscal_Year], "FY26")&gt;0, 1, 0)</f>
        <v>0</v>
      </c>
      <c r="N1030" t="str" cm="1">
        <f t="array" ref="N10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31" spans="1:14" x14ac:dyDescent="0.2">
      <c r="A1031" t="s">
        <v>1420</v>
      </c>
      <c r="B1031" t="s">
        <v>809</v>
      </c>
      <c r="C1031" t="s">
        <v>11</v>
      </c>
      <c r="D1031" s="1">
        <v>45661</v>
      </c>
      <c r="E1031">
        <v>450.52</v>
      </c>
      <c r="F1031" t="s">
        <v>59</v>
      </c>
      <c r="G1031" t="s">
        <v>13</v>
      </c>
      <c r="H1031" t="s">
        <v>14</v>
      </c>
      <c r="I1031" t="s">
        <v>56</v>
      </c>
      <c r="J1031" t="str">
        <f>"FY" &amp; IF(MONTH(GiftData[[#This Row],[Gift_Date]])&gt;=7, RIGHT(YEAR(GiftData[[#This Row],[Gift_Date]])+1, 2), RIGHT(YEAR(GiftData[[#This Row],[Gift_Date]]), 2))</f>
        <v>FY25</v>
      </c>
      <c r="K1031">
        <f>IF(COUNTIFS(GiftData[Constituent_ID], GiftData[[#This Row],[Constituent_ID]], GiftData[Fiscal_Year], "FY24")&gt;0, 1, 0)</f>
        <v>1</v>
      </c>
      <c r="L1031">
        <f>IF(COUNTIFS(GiftData[Constituent_ID], GiftData[[#This Row],[Constituent_ID]], GiftData[Fiscal_Year], "FY25")&gt;0, 1, 0)</f>
        <v>1</v>
      </c>
      <c r="M1031">
        <f>IF(COUNTIFS(GiftData[Constituent_ID], GiftData[[#This Row],[Constituent_ID]], GiftData[Fiscal_Year], "FY26")&gt;0, 1, 0)</f>
        <v>1</v>
      </c>
      <c r="N1031" t="str" cm="1">
        <f t="array" ref="N10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2" spans="1:14" x14ac:dyDescent="0.2">
      <c r="A1032" t="s">
        <v>1421</v>
      </c>
      <c r="B1032" t="s">
        <v>377</v>
      </c>
      <c r="C1032" t="s">
        <v>11</v>
      </c>
      <c r="D1032" s="1">
        <v>45935</v>
      </c>
      <c r="E1032">
        <v>141.37</v>
      </c>
      <c r="F1032" t="s">
        <v>12</v>
      </c>
      <c r="G1032" t="s">
        <v>13</v>
      </c>
      <c r="H1032" t="s">
        <v>20</v>
      </c>
      <c r="I1032" t="s">
        <v>15</v>
      </c>
      <c r="J1032" t="str">
        <f>"FY" &amp; IF(MONTH(GiftData[[#This Row],[Gift_Date]])&gt;=7, RIGHT(YEAR(GiftData[[#This Row],[Gift_Date]])+1, 2), RIGHT(YEAR(GiftData[[#This Row],[Gift_Date]]), 2))</f>
        <v>FY26</v>
      </c>
      <c r="K1032">
        <f>IF(COUNTIFS(GiftData[Constituent_ID], GiftData[[#This Row],[Constituent_ID]], GiftData[Fiscal_Year], "FY24")&gt;0, 1, 0)</f>
        <v>1</v>
      </c>
      <c r="L1032">
        <f>IF(COUNTIFS(GiftData[Constituent_ID], GiftData[[#This Row],[Constituent_ID]], GiftData[Fiscal_Year], "FY25")&gt;0, 1, 0)</f>
        <v>0</v>
      </c>
      <c r="M1032">
        <f>IF(COUNTIFS(GiftData[Constituent_ID], GiftData[[#This Row],[Constituent_ID]], GiftData[Fiscal_Year], "FY26")&gt;0, 1, 0)</f>
        <v>1</v>
      </c>
      <c r="N1032" t="str" cm="1">
        <f t="array" ref="N10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3" spans="1:14" x14ac:dyDescent="0.2">
      <c r="A1033" t="s">
        <v>1422</v>
      </c>
      <c r="B1033" t="s">
        <v>725</v>
      </c>
      <c r="C1033" t="s">
        <v>18</v>
      </c>
      <c r="D1033" s="1">
        <v>45575</v>
      </c>
      <c r="E1033">
        <v>106.55</v>
      </c>
      <c r="F1033" t="s">
        <v>59</v>
      </c>
      <c r="G1033" t="s">
        <v>29</v>
      </c>
      <c r="H1033" t="s">
        <v>51</v>
      </c>
      <c r="I1033" t="s">
        <v>38</v>
      </c>
      <c r="J1033" t="str">
        <f>"FY" &amp; IF(MONTH(GiftData[[#This Row],[Gift_Date]])&gt;=7, RIGHT(YEAR(GiftData[[#This Row],[Gift_Date]])+1, 2), RIGHT(YEAR(GiftData[[#This Row],[Gift_Date]]), 2))</f>
        <v>FY25</v>
      </c>
      <c r="K1033">
        <f>IF(COUNTIFS(GiftData[Constituent_ID], GiftData[[#This Row],[Constituent_ID]], GiftData[Fiscal_Year], "FY24")&gt;0, 1, 0)</f>
        <v>1</v>
      </c>
      <c r="L1033">
        <f>IF(COUNTIFS(GiftData[Constituent_ID], GiftData[[#This Row],[Constituent_ID]], GiftData[Fiscal_Year], "FY25")&gt;0, 1, 0)</f>
        <v>1</v>
      </c>
      <c r="M1033">
        <f>IF(COUNTIFS(GiftData[Constituent_ID], GiftData[[#This Row],[Constituent_ID]], GiftData[Fiscal_Year], "FY26")&gt;0, 1, 0)</f>
        <v>0</v>
      </c>
      <c r="N1033" t="str" cm="1">
        <f t="array" ref="N10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34" spans="1:14" x14ac:dyDescent="0.2">
      <c r="A1034" t="s">
        <v>1423</v>
      </c>
      <c r="B1034" t="s">
        <v>214</v>
      </c>
      <c r="C1034" t="s">
        <v>35</v>
      </c>
      <c r="D1034" s="1">
        <v>45493</v>
      </c>
      <c r="E1034">
        <v>182.54</v>
      </c>
      <c r="F1034" t="s">
        <v>12</v>
      </c>
      <c r="G1034" t="s">
        <v>13</v>
      </c>
      <c r="H1034" t="s">
        <v>51</v>
      </c>
      <c r="I1034" t="s">
        <v>15</v>
      </c>
      <c r="J1034" t="str">
        <f>"FY" &amp; IF(MONTH(GiftData[[#This Row],[Gift_Date]])&gt;=7, RIGHT(YEAR(GiftData[[#This Row],[Gift_Date]])+1, 2), RIGHT(YEAR(GiftData[[#This Row],[Gift_Date]]), 2))</f>
        <v>FY25</v>
      </c>
      <c r="K1034">
        <f>IF(COUNTIFS(GiftData[Constituent_ID], GiftData[[#This Row],[Constituent_ID]], GiftData[Fiscal_Year], "FY24")&gt;0, 1, 0)</f>
        <v>0</v>
      </c>
      <c r="L1034">
        <f>IF(COUNTIFS(GiftData[Constituent_ID], GiftData[[#This Row],[Constituent_ID]], GiftData[Fiscal_Year], "FY25")&gt;0, 1, 0)</f>
        <v>1</v>
      </c>
      <c r="M1034">
        <f>IF(COUNTIFS(GiftData[Constituent_ID], GiftData[[#This Row],[Constituent_ID]], GiftData[Fiscal_Year], "FY26")&gt;0, 1, 0)</f>
        <v>1</v>
      </c>
      <c r="N1034" t="str" cm="1">
        <f t="array" ref="N10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5" spans="1:14" x14ac:dyDescent="0.2">
      <c r="A1035" t="s">
        <v>1424</v>
      </c>
      <c r="B1035" t="s">
        <v>109</v>
      </c>
      <c r="C1035" t="s">
        <v>18</v>
      </c>
      <c r="D1035" s="1">
        <v>45882</v>
      </c>
      <c r="E1035">
        <v>115.7</v>
      </c>
      <c r="F1035" t="s">
        <v>25</v>
      </c>
      <c r="G1035" t="s">
        <v>29</v>
      </c>
      <c r="H1035" t="s">
        <v>14</v>
      </c>
      <c r="I1035" t="s">
        <v>15</v>
      </c>
      <c r="J1035" t="str">
        <f>"FY" &amp; IF(MONTH(GiftData[[#This Row],[Gift_Date]])&gt;=7, RIGHT(YEAR(GiftData[[#This Row],[Gift_Date]])+1, 2), RIGHT(YEAR(GiftData[[#This Row],[Gift_Date]]), 2))</f>
        <v>FY26</v>
      </c>
      <c r="K1035">
        <f>IF(COUNTIFS(GiftData[Constituent_ID], GiftData[[#This Row],[Constituent_ID]], GiftData[Fiscal_Year], "FY24")&gt;0, 1, 0)</f>
        <v>1</v>
      </c>
      <c r="L1035">
        <f>IF(COUNTIFS(GiftData[Constituent_ID], GiftData[[#This Row],[Constituent_ID]], GiftData[Fiscal_Year], "FY25")&gt;0, 1, 0)</f>
        <v>1</v>
      </c>
      <c r="M1035">
        <f>IF(COUNTIFS(GiftData[Constituent_ID], GiftData[[#This Row],[Constituent_ID]], GiftData[Fiscal_Year], "FY26")&gt;0, 1, 0)</f>
        <v>1</v>
      </c>
      <c r="N1035" t="str" cm="1">
        <f t="array" ref="N10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6" spans="1:14" x14ac:dyDescent="0.2">
      <c r="A1036" t="s">
        <v>1425</v>
      </c>
      <c r="B1036" t="s">
        <v>375</v>
      </c>
      <c r="C1036" t="s">
        <v>35</v>
      </c>
      <c r="D1036" s="1">
        <v>45955</v>
      </c>
      <c r="E1036">
        <v>906.35</v>
      </c>
      <c r="F1036" t="s">
        <v>12</v>
      </c>
      <c r="G1036" t="s">
        <v>13</v>
      </c>
      <c r="H1036" t="s">
        <v>51</v>
      </c>
      <c r="I1036" t="s">
        <v>15</v>
      </c>
      <c r="J1036" t="str">
        <f>"FY" &amp; IF(MONTH(GiftData[[#This Row],[Gift_Date]])&gt;=7, RIGHT(YEAR(GiftData[[#This Row],[Gift_Date]])+1, 2), RIGHT(YEAR(GiftData[[#This Row],[Gift_Date]]), 2))</f>
        <v>FY26</v>
      </c>
      <c r="K1036">
        <f>IF(COUNTIFS(GiftData[Constituent_ID], GiftData[[#This Row],[Constituent_ID]], GiftData[Fiscal_Year], "FY24")&gt;0, 1, 0)</f>
        <v>1</v>
      </c>
      <c r="L1036">
        <f>IF(COUNTIFS(GiftData[Constituent_ID], GiftData[[#This Row],[Constituent_ID]], GiftData[Fiscal_Year], "FY25")&gt;0, 1, 0)</f>
        <v>0</v>
      </c>
      <c r="M1036">
        <f>IF(COUNTIFS(GiftData[Constituent_ID], GiftData[[#This Row],[Constituent_ID]], GiftData[Fiscal_Year], "FY26")&gt;0, 1, 0)</f>
        <v>1</v>
      </c>
      <c r="N1036" t="str" cm="1">
        <f t="array" ref="N10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7" spans="1:14" x14ac:dyDescent="0.2">
      <c r="A1037" t="s">
        <v>1426</v>
      </c>
      <c r="B1037" t="s">
        <v>609</v>
      </c>
      <c r="C1037" t="s">
        <v>18</v>
      </c>
      <c r="D1037" s="1">
        <v>45494</v>
      </c>
      <c r="E1037">
        <v>45.88</v>
      </c>
      <c r="F1037" t="s">
        <v>25</v>
      </c>
      <c r="G1037" t="s">
        <v>13</v>
      </c>
      <c r="H1037" t="s">
        <v>51</v>
      </c>
      <c r="I1037" t="s">
        <v>56</v>
      </c>
      <c r="J1037" t="str">
        <f>"FY" &amp; IF(MONTH(GiftData[[#This Row],[Gift_Date]])&gt;=7, RIGHT(YEAR(GiftData[[#This Row],[Gift_Date]])+1, 2), RIGHT(YEAR(GiftData[[#This Row],[Gift_Date]]), 2))</f>
        <v>FY25</v>
      </c>
      <c r="K1037">
        <f>IF(COUNTIFS(GiftData[Constituent_ID], GiftData[[#This Row],[Constituent_ID]], GiftData[Fiscal_Year], "FY24")&gt;0, 1, 0)</f>
        <v>1</v>
      </c>
      <c r="L1037">
        <f>IF(COUNTIFS(GiftData[Constituent_ID], GiftData[[#This Row],[Constituent_ID]], GiftData[Fiscal_Year], "FY25")&gt;0, 1, 0)</f>
        <v>1</v>
      </c>
      <c r="M1037">
        <f>IF(COUNTIFS(GiftData[Constituent_ID], GiftData[[#This Row],[Constituent_ID]], GiftData[Fiscal_Year], "FY26")&gt;0, 1, 0)</f>
        <v>1</v>
      </c>
      <c r="N1037" t="str" cm="1">
        <f t="array" ref="N10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8" spans="1:14" x14ac:dyDescent="0.2">
      <c r="A1038" t="s">
        <v>1427</v>
      </c>
      <c r="B1038" t="s">
        <v>103</v>
      </c>
      <c r="C1038" t="s">
        <v>18</v>
      </c>
      <c r="D1038" s="1">
        <v>45984</v>
      </c>
      <c r="E1038">
        <v>39.520000000000003</v>
      </c>
      <c r="F1038" t="s">
        <v>25</v>
      </c>
      <c r="G1038" t="s">
        <v>13</v>
      </c>
      <c r="H1038" t="s">
        <v>14</v>
      </c>
      <c r="I1038" t="s">
        <v>15</v>
      </c>
      <c r="J1038" t="str">
        <f>"FY" &amp; IF(MONTH(GiftData[[#This Row],[Gift_Date]])&gt;=7, RIGHT(YEAR(GiftData[[#This Row],[Gift_Date]])+1, 2), RIGHT(YEAR(GiftData[[#This Row],[Gift_Date]]), 2))</f>
        <v>FY26</v>
      </c>
      <c r="K1038">
        <f>IF(COUNTIFS(GiftData[Constituent_ID], GiftData[[#This Row],[Constituent_ID]], GiftData[Fiscal_Year], "FY24")&gt;0, 1, 0)</f>
        <v>1</v>
      </c>
      <c r="L1038">
        <f>IF(COUNTIFS(GiftData[Constituent_ID], GiftData[[#This Row],[Constituent_ID]], GiftData[Fiscal_Year], "FY25")&gt;0, 1, 0)</f>
        <v>1</v>
      </c>
      <c r="M1038">
        <f>IF(COUNTIFS(GiftData[Constituent_ID], GiftData[[#This Row],[Constituent_ID]], GiftData[Fiscal_Year], "FY26")&gt;0, 1, 0)</f>
        <v>1</v>
      </c>
      <c r="N1038" t="str" cm="1">
        <f t="array" ref="N10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39" spans="1:14" x14ac:dyDescent="0.2">
      <c r="A1039" t="s">
        <v>1428</v>
      </c>
      <c r="B1039" t="s">
        <v>379</v>
      </c>
      <c r="C1039" t="s">
        <v>11</v>
      </c>
      <c r="D1039" s="1">
        <v>45366</v>
      </c>
      <c r="E1039">
        <v>20.12</v>
      </c>
      <c r="F1039" t="s">
        <v>12</v>
      </c>
      <c r="G1039" t="s">
        <v>13</v>
      </c>
      <c r="H1039" t="s">
        <v>20</v>
      </c>
      <c r="I1039" t="s">
        <v>15</v>
      </c>
      <c r="J1039" t="str">
        <f>"FY" &amp; IF(MONTH(GiftData[[#This Row],[Gift_Date]])&gt;=7, RIGHT(YEAR(GiftData[[#This Row],[Gift_Date]])+1, 2), RIGHT(YEAR(GiftData[[#This Row],[Gift_Date]]), 2))</f>
        <v>FY24</v>
      </c>
      <c r="K1039">
        <f>IF(COUNTIFS(GiftData[Constituent_ID], GiftData[[#This Row],[Constituent_ID]], GiftData[Fiscal_Year], "FY24")&gt;0, 1, 0)</f>
        <v>1</v>
      </c>
      <c r="L1039">
        <f>IF(COUNTIFS(GiftData[Constituent_ID], GiftData[[#This Row],[Constituent_ID]], GiftData[Fiscal_Year], "FY25")&gt;0, 1, 0)</f>
        <v>1</v>
      </c>
      <c r="M1039">
        <f>IF(COUNTIFS(GiftData[Constituent_ID], GiftData[[#This Row],[Constituent_ID]], GiftData[Fiscal_Year], "FY26")&gt;0, 1, 0)</f>
        <v>1</v>
      </c>
      <c r="N1039" t="str" cm="1">
        <f t="array" ref="N10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0" spans="1:14" x14ac:dyDescent="0.2">
      <c r="A1040" t="s">
        <v>1429</v>
      </c>
      <c r="B1040" t="s">
        <v>802</v>
      </c>
      <c r="C1040" t="s">
        <v>28</v>
      </c>
      <c r="D1040" s="1">
        <v>45390</v>
      </c>
      <c r="E1040">
        <v>60.22</v>
      </c>
      <c r="F1040" t="s">
        <v>12</v>
      </c>
      <c r="G1040" t="s">
        <v>13</v>
      </c>
      <c r="H1040" t="s">
        <v>20</v>
      </c>
      <c r="I1040" t="s">
        <v>15</v>
      </c>
      <c r="J1040" t="str">
        <f>"FY" &amp; IF(MONTH(GiftData[[#This Row],[Gift_Date]])&gt;=7, RIGHT(YEAR(GiftData[[#This Row],[Gift_Date]])+1, 2), RIGHT(YEAR(GiftData[[#This Row],[Gift_Date]]), 2))</f>
        <v>FY24</v>
      </c>
      <c r="K1040">
        <f>IF(COUNTIFS(GiftData[Constituent_ID], GiftData[[#This Row],[Constituent_ID]], GiftData[Fiscal_Year], "FY24")&gt;0, 1, 0)</f>
        <v>1</v>
      </c>
      <c r="L1040">
        <f>IF(COUNTIFS(GiftData[Constituent_ID], GiftData[[#This Row],[Constituent_ID]], GiftData[Fiscal_Year], "FY25")&gt;0, 1, 0)</f>
        <v>1</v>
      </c>
      <c r="M1040">
        <f>IF(COUNTIFS(GiftData[Constituent_ID], GiftData[[#This Row],[Constituent_ID]], GiftData[Fiscal_Year], "FY26")&gt;0, 1, 0)</f>
        <v>1</v>
      </c>
      <c r="N1040" t="str" cm="1">
        <f t="array" ref="N10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1" spans="1:14" x14ac:dyDescent="0.2">
      <c r="A1041" t="s">
        <v>1430</v>
      </c>
      <c r="B1041" t="s">
        <v>1044</v>
      </c>
      <c r="C1041" t="s">
        <v>18</v>
      </c>
      <c r="D1041" s="1">
        <v>45147</v>
      </c>
      <c r="E1041">
        <v>29.38</v>
      </c>
      <c r="F1041" t="s">
        <v>12</v>
      </c>
      <c r="G1041" t="s">
        <v>29</v>
      </c>
      <c r="H1041" t="s">
        <v>14</v>
      </c>
      <c r="I1041" t="s">
        <v>56</v>
      </c>
      <c r="J1041" t="str">
        <f>"FY" &amp; IF(MONTH(GiftData[[#This Row],[Gift_Date]])&gt;=7, RIGHT(YEAR(GiftData[[#This Row],[Gift_Date]])+1, 2), RIGHT(YEAR(GiftData[[#This Row],[Gift_Date]]), 2))</f>
        <v>FY24</v>
      </c>
      <c r="K1041">
        <f>IF(COUNTIFS(GiftData[Constituent_ID], GiftData[[#This Row],[Constituent_ID]], GiftData[Fiscal_Year], "FY24")&gt;0, 1, 0)</f>
        <v>1</v>
      </c>
      <c r="L1041">
        <f>IF(COUNTIFS(GiftData[Constituent_ID], GiftData[[#This Row],[Constituent_ID]], GiftData[Fiscal_Year], "FY25")&gt;0, 1, 0)</f>
        <v>0</v>
      </c>
      <c r="M1041">
        <f>IF(COUNTIFS(GiftData[Constituent_ID], GiftData[[#This Row],[Constituent_ID]], GiftData[Fiscal_Year], "FY26")&gt;0, 1, 0)</f>
        <v>0</v>
      </c>
      <c r="N1041" t="str" cm="1">
        <f t="array" ref="N10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042" spans="1:14" x14ac:dyDescent="0.2">
      <c r="A1042" t="s">
        <v>1431</v>
      </c>
      <c r="B1042" t="s">
        <v>226</v>
      </c>
      <c r="C1042" t="s">
        <v>11</v>
      </c>
      <c r="D1042" s="1">
        <v>45593</v>
      </c>
      <c r="E1042">
        <v>161.34</v>
      </c>
      <c r="F1042" t="s">
        <v>12</v>
      </c>
      <c r="G1042" t="s">
        <v>29</v>
      </c>
      <c r="H1042" t="s">
        <v>20</v>
      </c>
      <c r="I1042" t="s">
        <v>15</v>
      </c>
      <c r="J1042" t="str">
        <f>"FY" &amp; IF(MONTH(GiftData[[#This Row],[Gift_Date]])&gt;=7, RIGHT(YEAR(GiftData[[#This Row],[Gift_Date]])+1, 2), RIGHT(YEAR(GiftData[[#This Row],[Gift_Date]]), 2))</f>
        <v>FY25</v>
      </c>
      <c r="K1042">
        <f>IF(COUNTIFS(GiftData[Constituent_ID], GiftData[[#This Row],[Constituent_ID]], GiftData[Fiscal_Year], "FY24")&gt;0, 1, 0)</f>
        <v>1</v>
      </c>
      <c r="L1042">
        <f>IF(COUNTIFS(GiftData[Constituent_ID], GiftData[[#This Row],[Constituent_ID]], GiftData[Fiscal_Year], "FY25")&gt;0, 1, 0)</f>
        <v>1</v>
      </c>
      <c r="M1042">
        <f>IF(COUNTIFS(GiftData[Constituent_ID], GiftData[[#This Row],[Constituent_ID]], GiftData[Fiscal_Year], "FY26")&gt;0, 1, 0)</f>
        <v>1</v>
      </c>
      <c r="N1042" t="str" cm="1">
        <f t="array" ref="N10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3" spans="1:14" x14ac:dyDescent="0.2">
      <c r="A1043" t="s">
        <v>1432</v>
      </c>
      <c r="B1043" t="s">
        <v>948</v>
      </c>
      <c r="C1043" t="s">
        <v>11</v>
      </c>
      <c r="D1043" s="1">
        <v>46036</v>
      </c>
      <c r="E1043">
        <v>124.86</v>
      </c>
      <c r="F1043" t="s">
        <v>25</v>
      </c>
      <c r="G1043" t="s">
        <v>29</v>
      </c>
      <c r="H1043" t="s">
        <v>164</v>
      </c>
      <c r="I1043" t="s">
        <v>15</v>
      </c>
      <c r="J1043" t="str">
        <f>"FY" &amp; IF(MONTH(GiftData[[#This Row],[Gift_Date]])&gt;=7, RIGHT(YEAR(GiftData[[#This Row],[Gift_Date]])+1, 2), RIGHT(YEAR(GiftData[[#This Row],[Gift_Date]]), 2))</f>
        <v>FY26</v>
      </c>
      <c r="K1043">
        <f>IF(COUNTIFS(GiftData[Constituent_ID], GiftData[[#This Row],[Constituent_ID]], GiftData[Fiscal_Year], "FY24")&gt;0, 1, 0)</f>
        <v>1</v>
      </c>
      <c r="L1043">
        <f>IF(COUNTIFS(GiftData[Constituent_ID], GiftData[[#This Row],[Constituent_ID]], GiftData[Fiscal_Year], "FY25")&gt;0, 1, 0)</f>
        <v>1</v>
      </c>
      <c r="M1043">
        <f>IF(COUNTIFS(GiftData[Constituent_ID], GiftData[[#This Row],[Constituent_ID]], GiftData[Fiscal_Year], "FY26")&gt;0, 1, 0)</f>
        <v>1</v>
      </c>
      <c r="N1043" t="str" cm="1">
        <f t="array" ref="N10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4" spans="1:14" x14ac:dyDescent="0.2">
      <c r="A1044" t="s">
        <v>1433</v>
      </c>
      <c r="B1044" t="s">
        <v>71</v>
      </c>
      <c r="C1044" t="s">
        <v>18</v>
      </c>
      <c r="D1044" s="1">
        <v>45327</v>
      </c>
      <c r="E1044">
        <v>29.88</v>
      </c>
      <c r="F1044" t="s">
        <v>59</v>
      </c>
      <c r="G1044" t="s">
        <v>13</v>
      </c>
      <c r="H1044" t="s">
        <v>41</v>
      </c>
      <c r="I1044" t="s">
        <v>15</v>
      </c>
      <c r="J1044" t="str">
        <f>"FY" &amp; IF(MONTH(GiftData[[#This Row],[Gift_Date]])&gt;=7, RIGHT(YEAR(GiftData[[#This Row],[Gift_Date]])+1, 2), RIGHT(YEAR(GiftData[[#This Row],[Gift_Date]]), 2))</f>
        <v>FY24</v>
      </c>
      <c r="K1044">
        <f>IF(COUNTIFS(GiftData[Constituent_ID], GiftData[[#This Row],[Constituent_ID]], GiftData[Fiscal_Year], "FY24")&gt;0, 1, 0)</f>
        <v>1</v>
      </c>
      <c r="L1044">
        <f>IF(COUNTIFS(GiftData[Constituent_ID], GiftData[[#This Row],[Constituent_ID]], GiftData[Fiscal_Year], "FY25")&gt;0, 1, 0)</f>
        <v>1</v>
      </c>
      <c r="M1044">
        <f>IF(COUNTIFS(GiftData[Constituent_ID], GiftData[[#This Row],[Constituent_ID]], GiftData[Fiscal_Year], "FY26")&gt;0, 1, 0)</f>
        <v>1</v>
      </c>
      <c r="N1044" t="str" cm="1">
        <f t="array" ref="N10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5" spans="1:14" x14ac:dyDescent="0.2">
      <c r="A1045" t="s">
        <v>1434</v>
      </c>
      <c r="B1045" t="s">
        <v>400</v>
      </c>
      <c r="C1045" t="s">
        <v>18</v>
      </c>
      <c r="D1045" s="1">
        <v>46122</v>
      </c>
      <c r="E1045">
        <v>261.36</v>
      </c>
      <c r="F1045" t="s">
        <v>12</v>
      </c>
      <c r="G1045" t="s">
        <v>29</v>
      </c>
      <c r="H1045" t="s">
        <v>41</v>
      </c>
      <c r="I1045" t="s">
        <v>30</v>
      </c>
      <c r="J1045" t="str">
        <f>"FY" &amp; IF(MONTH(GiftData[[#This Row],[Gift_Date]])&gt;=7, RIGHT(YEAR(GiftData[[#This Row],[Gift_Date]])+1, 2), RIGHT(YEAR(GiftData[[#This Row],[Gift_Date]]), 2))</f>
        <v>FY26</v>
      </c>
      <c r="K1045">
        <f>IF(COUNTIFS(GiftData[Constituent_ID], GiftData[[#This Row],[Constituent_ID]], GiftData[Fiscal_Year], "FY24")&gt;0, 1, 0)</f>
        <v>0</v>
      </c>
      <c r="L1045">
        <f>IF(COUNTIFS(GiftData[Constituent_ID], GiftData[[#This Row],[Constituent_ID]], GiftData[Fiscal_Year], "FY25")&gt;0, 1, 0)</f>
        <v>1</v>
      </c>
      <c r="M1045">
        <f>IF(COUNTIFS(GiftData[Constituent_ID], GiftData[[#This Row],[Constituent_ID]], GiftData[Fiscal_Year], "FY26")&gt;0, 1, 0)</f>
        <v>1</v>
      </c>
      <c r="N1045" t="str" cm="1">
        <f t="array" ref="N10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6" spans="1:14" x14ac:dyDescent="0.2">
      <c r="A1046" t="s">
        <v>1435</v>
      </c>
      <c r="B1046" t="s">
        <v>1278</v>
      </c>
      <c r="C1046" t="s">
        <v>35</v>
      </c>
      <c r="D1046" s="1">
        <v>46131</v>
      </c>
      <c r="E1046">
        <v>872.93</v>
      </c>
      <c r="F1046" t="s">
        <v>25</v>
      </c>
      <c r="G1046" t="s">
        <v>13</v>
      </c>
      <c r="H1046" t="s">
        <v>164</v>
      </c>
      <c r="I1046" t="s">
        <v>56</v>
      </c>
      <c r="J1046" t="str">
        <f>"FY" &amp; IF(MONTH(GiftData[[#This Row],[Gift_Date]])&gt;=7, RIGHT(YEAR(GiftData[[#This Row],[Gift_Date]])+1, 2), RIGHT(YEAR(GiftData[[#This Row],[Gift_Date]]), 2))</f>
        <v>FY26</v>
      </c>
      <c r="K1046">
        <f>IF(COUNTIFS(GiftData[Constituent_ID], GiftData[[#This Row],[Constituent_ID]], GiftData[Fiscal_Year], "FY24")&gt;0, 1, 0)</f>
        <v>1</v>
      </c>
      <c r="L1046">
        <f>IF(COUNTIFS(GiftData[Constituent_ID], GiftData[[#This Row],[Constituent_ID]], GiftData[Fiscal_Year], "FY25")&gt;0, 1, 0)</f>
        <v>0</v>
      </c>
      <c r="M1046">
        <f>IF(COUNTIFS(GiftData[Constituent_ID], GiftData[[#This Row],[Constituent_ID]], GiftData[Fiscal_Year], "FY26")&gt;0, 1, 0)</f>
        <v>1</v>
      </c>
      <c r="N1046" t="str" cm="1">
        <f t="array" ref="N10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7" spans="1:14" x14ac:dyDescent="0.2">
      <c r="A1047" t="s">
        <v>1436</v>
      </c>
      <c r="B1047" t="s">
        <v>298</v>
      </c>
      <c r="C1047" t="s">
        <v>11</v>
      </c>
      <c r="D1047" s="1">
        <v>45720</v>
      </c>
      <c r="E1047">
        <v>193.48</v>
      </c>
      <c r="F1047" t="s">
        <v>59</v>
      </c>
      <c r="G1047" t="s">
        <v>13</v>
      </c>
      <c r="H1047" t="s">
        <v>51</v>
      </c>
      <c r="I1047" t="s">
        <v>38</v>
      </c>
      <c r="J1047" t="str">
        <f>"FY" &amp; IF(MONTH(GiftData[[#This Row],[Gift_Date]])&gt;=7, RIGHT(YEAR(GiftData[[#This Row],[Gift_Date]])+1, 2), RIGHT(YEAR(GiftData[[#This Row],[Gift_Date]]), 2))</f>
        <v>FY25</v>
      </c>
      <c r="K1047">
        <f>IF(COUNTIFS(GiftData[Constituent_ID], GiftData[[#This Row],[Constituent_ID]], GiftData[Fiscal_Year], "FY24")&gt;0, 1, 0)</f>
        <v>1</v>
      </c>
      <c r="L1047">
        <f>IF(COUNTIFS(GiftData[Constituent_ID], GiftData[[#This Row],[Constituent_ID]], GiftData[Fiscal_Year], "FY25")&gt;0, 1, 0)</f>
        <v>1</v>
      </c>
      <c r="M1047">
        <f>IF(COUNTIFS(GiftData[Constituent_ID], GiftData[[#This Row],[Constituent_ID]], GiftData[Fiscal_Year], "FY26")&gt;0, 1, 0)</f>
        <v>1</v>
      </c>
      <c r="N1047" t="str" cm="1">
        <f t="array" ref="N10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8" spans="1:14" x14ac:dyDescent="0.2">
      <c r="A1048" t="s">
        <v>1437</v>
      </c>
      <c r="B1048" t="s">
        <v>705</v>
      </c>
      <c r="C1048" t="s">
        <v>18</v>
      </c>
      <c r="D1048" s="1">
        <v>46035</v>
      </c>
      <c r="E1048">
        <v>15</v>
      </c>
      <c r="F1048" t="s">
        <v>12</v>
      </c>
      <c r="G1048" t="s">
        <v>13</v>
      </c>
      <c r="H1048" t="s">
        <v>20</v>
      </c>
      <c r="I1048" t="s">
        <v>15</v>
      </c>
      <c r="J1048" t="str">
        <f>"FY" &amp; IF(MONTH(GiftData[[#This Row],[Gift_Date]])&gt;=7, RIGHT(YEAR(GiftData[[#This Row],[Gift_Date]])+1, 2), RIGHT(YEAR(GiftData[[#This Row],[Gift_Date]]), 2))</f>
        <v>FY26</v>
      </c>
      <c r="K1048">
        <f>IF(COUNTIFS(GiftData[Constituent_ID], GiftData[[#This Row],[Constituent_ID]], GiftData[Fiscal_Year], "FY24")&gt;0, 1, 0)</f>
        <v>0</v>
      </c>
      <c r="L1048">
        <f>IF(COUNTIFS(GiftData[Constituent_ID], GiftData[[#This Row],[Constituent_ID]], GiftData[Fiscal_Year], "FY25")&gt;0, 1, 0)</f>
        <v>1</v>
      </c>
      <c r="M1048">
        <f>IF(COUNTIFS(GiftData[Constituent_ID], GiftData[[#This Row],[Constituent_ID]], GiftData[Fiscal_Year], "FY26")&gt;0, 1, 0)</f>
        <v>1</v>
      </c>
      <c r="N1048" t="str" cm="1">
        <f t="array" ref="N10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49" spans="1:14" x14ac:dyDescent="0.2">
      <c r="A1049" t="s">
        <v>1438</v>
      </c>
      <c r="B1049" t="s">
        <v>393</v>
      </c>
      <c r="C1049" t="s">
        <v>35</v>
      </c>
      <c r="D1049" s="1">
        <v>45795</v>
      </c>
      <c r="E1049">
        <v>1608.84</v>
      </c>
      <c r="F1049" t="s">
        <v>25</v>
      </c>
      <c r="G1049" t="s">
        <v>13</v>
      </c>
      <c r="H1049" t="s">
        <v>20</v>
      </c>
      <c r="I1049" t="s">
        <v>15</v>
      </c>
      <c r="J1049" t="str">
        <f>"FY" &amp; IF(MONTH(GiftData[[#This Row],[Gift_Date]])&gt;=7, RIGHT(YEAR(GiftData[[#This Row],[Gift_Date]])+1, 2), RIGHT(YEAR(GiftData[[#This Row],[Gift_Date]]), 2))</f>
        <v>FY25</v>
      </c>
      <c r="K1049">
        <f>IF(COUNTIFS(GiftData[Constituent_ID], GiftData[[#This Row],[Constituent_ID]], GiftData[Fiscal_Year], "FY24")&gt;0, 1, 0)</f>
        <v>1</v>
      </c>
      <c r="L1049">
        <f>IF(COUNTIFS(GiftData[Constituent_ID], GiftData[[#This Row],[Constituent_ID]], GiftData[Fiscal_Year], "FY25")&gt;0, 1, 0)</f>
        <v>1</v>
      </c>
      <c r="M1049">
        <f>IF(COUNTIFS(GiftData[Constituent_ID], GiftData[[#This Row],[Constituent_ID]], GiftData[Fiscal_Year], "FY26")&gt;0, 1, 0)</f>
        <v>1</v>
      </c>
      <c r="N1049" t="str" cm="1">
        <f t="array" ref="N10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0" spans="1:14" x14ac:dyDescent="0.2">
      <c r="A1050" t="s">
        <v>1439</v>
      </c>
      <c r="B1050" t="s">
        <v>535</v>
      </c>
      <c r="C1050" t="s">
        <v>48</v>
      </c>
      <c r="D1050" s="1">
        <v>45720</v>
      </c>
      <c r="E1050">
        <v>320.86</v>
      </c>
      <c r="F1050" t="s">
        <v>59</v>
      </c>
      <c r="G1050" t="s">
        <v>13</v>
      </c>
      <c r="H1050" t="s">
        <v>41</v>
      </c>
      <c r="I1050" t="s">
        <v>56</v>
      </c>
      <c r="J1050" t="str">
        <f>"FY" &amp; IF(MONTH(GiftData[[#This Row],[Gift_Date]])&gt;=7, RIGHT(YEAR(GiftData[[#This Row],[Gift_Date]])+1, 2), RIGHT(YEAR(GiftData[[#This Row],[Gift_Date]]), 2))</f>
        <v>FY25</v>
      </c>
      <c r="K1050">
        <f>IF(COUNTIFS(GiftData[Constituent_ID], GiftData[[#This Row],[Constituent_ID]], GiftData[Fiscal_Year], "FY24")&gt;0, 1, 0)</f>
        <v>1</v>
      </c>
      <c r="L1050">
        <f>IF(COUNTIFS(GiftData[Constituent_ID], GiftData[[#This Row],[Constituent_ID]], GiftData[Fiscal_Year], "FY25")&gt;0, 1, 0)</f>
        <v>1</v>
      </c>
      <c r="M1050">
        <f>IF(COUNTIFS(GiftData[Constituent_ID], GiftData[[#This Row],[Constituent_ID]], GiftData[Fiscal_Year], "FY26")&gt;0, 1, 0)</f>
        <v>1</v>
      </c>
      <c r="N1050" t="str" cm="1">
        <f t="array" ref="N10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1" spans="1:14" x14ac:dyDescent="0.2">
      <c r="A1051" t="s">
        <v>1440</v>
      </c>
      <c r="B1051" t="s">
        <v>1191</v>
      </c>
      <c r="C1051" t="s">
        <v>28</v>
      </c>
      <c r="D1051" s="1">
        <v>45367</v>
      </c>
      <c r="E1051">
        <v>1545.87</v>
      </c>
      <c r="F1051" t="s">
        <v>12</v>
      </c>
      <c r="G1051" t="s">
        <v>13</v>
      </c>
      <c r="H1051" t="s">
        <v>14</v>
      </c>
      <c r="I1051" t="s">
        <v>15</v>
      </c>
      <c r="J1051" t="str">
        <f>"FY" &amp; IF(MONTH(GiftData[[#This Row],[Gift_Date]])&gt;=7, RIGHT(YEAR(GiftData[[#This Row],[Gift_Date]])+1, 2), RIGHT(YEAR(GiftData[[#This Row],[Gift_Date]]), 2))</f>
        <v>FY24</v>
      </c>
      <c r="K1051">
        <f>IF(COUNTIFS(GiftData[Constituent_ID], GiftData[[#This Row],[Constituent_ID]], GiftData[Fiscal_Year], "FY24")&gt;0, 1, 0)</f>
        <v>1</v>
      </c>
      <c r="L1051">
        <f>IF(COUNTIFS(GiftData[Constituent_ID], GiftData[[#This Row],[Constituent_ID]], GiftData[Fiscal_Year], "FY25")&gt;0, 1, 0)</f>
        <v>1</v>
      </c>
      <c r="M1051">
        <f>IF(COUNTIFS(GiftData[Constituent_ID], GiftData[[#This Row],[Constituent_ID]], GiftData[Fiscal_Year], "FY26")&gt;0, 1, 0)</f>
        <v>0</v>
      </c>
      <c r="N1051" t="str" cm="1">
        <f t="array" ref="N10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52" spans="1:14" x14ac:dyDescent="0.2">
      <c r="A1052" t="s">
        <v>1441</v>
      </c>
      <c r="B1052" t="s">
        <v>32</v>
      </c>
      <c r="C1052" t="s">
        <v>11</v>
      </c>
      <c r="D1052" s="1">
        <v>46097</v>
      </c>
      <c r="E1052">
        <v>501.67</v>
      </c>
      <c r="F1052" t="s">
        <v>12</v>
      </c>
      <c r="G1052" t="s">
        <v>29</v>
      </c>
      <c r="H1052" t="s">
        <v>14</v>
      </c>
      <c r="I1052" t="s">
        <v>15</v>
      </c>
      <c r="J1052" t="str">
        <f>"FY" &amp; IF(MONTH(GiftData[[#This Row],[Gift_Date]])&gt;=7, RIGHT(YEAR(GiftData[[#This Row],[Gift_Date]])+1, 2), RIGHT(YEAR(GiftData[[#This Row],[Gift_Date]]), 2))</f>
        <v>FY26</v>
      </c>
      <c r="K1052">
        <f>IF(COUNTIFS(GiftData[Constituent_ID], GiftData[[#This Row],[Constituent_ID]], GiftData[Fiscal_Year], "FY24")&gt;0, 1, 0)</f>
        <v>1</v>
      </c>
      <c r="L1052">
        <f>IF(COUNTIFS(GiftData[Constituent_ID], GiftData[[#This Row],[Constituent_ID]], GiftData[Fiscal_Year], "FY25")&gt;0, 1, 0)</f>
        <v>0</v>
      </c>
      <c r="M1052">
        <f>IF(COUNTIFS(GiftData[Constituent_ID], GiftData[[#This Row],[Constituent_ID]], GiftData[Fiscal_Year], "FY26")&gt;0, 1, 0)</f>
        <v>1</v>
      </c>
      <c r="N1052" t="str" cm="1">
        <f t="array" ref="N10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3" spans="1:14" x14ac:dyDescent="0.2">
      <c r="A1053" t="s">
        <v>1442</v>
      </c>
      <c r="B1053" t="s">
        <v>1443</v>
      </c>
      <c r="C1053" t="s">
        <v>35</v>
      </c>
      <c r="D1053" s="1">
        <v>46073</v>
      </c>
      <c r="E1053">
        <v>650.45000000000005</v>
      </c>
      <c r="F1053" t="s">
        <v>12</v>
      </c>
      <c r="G1053" t="s">
        <v>13</v>
      </c>
      <c r="H1053" t="s">
        <v>41</v>
      </c>
      <c r="I1053" t="s">
        <v>15</v>
      </c>
      <c r="J1053" t="str">
        <f>"FY" &amp; IF(MONTH(GiftData[[#This Row],[Gift_Date]])&gt;=7, RIGHT(YEAR(GiftData[[#This Row],[Gift_Date]])+1, 2), RIGHT(YEAR(GiftData[[#This Row],[Gift_Date]]), 2))</f>
        <v>FY26</v>
      </c>
      <c r="K1053">
        <f>IF(COUNTIFS(GiftData[Constituent_ID], GiftData[[#This Row],[Constituent_ID]], GiftData[Fiscal_Year], "FY24")&gt;0, 1, 0)</f>
        <v>0</v>
      </c>
      <c r="L1053">
        <f>IF(COUNTIFS(GiftData[Constituent_ID], GiftData[[#This Row],[Constituent_ID]], GiftData[Fiscal_Year], "FY25")&gt;0, 1, 0)</f>
        <v>0</v>
      </c>
      <c r="M1053">
        <f>IF(COUNTIFS(GiftData[Constituent_ID], GiftData[[#This Row],[Constituent_ID]], GiftData[Fiscal_Year], "FY26")&gt;0, 1, 0)</f>
        <v>1</v>
      </c>
      <c r="N1053" t="str" cm="1">
        <f t="array" ref="N10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4" spans="1:14" x14ac:dyDescent="0.2">
      <c r="A1054" t="s">
        <v>1444</v>
      </c>
      <c r="B1054" t="s">
        <v>486</v>
      </c>
      <c r="C1054" t="s">
        <v>48</v>
      </c>
      <c r="D1054" s="1">
        <v>45473</v>
      </c>
      <c r="E1054">
        <v>158.66999999999999</v>
      </c>
      <c r="F1054" t="s">
        <v>19</v>
      </c>
      <c r="G1054" t="s">
        <v>13</v>
      </c>
      <c r="H1054" t="s">
        <v>164</v>
      </c>
      <c r="I1054" t="s">
        <v>56</v>
      </c>
      <c r="J1054" t="str">
        <f>"FY" &amp; IF(MONTH(GiftData[[#This Row],[Gift_Date]])&gt;=7, RIGHT(YEAR(GiftData[[#This Row],[Gift_Date]])+1, 2), RIGHT(YEAR(GiftData[[#This Row],[Gift_Date]]), 2))</f>
        <v>FY24</v>
      </c>
      <c r="K1054">
        <f>IF(COUNTIFS(GiftData[Constituent_ID], GiftData[[#This Row],[Constituent_ID]], GiftData[Fiscal_Year], "FY24")&gt;0, 1, 0)</f>
        <v>1</v>
      </c>
      <c r="L1054">
        <f>IF(COUNTIFS(GiftData[Constituent_ID], GiftData[[#This Row],[Constituent_ID]], GiftData[Fiscal_Year], "FY25")&gt;0, 1, 0)</f>
        <v>1</v>
      </c>
      <c r="M1054">
        <f>IF(COUNTIFS(GiftData[Constituent_ID], GiftData[[#This Row],[Constituent_ID]], GiftData[Fiscal_Year], "FY26")&gt;0, 1, 0)</f>
        <v>1</v>
      </c>
      <c r="N1054" t="str" cm="1">
        <f t="array" ref="N10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5" spans="1:14" x14ac:dyDescent="0.2">
      <c r="A1055" t="s">
        <v>1445</v>
      </c>
      <c r="B1055" t="s">
        <v>758</v>
      </c>
      <c r="C1055" t="s">
        <v>35</v>
      </c>
      <c r="D1055" s="1">
        <v>45651</v>
      </c>
      <c r="E1055">
        <v>86.4</v>
      </c>
      <c r="F1055" t="s">
        <v>59</v>
      </c>
      <c r="G1055" t="s">
        <v>29</v>
      </c>
      <c r="H1055" t="s">
        <v>14</v>
      </c>
      <c r="I1055" t="s">
        <v>15</v>
      </c>
      <c r="J1055" t="str">
        <f>"FY" &amp; IF(MONTH(GiftData[[#This Row],[Gift_Date]])&gt;=7, RIGHT(YEAR(GiftData[[#This Row],[Gift_Date]])+1, 2), RIGHT(YEAR(GiftData[[#This Row],[Gift_Date]]), 2))</f>
        <v>FY25</v>
      </c>
      <c r="K1055">
        <f>IF(COUNTIFS(GiftData[Constituent_ID], GiftData[[#This Row],[Constituent_ID]], GiftData[Fiscal_Year], "FY24")&gt;0, 1, 0)</f>
        <v>1</v>
      </c>
      <c r="L1055">
        <f>IF(COUNTIFS(GiftData[Constituent_ID], GiftData[[#This Row],[Constituent_ID]], GiftData[Fiscal_Year], "FY25")&gt;0, 1, 0)</f>
        <v>1</v>
      </c>
      <c r="M1055">
        <f>IF(COUNTIFS(GiftData[Constituent_ID], GiftData[[#This Row],[Constituent_ID]], GiftData[Fiscal_Year], "FY26")&gt;0, 1, 0)</f>
        <v>0</v>
      </c>
      <c r="N1055" t="str" cm="1">
        <f t="array" ref="N10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56" spans="1:14" x14ac:dyDescent="0.2">
      <c r="A1056" t="s">
        <v>1446</v>
      </c>
      <c r="B1056" t="s">
        <v>546</v>
      </c>
      <c r="C1056" t="s">
        <v>11</v>
      </c>
      <c r="D1056" s="1">
        <v>45756</v>
      </c>
      <c r="E1056">
        <v>197.46</v>
      </c>
      <c r="F1056" t="s">
        <v>25</v>
      </c>
      <c r="G1056" t="s">
        <v>13</v>
      </c>
      <c r="H1056" t="s">
        <v>41</v>
      </c>
      <c r="I1056" t="s">
        <v>38</v>
      </c>
      <c r="J1056" t="str">
        <f>"FY" &amp; IF(MONTH(GiftData[[#This Row],[Gift_Date]])&gt;=7, RIGHT(YEAR(GiftData[[#This Row],[Gift_Date]])+1, 2), RIGHT(YEAR(GiftData[[#This Row],[Gift_Date]]), 2))</f>
        <v>FY25</v>
      </c>
      <c r="K1056">
        <f>IF(COUNTIFS(GiftData[Constituent_ID], GiftData[[#This Row],[Constituent_ID]], GiftData[Fiscal_Year], "FY24")&gt;0, 1, 0)</f>
        <v>1</v>
      </c>
      <c r="L1056">
        <f>IF(COUNTIFS(GiftData[Constituent_ID], GiftData[[#This Row],[Constituent_ID]], GiftData[Fiscal_Year], "FY25")&gt;0, 1, 0)</f>
        <v>1</v>
      </c>
      <c r="M1056">
        <f>IF(COUNTIFS(GiftData[Constituent_ID], GiftData[[#This Row],[Constituent_ID]], GiftData[Fiscal_Year], "FY26")&gt;0, 1, 0)</f>
        <v>1</v>
      </c>
      <c r="N1056" t="str" cm="1">
        <f t="array" ref="N10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7" spans="1:14" x14ac:dyDescent="0.2">
      <c r="A1057" t="s">
        <v>1447</v>
      </c>
      <c r="B1057" t="s">
        <v>118</v>
      </c>
      <c r="C1057" t="s">
        <v>28</v>
      </c>
      <c r="D1057" s="1">
        <v>45921</v>
      </c>
      <c r="E1057">
        <v>48.36</v>
      </c>
      <c r="F1057" t="s">
        <v>12</v>
      </c>
      <c r="G1057" t="s">
        <v>29</v>
      </c>
      <c r="H1057" t="s">
        <v>20</v>
      </c>
      <c r="I1057" t="s">
        <v>56</v>
      </c>
      <c r="J1057" t="str">
        <f>"FY" &amp; IF(MONTH(GiftData[[#This Row],[Gift_Date]])&gt;=7, RIGHT(YEAR(GiftData[[#This Row],[Gift_Date]])+1, 2), RIGHT(YEAR(GiftData[[#This Row],[Gift_Date]]), 2))</f>
        <v>FY26</v>
      </c>
      <c r="K1057">
        <f>IF(COUNTIFS(GiftData[Constituent_ID], GiftData[[#This Row],[Constituent_ID]], GiftData[Fiscal_Year], "FY24")&gt;0, 1, 0)</f>
        <v>1</v>
      </c>
      <c r="L1057">
        <f>IF(COUNTIFS(GiftData[Constituent_ID], GiftData[[#This Row],[Constituent_ID]], GiftData[Fiscal_Year], "FY25")&gt;0, 1, 0)</f>
        <v>1</v>
      </c>
      <c r="M1057">
        <f>IF(COUNTIFS(GiftData[Constituent_ID], GiftData[[#This Row],[Constituent_ID]], GiftData[Fiscal_Year], "FY26")&gt;0, 1, 0)</f>
        <v>1</v>
      </c>
      <c r="N1057" t="str" cm="1">
        <f t="array" ref="N10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8" spans="1:14" x14ac:dyDescent="0.2">
      <c r="A1058" t="s">
        <v>1448</v>
      </c>
      <c r="B1058" t="s">
        <v>934</v>
      </c>
      <c r="C1058" t="s">
        <v>28</v>
      </c>
      <c r="D1058" s="1">
        <v>46147</v>
      </c>
      <c r="E1058">
        <v>213.59</v>
      </c>
      <c r="F1058" t="s">
        <v>12</v>
      </c>
      <c r="G1058" t="s">
        <v>13</v>
      </c>
      <c r="H1058" t="s">
        <v>41</v>
      </c>
      <c r="I1058" t="s">
        <v>15</v>
      </c>
      <c r="J1058" t="str">
        <f>"FY" &amp; IF(MONTH(GiftData[[#This Row],[Gift_Date]])&gt;=7, RIGHT(YEAR(GiftData[[#This Row],[Gift_Date]])+1, 2), RIGHT(YEAR(GiftData[[#This Row],[Gift_Date]]), 2))</f>
        <v>FY26</v>
      </c>
      <c r="K1058">
        <f>IF(COUNTIFS(GiftData[Constituent_ID], GiftData[[#This Row],[Constituent_ID]], GiftData[Fiscal_Year], "FY24")&gt;0, 1, 0)</f>
        <v>0</v>
      </c>
      <c r="L1058">
        <f>IF(COUNTIFS(GiftData[Constituent_ID], GiftData[[#This Row],[Constituent_ID]], GiftData[Fiscal_Year], "FY25")&gt;0, 1, 0)</f>
        <v>1</v>
      </c>
      <c r="M1058">
        <f>IF(COUNTIFS(GiftData[Constituent_ID], GiftData[[#This Row],[Constituent_ID]], GiftData[Fiscal_Year], "FY26")&gt;0, 1, 0)</f>
        <v>1</v>
      </c>
      <c r="N1058" t="str" cm="1">
        <f t="array" ref="N10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59" spans="1:14" x14ac:dyDescent="0.2">
      <c r="A1059" t="s">
        <v>1449</v>
      </c>
      <c r="B1059" t="s">
        <v>593</v>
      </c>
      <c r="C1059" t="s">
        <v>18</v>
      </c>
      <c r="D1059" s="1">
        <v>45682</v>
      </c>
      <c r="E1059">
        <v>15</v>
      </c>
      <c r="F1059" t="s">
        <v>12</v>
      </c>
      <c r="G1059" t="s">
        <v>13</v>
      </c>
      <c r="H1059" t="s">
        <v>20</v>
      </c>
      <c r="I1059" t="s">
        <v>15</v>
      </c>
      <c r="J1059" t="str">
        <f>"FY" &amp; IF(MONTH(GiftData[[#This Row],[Gift_Date]])&gt;=7, RIGHT(YEAR(GiftData[[#This Row],[Gift_Date]])+1, 2), RIGHT(YEAR(GiftData[[#This Row],[Gift_Date]]), 2))</f>
        <v>FY25</v>
      </c>
      <c r="K1059">
        <f>IF(COUNTIFS(GiftData[Constituent_ID], GiftData[[#This Row],[Constituent_ID]], GiftData[Fiscal_Year], "FY24")&gt;0, 1, 0)</f>
        <v>1</v>
      </c>
      <c r="L1059">
        <f>IF(COUNTIFS(GiftData[Constituent_ID], GiftData[[#This Row],[Constituent_ID]], GiftData[Fiscal_Year], "FY25")&gt;0, 1, 0)</f>
        <v>1</v>
      </c>
      <c r="M1059">
        <f>IF(COUNTIFS(GiftData[Constituent_ID], GiftData[[#This Row],[Constituent_ID]], GiftData[Fiscal_Year], "FY26")&gt;0, 1, 0)</f>
        <v>1</v>
      </c>
      <c r="N1059" t="str" cm="1">
        <f t="array" ref="N10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0" spans="1:14" x14ac:dyDescent="0.2">
      <c r="A1060" t="s">
        <v>1450</v>
      </c>
      <c r="B1060" t="s">
        <v>363</v>
      </c>
      <c r="C1060" t="s">
        <v>11</v>
      </c>
      <c r="D1060" s="1">
        <v>46120</v>
      </c>
      <c r="E1060">
        <v>128.47999999999999</v>
      </c>
      <c r="F1060" t="s">
        <v>12</v>
      </c>
      <c r="G1060" t="s">
        <v>13</v>
      </c>
      <c r="H1060" t="s">
        <v>51</v>
      </c>
      <c r="I1060" t="s">
        <v>30</v>
      </c>
      <c r="J1060" t="str">
        <f>"FY" &amp; IF(MONTH(GiftData[[#This Row],[Gift_Date]])&gt;=7, RIGHT(YEAR(GiftData[[#This Row],[Gift_Date]])+1, 2), RIGHT(YEAR(GiftData[[#This Row],[Gift_Date]]), 2))</f>
        <v>FY26</v>
      </c>
      <c r="K1060">
        <f>IF(COUNTIFS(GiftData[Constituent_ID], GiftData[[#This Row],[Constituent_ID]], GiftData[Fiscal_Year], "FY24")&gt;0, 1, 0)</f>
        <v>0</v>
      </c>
      <c r="L1060">
        <f>IF(COUNTIFS(GiftData[Constituent_ID], GiftData[[#This Row],[Constituent_ID]], GiftData[Fiscal_Year], "FY25")&gt;0, 1, 0)</f>
        <v>1</v>
      </c>
      <c r="M1060">
        <f>IF(COUNTIFS(GiftData[Constituent_ID], GiftData[[#This Row],[Constituent_ID]], GiftData[Fiscal_Year], "FY26")&gt;0, 1, 0)</f>
        <v>1</v>
      </c>
      <c r="N1060" t="str" cm="1">
        <f t="array" ref="N10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1" spans="1:14" x14ac:dyDescent="0.2">
      <c r="A1061" t="s">
        <v>1451</v>
      </c>
      <c r="B1061" t="s">
        <v>273</v>
      </c>
      <c r="C1061" t="s">
        <v>35</v>
      </c>
      <c r="D1061" s="1">
        <v>45777</v>
      </c>
      <c r="E1061">
        <v>697.9</v>
      </c>
      <c r="F1061" t="s">
        <v>25</v>
      </c>
      <c r="G1061" t="s">
        <v>13</v>
      </c>
      <c r="H1061" t="s">
        <v>20</v>
      </c>
      <c r="I1061" t="s">
        <v>30</v>
      </c>
      <c r="J1061" t="str">
        <f>"FY" &amp; IF(MONTH(GiftData[[#This Row],[Gift_Date]])&gt;=7, RIGHT(YEAR(GiftData[[#This Row],[Gift_Date]])+1, 2), RIGHT(YEAR(GiftData[[#This Row],[Gift_Date]]), 2))</f>
        <v>FY25</v>
      </c>
      <c r="K1061">
        <f>IF(COUNTIFS(GiftData[Constituent_ID], GiftData[[#This Row],[Constituent_ID]], GiftData[Fiscal_Year], "FY24")&gt;0, 1, 0)</f>
        <v>0</v>
      </c>
      <c r="L1061">
        <f>IF(COUNTIFS(GiftData[Constituent_ID], GiftData[[#This Row],[Constituent_ID]], GiftData[Fiscal_Year], "FY25")&gt;0, 1, 0)</f>
        <v>1</v>
      </c>
      <c r="M1061">
        <f>IF(COUNTIFS(GiftData[Constituent_ID], GiftData[[#This Row],[Constituent_ID]], GiftData[Fiscal_Year], "FY26")&gt;0, 1, 0)</f>
        <v>0</v>
      </c>
      <c r="N1061" t="str" cm="1">
        <f t="array" ref="N10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62" spans="1:14" x14ac:dyDescent="0.2">
      <c r="A1062" t="s">
        <v>1452</v>
      </c>
      <c r="B1062" t="s">
        <v>815</v>
      </c>
      <c r="C1062" t="s">
        <v>28</v>
      </c>
      <c r="D1062" s="1">
        <v>45376</v>
      </c>
      <c r="E1062">
        <v>137.36000000000001</v>
      </c>
      <c r="F1062" t="s">
        <v>19</v>
      </c>
      <c r="G1062" t="s">
        <v>13</v>
      </c>
      <c r="H1062" t="s">
        <v>41</v>
      </c>
      <c r="I1062" t="s">
        <v>56</v>
      </c>
      <c r="J1062" t="str">
        <f>"FY" &amp; IF(MONTH(GiftData[[#This Row],[Gift_Date]])&gt;=7, RIGHT(YEAR(GiftData[[#This Row],[Gift_Date]])+1, 2), RIGHT(YEAR(GiftData[[#This Row],[Gift_Date]]), 2))</f>
        <v>FY24</v>
      </c>
      <c r="K1062">
        <f>IF(COUNTIFS(GiftData[Constituent_ID], GiftData[[#This Row],[Constituent_ID]], GiftData[Fiscal_Year], "FY24")&gt;0, 1, 0)</f>
        <v>1</v>
      </c>
      <c r="L1062">
        <f>IF(COUNTIFS(GiftData[Constituent_ID], GiftData[[#This Row],[Constituent_ID]], GiftData[Fiscal_Year], "FY25")&gt;0, 1, 0)</f>
        <v>1</v>
      </c>
      <c r="M1062">
        <f>IF(COUNTIFS(GiftData[Constituent_ID], GiftData[[#This Row],[Constituent_ID]], GiftData[Fiscal_Year], "FY26")&gt;0, 1, 0)</f>
        <v>1</v>
      </c>
      <c r="N1062" t="str" cm="1">
        <f t="array" ref="N10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3" spans="1:14" x14ac:dyDescent="0.2">
      <c r="A1063" t="s">
        <v>1453</v>
      </c>
      <c r="B1063" t="s">
        <v>456</v>
      </c>
      <c r="C1063" t="s">
        <v>11</v>
      </c>
      <c r="D1063" s="1">
        <v>46031</v>
      </c>
      <c r="E1063">
        <v>1147.94</v>
      </c>
      <c r="F1063" t="s">
        <v>59</v>
      </c>
      <c r="G1063" t="s">
        <v>13</v>
      </c>
      <c r="H1063" t="s">
        <v>20</v>
      </c>
      <c r="I1063" t="s">
        <v>38</v>
      </c>
      <c r="J1063" t="str">
        <f>"FY" &amp; IF(MONTH(GiftData[[#This Row],[Gift_Date]])&gt;=7, RIGHT(YEAR(GiftData[[#This Row],[Gift_Date]])+1, 2), RIGHT(YEAR(GiftData[[#This Row],[Gift_Date]]), 2))</f>
        <v>FY26</v>
      </c>
      <c r="K1063">
        <f>IF(COUNTIFS(GiftData[Constituent_ID], GiftData[[#This Row],[Constituent_ID]], GiftData[Fiscal_Year], "FY24")&gt;0, 1, 0)</f>
        <v>1</v>
      </c>
      <c r="L1063">
        <f>IF(COUNTIFS(GiftData[Constituent_ID], GiftData[[#This Row],[Constituent_ID]], GiftData[Fiscal_Year], "FY25")&gt;0, 1, 0)</f>
        <v>1</v>
      </c>
      <c r="M1063">
        <f>IF(COUNTIFS(GiftData[Constituent_ID], GiftData[[#This Row],[Constituent_ID]], GiftData[Fiscal_Year], "FY26")&gt;0, 1, 0)</f>
        <v>1</v>
      </c>
      <c r="N1063" t="str" cm="1">
        <f t="array" ref="N10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4" spans="1:14" x14ac:dyDescent="0.2">
      <c r="A1064" t="s">
        <v>1454</v>
      </c>
      <c r="B1064" t="s">
        <v>1455</v>
      </c>
      <c r="C1064" t="s">
        <v>28</v>
      </c>
      <c r="D1064" s="1">
        <v>45354</v>
      </c>
      <c r="E1064">
        <v>86.24</v>
      </c>
      <c r="F1064" t="s">
        <v>25</v>
      </c>
      <c r="G1064" t="s">
        <v>13</v>
      </c>
      <c r="H1064" t="s">
        <v>20</v>
      </c>
      <c r="I1064" t="s">
        <v>15</v>
      </c>
      <c r="J1064" t="str">
        <f>"FY" &amp; IF(MONTH(GiftData[[#This Row],[Gift_Date]])&gt;=7, RIGHT(YEAR(GiftData[[#This Row],[Gift_Date]])+1, 2), RIGHT(YEAR(GiftData[[#This Row],[Gift_Date]]), 2))</f>
        <v>FY24</v>
      </c>
      <c r="K1064">
        <f>IF(COUNTIFS(GiftData[Constituent_ID], GiftData[[#This Row],[Constituent_ID]], GiftData[Fiscal_Year], "FY24")&gt;0, 1, 0)</f>
        <v>1</v>
      </c>
      <c r="L1064">
        <f>IF(COUNTIFS(GiftData[Constituent_ID], GiftData[[#This Row],[Constituent_ID]], GiftData[Fiscal_Year], "FY25")&gt;0, 1, 0)</f>
        <v>0</v>
      </c>
      <c r="M1064">
        <f>IF(COUNTIFS(GiftData[Constituent_ID], GiftData[[#This Row],[Constituent_ID]], GiftData[Fiscal_Year], "FY26")&gt;0, 1, 0)</f>
        <v>0</v>
      </c>
      <c r="N1064" t="str" cm="1">
        <f t="array" ref="N10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065" spans="1:14" x14ac:dyDescent="0.2">
      <c r="A1065" t="s">
        <v>1456</v>
      </c>
      <c r="B1065" t="s">
        <v>929</v>
      </c>
      <c r="C1065" t="s">
        <v>18</v>
      </c>
      <c r="D1065" s="1">
        <v>45238</v>
      </c>
      <c r="E1065">
        <v>447.4</v>
      </c>
      <c r="F1065" t="s">
        <v>12</v>
      </c>
      <c r="G1065" t="s">
        <v>29</v>
      </c>
      <c r="H1065" t="s">
        <v>14</v>
      </c>
      <c r="I1065" t="s">
        <v>56</v>
      </c>
      <c r="J1065" t="str">
        <f>"FY" &amp; IF(MONTH(GiftData[[#This Row],[Gift_Date]])&gt;=7, RIGHT(YEAR(GiftData[[#This Row],[Gift_Date]])+1, 2), RIGHT(YEAR(GiftData[[#This Row],[Gift_Date]]), 2))</f>
        <v>FY24</v>
      </c>
      <c r="K1065">
        <f>IF(COUNTIFS(GiftData[Constituent_ID], GiftData[[#This Row],[Constituent_ID]], GiftData[Fiscal_Year], "FY24")&gt;0, 1, 0)</f>
        <v>1</v>
      </c>
      <c r="L1065">
        <f>IF(COUNTIFS(GiftData[Constituent_ID], GiftData[[#This Row],[Constituent_ID]], GiftData[Fiscal_Year], "FY25")&gt;0, 1, 0)</f>
        <v>1</v>
      </c>
      <c r="M1065">
        <f>IF(COUNTIFS(GiftData[Constituent_ID], GiftData[[#This Row],[Constituent_ID]], GiftData[Fiscal_Year], "FY26")&gt;0, 1, 0)</f>
        <v>0</v>
      </c>
      <c r="N1065" t="str" cm="1">
        <f t="array" ref="N10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66" spans="1:14" x14ac:dyDescent="0.2">
      <c r="A1066" t="s">
        <v>1457</v>
      </c>
      <c r="B1066" t="s">
        <v>492</v>
      </c>
      <c r="C1066" t="s">
        <v>11</v>
      </c>
      <c r="D1066" s="1">
        <v>45460</v>
      </c>
      <c r="E1066">
        <v>38.79</v>
      </c>
      <c r="F1066" t="s">
        <v>12</v>
      </c>
      <c r="G1066" t="s">
        <v>13</v>
      </c>
      <c r="H1066" t="s">
        <v>14</v>
      </c>
      <c r="I1066" t="s">
        <v>15</v>
      </c>
      <c r="J1066" t="str">
        <f>"FY" &amp; IF(MONTH(GiftData[[#This Row],[Gift_Date]])&gt;=7, RIGHT(YEAR(GiftData[[#This Row],[Gift_Date]])+1, 2), RIGHT(YEAR(GiftData[[#This Row],[Gift_Date]]), 2))</f>
        <v>FY24</v>
      </c>
      <c r="K1066">
        <f>IF(COUNTIFS(GiftData[Constituent_ID], GiftData[[#This Row],[Constituent_ID]], GiftData[Fiscal_Year], "FY24")&gt;0, 1, 0)</f>
        <v>1</v>
      </c>
      <c r="L1066">
        <f>IF(COUNTIFS(GiftData[Constituent_ID], GiftData[[#This Row],[Constituent_ID]], GiftData[Fiscal_Year], "FY25")&gt;0, 1, 0)</f>
        <v>1</v>
      </c>
      <c r="M1066">
        <f>IF(COUNTIFS(GiftData[Constituent_ID], GiftData[[#This Row],[Constituent_ID]], GiftData[Fiscal_Year], "FY26")&gt;0, 1, 0)</f>
        <v>0</v>
      </c>
      <c r="N1066" t="str" cm="1">
        <f t="array" ref="N10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67" spans="1:14" x14ac:dyDescent="0.2">
      <c r="A1067" t="s">
        <v>1458</v>
      </c>
      <c r="B1067" t="s">
        <v>103</v>
      </c>
      <c r="C1067" t="s">
        <v>35</v>
      </c>
      <c r="D1067" s="1">
        <v>45303</v>
      </c>
      <c r="E1067">
        <v>424.34</v>
      </c>
      <c r="F1067" t="s">
        <v>12</v>
      </c>
      <c r="G1067" t="s">
        <v>13</v>
      </c>
      <c r="H1067" t="s">
        <v>20</v>
      </c>
      <c r="I1067" t="s">
        <v>56</v>
      </c>
      <c r="J1067" t="str">
        <f>"FY" &amp; IF(MONTH(GiftData[[#This Row],[Gift_Date]])&gt;=7, RIGHT(YEAR(GiftData[[#This Row],[Gift_Date]])+1, 2), RIGHT(YEAR(GiftData[[#This Row],[Gift_Date]]), 2))</f>
        <v>FY24</v>
      </c>
      <c r="K1067">
        <f>IF(COUNTIFS(GiftData[Constituent_ID], GiftData[[#This Row],[Constituent_ID]], GiftData[Fiscal_Year], "FY24")&gt;0, 1, 0)</f>
        <v>1</v>
      </c>
      <c r="L1067">
        <f>IF(COUNTIFS(GiftData[Constituent_ID], GiftData[[#This Row],[Constituent_ID]], GiftData[Fiscal_Year], "FY25")&gt;0, 1, 0)</f>
        <v>1</v>
      </c>
      <c r="M1067">
        <f>IF(COUNTIFS(GiftData[Constituent_ID], GiftData[[#This Row],[Constituent_ID]], GiftData[Fiscal_Year], "FY26")&gt;0, 1, 0)</f>
        <v>1</v>
      </c>
      <c r="N1067" t="str" cm="1">
        <f t="array" ref="N10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8" spans="1:14" x14ac:dyDescent="0.2">
      <c r="A1068" t="s">
        <v>1459</v>
      </c>
      <c r="B1068" t="s">
        <v>454</v>
      </c>
      <c r="C1068" t="s">
        <v>18</v>
      </c>
      <c r="D1068" s="1">
        <v>46037</v>
      </c>
      <c r="E1068">
        <v>164.41</v>
      </c>
      <c r="F1068" t="s">
        <v>25</v>
      </c>
      <c r="G1068" t="s">
        <v>13</v>
      </c>
      <c r="H1068" t="s">
        <v>20</v>
      </c>
      <c r="I1068" t="s">
        <v>56</v>
      </c>
      <c r="J1068" t="str">
        <f>"FY" &amp; IF(MONTH(GiftData[[#This Row],[Gift_Date]])&gt;=7, RIGHT(YEAR(GiftData[[#This Row],[Gift_Date]])+1, 2), RIGHT(YEAR(GiftData[[#This Row],[Gift_Date]]), 2))</f>
        <v>FY26</v>
      </c>
      <c r="K1068">
        <f>IF(COUNTIFS(GiftData[Constituent_ID], GiftData[[#This Row],[Constituent_ID]], GiftData[Fiscal_Year], "FY24")&gt;0, 1, 0)</f>
        <v>0</v>
      </c>
      <c r="L1068">
        <f>IF(COUNTIFS(GiftData[Constituent_ID], GiftData[[#This Row],[Constituent_ID]], GiftData[Fiscal_Year], "FY25")&gt;0, 1, 0)</f>
        <v>1</v>
      </c>
      <c r="M1068">
        <f>IF(COUNTIFS(GiftData[Constituent_ID], GiftData[[#This Row],[Constituent_ID]], GiftData[Fiscal_Year], "FY26")&gt;0, 1, 0)</f>
        <v>1</v>
      </c>
      <c r="N1068" t="str" cm="1">
        <f t="array" ref="N10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69" spans="1:14" x14ac:dyDescent="0.2">
      <c r="A1069" t="s">
        <v>1460</v>
      </c>
      <c r="B1069" t="s">
        <v>209</v>
      </c>
      <c r="C1069" t="s">
        <v>18</v>
      </c>
      <c r="D1069" s="1">
        <v>46129</v>
      </c>
      <c r="E1069">
        <v>91.32</v>
      </c>
      <c r="F1069" t="s">
        <v>59</v>
      </c>
      <c r="G1069" t="s">
        <v>13</v>
      </c>
      <c r="H1069" t="s">
        <v>41</v>
      </c>
      <c r="I1069" t="s">
        <v>38</v>
      </c>
      <c r="J1069" t="str">
        <f>"FY" &amp; IF(MONTH(GiftData[[#This Row],[Gift_Date]])&gt;=7, RIGHT(YEAR(GiftData[[#This Row],[Gift_Date]])+1, 2), RIGHT(YEAR(GiftData[[#This Row],[Gift_Date]]), 2))</f>
        <v>FY26</v>
      </c>
      <c r="K1069">
        <f>IF(COUNTIFS(GiftData[Constituent_ID], GiftData[[#This Row],[Constituent_ID]], GiftData[Fiscal_Year], "FY24")&gt;0, 1, 0)</f>
        <v>1</v>
      </c>
      <c r="L1069">
        <f>IF(COUNTIFS(GiftData[Constituent_ID], GiftData[[#This Row],[Constituent_ID]], GiftData[Fiscal_Year], "FY25")&gt;0, 1, 0)</f>
        <v>1</v>
      </c>
      <c r="M1069">
        <f>IF(COUNTIFS(GiftData[Constituent_ID], GiftData[[#This Row],[Constituent_ID]], GiftData[Fiscal_Year], "FY26")&gt;0, 1, 0)</f>
        <v>1</v>
      </c>
      <c r="N1069" t="str" cm="1">
        <f t="array" ref="N10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0" spans="1:14" x14ac:dyDescent="0.2">
      <c r="A1070" t="s">
        <v>1461</v>
      </c>
      <c r="B1070" t="s">
        <v>1462</v>
      </c>
      <c r="C1070" t="s">
        <v>48</v>
      </c>
      <c r="D1070" s="1">
        <v>45752</v>
      </c>
      <c r="E1070">
        <v>15</v>
      </c>
      <c r="F1070" t="s">
        <v>12</v>
      </c>
      <c r="G1070" t="s">
        <v>13</v>
      </c>
      <c r="H1070" t="s">
        <v>41</v>
      </c>
      <c r="I1070" t="s">
        <v>56</v>
      </c>
      <c r="J1070" t="str">
        <f>"FY" &amp; IF(MONTH(GiftData[[#This Row],[Gift_Date]])&gt;=7, RIGHT(YEAR(GiftData[[#This Row],[Gift_Date]])+1, 2), RIGHT(YEAR(GiftData[[#This Row],[Gift_Date]]), 2))</f>
        <v>FY25</v>
      </c>
      <c r="K1070">
        <f>IF(COUNTIFS(GiftData[Constituent_ID], GiftData[[#This Row],[Constituent_ID]], GiftData[Fiscal_Year], "FY24")&gt;0, 1, 0)</f>
        <v>0</v>
      </c>
      <c r="L1070">
        <f>IF(COUNTIFS(GiftData[Constituent_ID], GiftData[[#This Row],[Constituent_ID]], GiftData[Fiscal_Year], "FY25")&gt;0, 1, 0)</f>
        <v>1</v>
      </c>
      <c r="M1070">
        <f>IF(COUNTIFS(GiftData[Constituent_ID], GiftData[[#This Row],[Constituent_ID]], GiftData[Fiscal_Year], "FY26")&gt;0, 1, 0)</f>
        <v>0</v>
      </c>
      <c r="N1070" t="str" cm="1">
        <f t="array" ref="N10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71" spans="1:14" x14ac:dyDescent="0.2">
      <c r="A1071" t="s">
        <v>1463</v>
      </c>
      <c r="B1071" t="s">
        <v>580</v>
      </c>
      <c r="C1071" t="s">
        <v>18</v>
      </c>
      <c r="D1071" s="1">
        <v>45334</v>
      </c>
      <c r="E1071">
        <v>87.3</v>
      </c>
      <c r="F1071" t="s">
        <v>12</v>
      </c>
      <c r="G1071" t="s">
        <v>29</v>
      </c>
      <c r="H1071" t="s">
        <v>20</v>
      </c>
      <c r="I1071" t="s">
        <v>38</v>
      </c>
      <c r="J1071" t="str">
        <f>"FY" &amp; IF(MONTH(GiftData[[#This Row],[Gift_Date]])&gt;=7, RIGHT(YEAR(GiftData[[#This Row],[Gift_Date]])+1, 2), RIGHT(YEAR(GiftData[[#This Row],[Gift_Date]]), 2))</f>
        <v>FY24</v>
      </c>
      <c r="K1071">
        <f>IF(COUNTIFS(GiftData[Constituent_ID], GiftData[[#This Row],[Constituent_ID]], GiftData[Fiscal_Year], "FY24")&gt;0, 1, 0)</f>
        <v>1</v>
      </c>
      <c r="L1071">
        <f>IF(COUNTIFS(GiftData[Constituent_ID], GiftData[[#This Row],[Constituent_ID]], GiftData[Fiscal_Year], "FY25")&gt;0, 1, 0)</f>
        <v>0</v>
      </c>
      <c r="M1071">
        <f>IF(COUNTIFS(GiftData[Constituent_ID], GiftData[[#This Row],[Constituent_ID]], GiftData[Fiscal_Year], "FY26")&gt;0, 1, 0)</f>
        <v>1</v>
      </c>
      <c r="N1071" t="str" cm="1">
        <f t="array" ref="N10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2" spans="1:14" x14ac:dyDescent="0.2">
      <c r="A1072" t="s">
        <v>1464</v>
      </c>
      <c r="B1072" t="s">
        <v>179</v>
      </c>
      <c r="C1072" t="s">
        <v>11</v>
      </c>
      <c r="D1072" s="1">
        <v>45808</v>
      </c>
      <c r="E1072">
        <v>160.37</v>
      </c>
      <c r="F1072" t="s">
        <v>12</v>
      </c>
      <c r="G1072" t="s">
        <v>13</v>
      </c>
      <c r="H1072" t="s">
        <v>41</v>
      </c>
      <c r="I1072" t="s">
        <v>15</v>
      </c>
      <c r="J1072" t="str">
        <f>"FY" &amp; IF(MONTH(GiftData[[#This Row],[Gift_Date]])&gt;=7, RIGHT(YEAR(GiftData[[#This Row],[Gift_Date]])+1, 2), RIGHT(YEAR(GiftData[[#This Row],[Gift_Date]]), 2))</f>
        <v>FY25</v>
      </c>
      <c r="K1072">
        <f>IF(COUNTIFS(GiftData[Constituent_ID], GiftData[[#This Row],[Constituent_ID]], GiftData[Fiscal_Year], "FY24")&gt;0, 1, 0)</f>
        <v>0</v>
      </c>
      <c r="L1072">
        <f>IF(COUNTIFS(GiftData[Constituent_ID], GiftData[[#This Row],[Constituent_ID]], GiftData[Fiscal_Year], "FY25")&gt;0, 1, 0)</f>
        <v>1</v>
      </c>
      <c r="M1072">
        <f>IF(COUNTIFS(GiftData[Constituent_ID], GiftData[[#This Row],[Constituent_ID]], GiftData[Fiscal_Year], "FY26")&gt;0, 1, 0)</f>
        <v>1</v>
      </c>
      <c r="N1072" t="str" cm="1">
        <f t="array" ref="N10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3" spans="1:14" x14ac:dyDescent="0.2">
      <c r="A1073" t="s">
        <v>1465</v>
      </c>
      <c r="B1073" t="s">
        <v>398</v>
      </c>
      <c r="C1073" t="s">
        <v>48</v>
      </c>
      <c r="D1073" s="1">
        <v>45372</v>
      </c>
      <c r="E1073">
        <v>356.85</v>
      </c>
      <c r="F1073" t="s">
        <v>12</v>
      </c>
      <c r="G1073" t="s">
        <v>13</v>
      </c>
      <c r="H1073" t="s">
        <v>20</v>
      </c>
      <c r="I1073" t="s">
        <v>38</v>
      </c>
      <c r="J1073" t="str">
        <f>"FY" &amp; IF(MONTH(GiftData[[#This Row],[Gift_Date]])&gt;=7, RIGHT(YEAR(GiftData[[#This Row],[Gift_Date]])+1, 2), RIGHT(YEAR(GiftData[[#This Row],[Gift_Date]]), 2))</f>
        <v>FY24</v>
      </c>
      <c r="K1073">
        <f>IF(COUNTIFS(GiftData[Constituent_ID], GiftData[[#This Row],[Constituent_ID]], GiftData[Fiscal_Year], "FY24")&gt;0, 1, 0)</f>
        <v>1</v>
      </c>
      <c r="L1073">
        <f>IF(COUNTIFS(GiftData[Constituent_ID], GiftData[[#This Row],[Constituent_ID]], GiftData[Fiscal_Year], "FY25")&gt;0, 1, 0)</f>
        <v>1</v>
      </c>
      <c r="M1073">
        <f>IF(COUNTIFS(GiftData[Constituent_ID], GiftData[[#This Row],[Constituent_ID]], GiftData[Fiscal_Year], "FY26")&gt;0, 1, 0)</f>
        <v>1</v>
      </c>
      <c r="N1073" t="str" cm="1">
        <f t="array" ref="N10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4" spans="1:14" x14ac:dyDescent="0.2">
      <c r="A1074" t="s">
        <v>1466</v>
      </c>
      <c r="B1074" t="s">
        <v>1009</v>
      </c>
      <c r="C1074" t="s">
        <v>28</v>
      </c>
      <c r="D1074" s="1">
        <v>45753</v>
      </c>
      <c r="E1074">
        <v>924.48</v>
      </c>
      <c r="F1074" t="s">
        <v>12</v>
      </c>
      <c r="G1074" t="s">
        <v>13</v>
      </c>
      <c r="H1074" t="s">
        <v>14</v>
      </c>
      <c r="I1074" t="s">
        <v>15</v>
      </c>
      <c r="J1074" t="str">
        <f>"FY" &amp; IF(MONTH(GiftData[[#This Row],[Gift_Date]])&gt;=7, RIGHT(YEAR(GiftData[[#This Row],[Gift_Date]])+1, 2), RIGHT(YEAR(GiftData[[#This Row],[Gift_Date]]), 2))</f>
        <v>FY25</v>
      </c>
      <c r="K1074">
        <f>IF(COUNTIFS(GiftData[Constituent_ID], GiftData[[#This Row],[Constituent_ID]], GiftData[Fiscal_Year], "FY24")&gt;0, 1, 0)</f>
        <v>1</v>
      </c>
      <c r="L1074">
        <f>IF(COUNTIFS(GiftData[Constituent_ID], GiftData[[#This Row],[Constituent_ID]], GiftData[Fiscal_Year], "FY25")&gt;0, 1, 0)</f>
        <v>1</v>
      </c>
      <c r="M1074">
        <f>IF(COUNTIFS(GiftData[Constituent_ID], GiftData[[#This Row],[Constituent_ID]], GiftData[Fiscal_Year], "FY26")&gt;0, 1, 0)</f>
        <v>0</v>
      </c>
      <c r="N1074" t="str" cm="1">
        <f t="array" ref="N10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75" spans="1:14" x14ac:dyDescent="0.2">
      <c r="A1075" t="s">
        <v>1467</v>
      </c>
      <c r="B1075" t="s">
        <v>53</v>
      </c>
      <c r="C1075" t="s">
        <v>28</v>
      </c>
      <c r="D1075" s="1">
        <v>45318</v>
      </c>
      <c r="E1075">
        <v>1712.21</v>
      </c>
      <c r="F1075" t="s">
        <v>12</v>
      </c>
      <c r="G1075" t="s">
        <v>13</v>
      </c>
      <c r="H1075" t="s">
        <v>20</v>
      </c>
      <c r="I1075" t="s">
        <v>15</v>
      </c>
      <c r="J1075" t="str">
        <f>"FY" &amp; IF(MONTH(GiftData[[#This Row],[Gift_Date]])&gt;=7, RIGHT(YEAR(GiftData[[#This Row],[Gift_Date]])+1, 2), RIGHT(YEAR(GiftData[[#This Row],[Gift_Date]]), 2))</f>
        <v>FY24</v>
      </c>
      <c r="K1075">
        <f>IF(COUNTIFS(GiftData[Constituent_ID], GiftData[[#This Row],[Constituent_ID]], GiftData[Fiscal_Year], "FY24")&gt;0, 1, 0)</f>
        <v>1</v>
      </c>
      <c r="L1075">
        <f>IF(COUNTIFS(GiftData[Constituent_ID], GiftData[[#This Row],[Constituent_ID]], GiftData[Fiscal_Year], "FY25")&gt;0, 1, 0)</f>
        <v>1</v>
      </c>
      <c r="M1075">
        <f>IF(COUNTIFS(GiftData[Constituent_ID], GiftData[[#This Row],[Constituent_ID]], GiftData[Fiscal_Year], "FY26")&gt;0, 1, 0)</f>
        <v>1</v>
      </c>
      <c r="N1075" t="str" cm="1">
        <f t="array" ref="N10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6" spans="1:14" x14ac:dyDescent="0.2">
      <c r="A1076" t="s">
        <v>1468</v>
      </c>
      <c r="B1076" t="s">
        <v>1403</v>
      </c>
      <c r="C1076" t="s">
        <v>35</v>
      </c>
      <c r="D1076" s="1">
        <v>46050</v>
      </c>
      <c r="E1076">
        <v>614.09</v>
      </c>
      <c r="F1076" t="s">
        <v>12</v>
      </c>
      <c r="G1076" t="s">
        <v>29</v>
      </c>
      <c r="H1076" t="s">
        <v>14</v>
      </c>
      <c r="I1076" t="s">
        <v>15</v>
      </c>
      <c r="J1076" t="str">
        <f>"FY" &amp; IF(MONTH(GiftData[[#This Row],[Gift_Date]])&gt;=7, RIGHT(YEAR(GiftData[[#This Row],[Gift_Date]])+1, 2), RIGHT(YEAR(GiftData[[#This Row],[Gift_Date]]), 2))</f>
        <v>FY26</v>
      </c>
      <c r="K1076">
        <f>IF(COUNTIFS(GiftData[Constituent_ID], GiftData[[#This Row],[Constituent_ID]], GiftData[Fiscal_Year], "FY24")&gt;0, 1, 0)</f>
        <v>1</v>
      </c>
      <c r="L1076">
        <f>IF(COUNTIFS(GiftData[Constituent_ID], GiftData[[#This Row],[Constituent_ID]], GiftData[Fiscal_Year], "FY25")&gt;0, 1, 0)</f>
        <v>1</v>
      </c>
      <c r="M1076">
        <f>IF(COUNTIFS(GiftData[Constituent_ID], GiftData[[#This Row],[Constituent_ID]], GiftData[Fiscal_Year], "FY26")&gt;0, 1, 0)</f>
        <v>1</v>
      </c>
      <c r="N1076" t="str" cm="1">
        <f t="array" ref="N10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7" spans="1:14" x14ac:dyDescent="0.2">
      <c r="A1077" t="s">
        <v>1469</v>
      </c>
      <c r="B1077" t="s">
        <v>1247</v>
      </c>
      <c r="C1077" t="s">
        <v>18</v>
      </c>
      <c r="D1077" s="1">
        <v>45564</v>
      </c>
      <c r="E1077">
        <v>58.51</v>
      </c>
      <c r="F1077" t="s">
        <v>59</v>
      </c>
      <c r="G1077" t="s">
        <v>13</v>
      </c>
      <c r="H1077" t="s">
        <v>20</v>
      </c>
      <c r="I1077" t="s">
        <v>15</v>
      </c>
      <c r="J1077" t="str">
        <f>"FY" &amp; IF(MONTH(GiftData[[#This Row],[Gift_Date]])&gt;=7, RIGHT(YEAR(GiftData[[#This Row],[Gift_Date]])+1, 2), RIGHT(YEAR(GiftData[[#This Row],[Gift_Date]]), 2))</f>
        <v>FY25</v>
      </c>
      <c r="K1077">
        <f>IF(COUNTIFS(GiftData[Constituent_ID], GiftData[[#This Row],[Constituent_ID]], GiftData[Fiscal_Year], "FY24")&gt;0, 1, 0)</f>
        <v>0</v>
      </c>
      <c r="L1077">
        <f>IF(COUNTIFS(GiftData[Constituent_ID], GiftData[[#This Row],[Constituent_ID]], GiftData[Fiscal_Year], "FY25")&gt;0, 1, 0)</f>
        <v>1</v>
      </c>
      <c r="M1077">
        <f>IF(COUNTIFS(GiftData[Constituent_ID], GiftData[[#This Row],[Constituent_ID]], GiftData[Fiscal_Year], "FY26")&gt;0, 1, 0)</f>
        <v>1</v>
      </c>
      <c r="N1077" t="str" cm="1">
        <f t="array" ref="N10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8" spans="1:14" x14ac:dyDescent="0.2">
      <c r="A1078" t="s">
        <v>1470</v>
      </c>
      <c r="B1078" t="s">
        <v>308</v>
      </c>
      <c r="C1078" t="s">
        <v>28</v>
      </c>
      <c r="D1078" s="1">
        <v>45832</v>
      </c>
      <c r="E1078">
        <v>81.760000000000005</v>
      </c>
      <c r="F1078" t="s">
        <v>12</v>
      </c>
      <c r="G1078" t="s">
        <v>13</v>
      </c>
      <c r="H1078" t="s">
        <v>164</v>
      </c>
      <c r="I1078" t="s">
        <v>56</v>
      </c>
      <c r="J1078" t="str">
        <f>"FY" &amp; IF(MONTH(GiftData[[#This Row],[Gift_Date]])&gt;=7, RIGHT(YEAR(GiftData[[#This Row],[Gift_Date]])+1, 2), RIGHT(YEAR(GiftData[[#This Row],[Gift_Date]]), 2))</f>
        <v>FY25</v>
      </c>
      <c r="K1078">
        <f>IF(COUNTIFS(GiftData[Constituent_ID], GiftData[[#This Row],[Constituent_ID]], GiftData[Fiscal_Year], "FY24")&gt;0, 1, 0)</f>
        <v>1</v>
      </c>
      <c r="L1078">
        <f>IF(COUNTIFS(GiftData[Constituent_ID], GiftData[[#This Row],[Constituent_ID]], GiftData[Fiscal_Year], "FY25")&gt;0, 1, 0)</f>
        <v>1</v>
      </c>
      <c r="M1078">
        <f>IF(COUNTIFS(GiftData[Constituent_ID], GiftData[[#This Row],[Constituent_ID]], GiftData[Fiscal_Year], "FY26")&gt;0, 1, 0)</f>
        <v>1</v>
      </c>
      <c r="N1078" t="str" cm="1">
        <f t="array" ref="N10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79" spans="1:14" x14ac:dyDescent="0.2">
      <c r="A1079" t="s">
        <v>1471</v>
      </c>
      <c r="B1079" t="s">
        <v>496</v>
      </c>
      <c r="C1079" t="s">
        <v>11</v>
      </c>
      <c r="D1079" s="1">
        <v>46089</v>
      </c>
      <c r="E1079">
        <v>317.54000000000002</v>
      </c>
      <c r="F1079" t="s">
        <v>12</v>
      </c>
      <c r="G1079" t="s">
        <v>13</v>
      </c>
      <c r="H1079" t="s">
        <v>20</v>
      </c>
      <c r="I1079" t="s">
        <v>30</v>
      </c>
      <c r="J1079" t="str">
        <f>"FY" &amp; IF(MONTH(GiftData[[#This Row],[Gift_Date]])&gt;=7, RIGHT(YEAR(GiftData[[#This Row],[Gift_Date]])+1, 2), RIGHT(YEAR(GiftData[[#This Row],[Gift_Date]]), 2))</f>
        <v>FY26</v>
      </c>
      <c r="K1079">
        <f>IF(COUNTIFS(GiftData[Constituent_ID], GiftData[[#This Row],[Constituent_ID]], GiftData[Fiscal_Year], "FY24")&gt;0, 1, 0)</f>
        <v>1</v>
      </c>
      <c r="L1079">
        <f>IF(COUNTIFS(GiftData[Constituent_ID], GiftData[[#This Row],[Constituent_ID]], GiftData[Fiscal_Year], "FY25")&gt;0, 1, 0)</f>
        <v>1</v>
      </c>
      <c r="M1079">
        <f>IF(COUNTIFS(GiftData[Constituent_ID], GiftData[[#This Row],[Constituent_ID]], GiftData[Fiscal_Year], "FY26")&gt;0, 1, 0)</f>
        <v>1</v>
      </c>
      <c r="N1079" t="str" cm="1">
        <f t="array" ref="N10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0" spans="1:14" x14ac:dyDescent="0.2">
      <c r="A1080" t="s">
        <v>1472</v>
      </c>
      <c r="B1080" t="s">
        <v>1188</v>
      </c>
      <c r="C1080" t="s">
        <v>35</v>
      </c>
      <c r="D1080" s="1">
        <v>45695</v>
      </c>
      <c r="E1080">
        <v>238.77</v>
      </c>
      <c r="F1080" t="s">
        <v>12</v>
      </c>
      <c r="G1080" t="s">
        <v>13</v>
      </c>
      <c r="H1080" t="s">
        <v>20</v>
      </c>
      <c r="I1080" t="s">
        <v>15</v>
      </c>
      <c r="J1080" t="str">
        <f>"FY" &amp; IF(MONTH(GiftData[[#This Row],[Gift_Date]])&gt;=7, RIGHT(YEAR(GiftData[[#This Row],[Gift_Date]])+1, 2), RIGHT(YEAR(GiftData[[#This Row],[Gift_Date]]), 2))</f>
        <v>FY25</v>
      </c>
      <c r="K1080">
        <f>IF(COUNTIFS(GiftData[Constituent_ID], GiftData[[#This Row],[Constituent_ID]], GiftData[Fiscal_Year], "FY24")&gt;0, 1, 0)</f>
        <v>0</v>
      </c>
      <c r="L1080">
        <f>IF(COUNTIFS(GiftData[Constituent_ID], GiftData[[#This Row],[Constituent_ID]], GiftData[Fiscal_Year], "FY25")&gt;0, 1, 0)</f>
        <v>1</v>
      </c>
      <c r="M1080">
        <f>IF(COUNTIFS(GiftData[Constituent_ID], GiftData[[#This Row],[Constituent_ID]], GiftData[Fiscal_Year], "FY26")&gt;0, 1, 0)</f>
        <v>0</v>
      </c>
      <c r="N1080" t="str" cm="1">
        <f t="array" ref="N10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81" spans="1:14" x14ac:dyDescent="0.2">
      <c r="A1081" t="s">
        <v>1473</v>
      </c>
      <c r="B1081" t="s">
        <v>870</v>
      </c>
      <c r="C1081" t="s">
        <v>11</v>
      </c>
      <c r="D1081" s="1">
        <v>45583</v>
      </c>
      <c r="E1081">
        <v>1009.14</v>
      </c>
      <c r="F1081" t="s">
        <v>12</v>
      </c>
      <c r="G1081" t="s">
        <v>13</v>
      </c>
      <c r="H1081" t="s">
        <v>20</v>
      </c>
      <c r="I1081" t="s">
        <v>15</v>
      </c>
      <c r="J1081" t="str">
        <f>"FY" &amp; IF(MONTH(GiftData[[#This Row],[Gift_Date]])&gt;=7, RIGHT(YEAR(GiftData[[#This Row],[Gift_Date]])+1, 2), RIGHT(YEAR(GiftData[[#This Row],[Gift_Date]]), 2))</f>
        <v>FY25</v>
      </c>
      <c r="K1081">
        <f>IF(COUNTIFS(GiftData[Constituent_ID], GiftData[[#This Row],[Constituent_ID]], GiftData[Fiscal_Year], "FY24")&gt;0, 1, 0)</f>
        <v>1</v>
      </c>
      <c r="L1081">
        <f>IF(COUNTIFS(GiftData[Constituent_ID], GiftData[[#This Row],[Constituent_ID]], GiftData[Fiscal_Year], "FY25")&gt;0, 1, 0)</f>
        <v>1</v>
      </c>
      <c r="M1081">
        <f>IF(COUNTIFS(GiftData[Constituent_ID], GiftData[[#This Row],[Constituent_ID]], GiftData[Fiscal_Year], "FY26")&gt;0, 1, 0)</f>
        <v>0</v>
      </c>
      <c r="N1081" t="str" cm="1">
        <f t="array" ref="N10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82" spans="1:14" x14ac:dyDescent="0.2">
      <c r="A1082" t="s">
        <v>1474</v>
      </c>
      <c r="B1082" t="s">
        <v>1060</v>
      </c>
      <c r="C1082" t="s">
        <v>28</v>
      </c>
      <c r="D1082" s="1">
        <v>46093</v>
      </c>
      <c r="E1082">
        <v>3050.94</v>
      </c>
      <c r="F1082" t="s">
        <v>12</v>
      </c>
      <c r="G1082" t="s">
        <v>13</v>
      </c>
      <c r="H1082" t="s">
        <v>51</v>
      </c>
      <c r="I1082" t="s">
        <v>15</v>
      </c>
      <c r="J1082" t="str">
        <f>"FY" &amp; IF(MONTH(GiftData[[#This Row],[Gift_Date]])&gt;=7, RIGHT(YEAR(GiftData[[#This Row],[Gift_Date]])+1, 2), RIGHT(YEAR(GiftData[[#This Row],[Gift_Date]]), 2))</f>
        <v>FY26</v>
      </c>
      <c r="K1082">
        <f>IF(COUNTIFS(GiftData[Constituent_ID], GiftData[[#This Row],[Constituent_ID]], GiftData[Fiscal_Year], "FY24")&gt;0, 1, 0)</f>
        <v>0</v>
      </c>
      <c r="L1082">
        <f>IF(COUNTIFS(GiftData[Constituent_ID], GiftData[[#This Row],[Constituent_ID]], GiftData[Fiscal_Year], "FY25")&gt;0, 1, 0)</f>
        <v>1</v>
      </c>
      <c r="M1082">
        <f>IF(COUNTIFS(GiftData[Constituent_ID], GiftData[[#This Row],[Constituent_ID]], GiftData[Fiscal_Year], "FY26")&gt;0, 1, 0)</f>
        <v>1</v>
      </c>
      <c r="N1082" t="str" cm="1">
        <f t="array" ref="N10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3" spans="1:14" x14ac:dyDescent="0.2">
      <c r="A1083" t="s">
        <v>1475</v>
      </c>
      <c r="B1083" t="s">
        <v>166</v>
      </c>
      <c r="C1083" t="s">
        <v>11</v>
      </c>
      <c r="D1083" s="1">
        <v>45263</v>
      </c>
      <c r="E1083">
        <v>2315.39</v>
      </c>
      <c r="F1083" t="s">
        <v>12</v>
      </c>
      <c r="G1083" t="s">
        <v>29</v>
      </c>
      <c r="H1083" t="s">
        <v>41</v>
      </c>
      <c r="I1083" t="s">
        <v>30</v>
      </c>
      <c r="J1083" t="str">
        <f>"FY" &amp; IF(MONTH(GiftData[[#This Row],[Gift_Date]])&gt;=7, RIGHT(YEAR(GiftData[[#This Row],[Gift_Date]])+1, 2), RIGHT(YEAR(GiftData[[#This Row],[Gift_Date]]), 2))</f>
        <v>FY24</v>
      </c>
      <c r="K1083">
        <f>IF(COUNTIFS(GiftData[Constituent_ID], GiftData[[#This Row],[Constituent_ID]], GiftData[Fiscal_Year], "FY24")&gt;0, 1, 0)</f>
        <v>1</v>
      </c>
      <c r="L1083">
        <f>IF(COUNTIFS(GiftData[Constituent_ID], GiftData[[#This Row],[Constituent_ID]], GiftData[Fiscal_Year], "FY25")&gt;0, 1, 0)</f>
        <v>1</v>
      </c>
      <c r="M1083">
        <f>IF(COUNTIFS(GiftData[Constituent_ID], GiftData[[#This Row],[Constituent_ID]], GiftData[Fiscal_Year], "FY26")&gt;0, 1, 0)</f>
        <v>1</v>
      </c>
      <c r="N1083" t="str" cm="1">
        <f t="array" ref="N10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4" spans="1:14" x14ac:dyDescent="0.2">
      <c r="A1084" t="s">
        <v>1476</v>
      </c>
      <c r="B1084" t="s">
        <v>320</v>
      </c>
      <c r="C1084" t="s">
        <v>11</v>
      </c>
      <c r="D1084" s="1">
        <v>45297</v>
      </c>
      <c r="E1084">
        <v>847.35</v>
      </c>
      <c r="F1084" t="s">
        <v>12</v>
      </c>
      <c r="G1084" t="s">
        <v>29</v>
      </c>
      <c r="H1084" t="s">
        <v>41</v>
      </c>
      <c r="I1084" t="s">
        <v>15</v>
      </c>
      <c r="J1084" t="str">
        <f>"FY" &amp; IF(MONTH(GiftData[[#This Row],[Gift_Date]])&gt;=7, RIGHT(YEAR(GiftData[[#This Row],[Gift_Date]])+1, 2), RIGHT(YEAR(GiftData[[#This Row],[Gift_Date]]), 2))</f>
        <v>FY24</v>
      </c>
      <c r="K1084">
        <f>IF(COUNTIFS(GiftData[Constituent_ID], GiftData[[#This Row],[Constituent_ID]], GiftData[Fiscal_Year], "FY24")&gt;0, 1, 0)</f>
        <v>1</v>
      </c>
      <c r="L1084">
        <f>IF(COUNTIFS(GiftData[Constituent_ID], GiftData[[#This Row],[Constituent_ID]], GiftData[Fiscal_Year], "FY25")&gt;0, 1, 0)</f>
        <v>1</v>
      </c>
      <c r="M1084">
        <f>IF(COUNTIFS(GiftData[Constituent_ID], GiftData[[#This Row],[Constituent_ID]], GiftData[Fiscal_Year], "FY26")&gt;0, 1, 0)</f>
        <v>1</v>
      </c>
      <c r="N1084" t="str" cm="1">
        <f t="array" ref="N10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5" spans="1:14" x14ac:dyDescent="0.2">
      <c r="A1085" t="s">
        <v>1477</v>
      </c>
      <c r="B1085" t="s">
        <v>236</v>
      </c>
      <c r="C1085" t="s">
        <v>35</v>
      </c>
      <c r="D1085" s="1">
        <v>46088</v>
      </c>
      <c r="E1085">
        <v>241.36</v>
      </c>
      <c r="F1085" t="s">
        <v>12</v>
      </c>
      <c r="G1085" t="s">
        <v>13</v>
      </c>
      <c r="H1085" t="s">
        <v>164</v>
      </c>
      <c r="I1085" t="s">
        <v>38</v>
      </c>
      <c r="J1085" t="str">
        <f>"FY" &amp; IF(MONTH(GiftData[[#This Row],[Gift_Date]])&gt;=7, RIGHT(YEAR(GiftData[[#This Row],[Gift_Date]])+1, 2), RIGHT(YEAR(GiftData[[#This Row],[Gift_Date]]), 2))</f>
        <v>FY26</v>
      </c>
      <c r="K1085">
        <f>IF(COUNTIFS(GiftData[Constituent_ID], GiftData[[#This Row],[Constituent_ID]], GiftData[Fiscal_Year], "FY24")&gt;0, 1, 0)</f>
        <v>1</v>
      </c>
      <c r="L1085">
        <f>IF(COUNTIFS(GiftData[Constituent_ID], GiftData[[#This Row],[Constituent_ID]], GiftData[Fiscal_Year], "FY25")&gt;0, 1, 0)</f>
        <v>1</v>
      </c>
      <c r="M1085">
        <f>IF(COUNTIFS(GiftData[Constituent_ID], GiftData[[#This Row],[Constituent_ID]], GiftData[Fiscal_Year], "FY26")&gt;0, 1, 0)</f>
        <v>1</v>
      </c>
      <c r="N1085" t="str" cm="1">
        <f t="array" ref="N10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6" spans="1:14" x14ac:dyDescent="0.2">
      <c r="A1086" t="s">
        <v>1478</v>
      </c>
      <c r="B1086" t="s">
        <v>748</v>
      </c>
      <c r="C1086" t="s">
        <v>28</v>
      </c>
      <c r="D1086" s="1">
        <v>45653</v>
      </c>
      <c r="E1086">
        <v>702.13</v>
      </c>
      <c r="F1086" t="s">
        <v>25</v>
      </c>
      <c r="G1086" t="s">
        <v>13</v>
      </c>
      <c r="H1086" t="s">
        <v>164</v>
      </c>
      <c r="I1086" t="s">
        <v>56</v>
      </c>
      <c r="J1086" t="str">
        <f>"FY" &amp; IF(MONTH(GiftData[[#This Row],[Gift_Date]])&gt;=7, RIGHT(YEAR(GiftData[[#This Row],[Gift_Date]])+1, 2), RIGHT(YEAR(GiftData[[#This Row],[Gift_Date]]), 2))</f>
        <v>FY25</v>
      </c>
      <c r="K1086">
        <f>IF(COUNTIFS(GiftData[Constituent_ID], GiftData[[#This Row],[Constituent_ID]], GiftData[Fiscal_Year], "FY24")&gt;0, 1, 0)</f>
        <v>1</v>
      </c>
      <c r="L1086">
        <f>IF(COUNTIFS(GiftData[Constituent_ID], GiftData[[#This Row],[Constituent_ID]], GiftData[Fiscal_Year], "FY25")&gt;0, 1, 0)</f>
        <v>1</v>
      </c>
      <c r="M1086">
        <f>IF(COUNTIFS(GiftData[Constituent_ID], GiftData[[#This Row],[Constituent_ID]], GiftData[Fiscal_Year], "FY26")&gt;0, 1, 0)</f>
        <v>1</v>
      </c>
      <c r="N1086" t="str" cm="1">
        <f t="array" ref="N10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7" spans="1:14" x14ac:dyDescent="0.2">
      <c r="A1087" t="s">
        <v>1479</v>
      </c>
      <c r="B1087" t="s">
        <v>128</v>
      </c>
      <c r="C1087" t="s">
        <v>28</v>
      </c>
      <c r="D1087" s="1">
        <v>45148</v>
      </c>
      <c r="E1087">
        <v>1053.5</v>
      </c>
      <c r="F1087" t="s">
        <v>12</v>
      </c>
      <c r="G1087" t="s">
        <v>13</v>
      </c>
      <c r="H1087" t="s">
        <v>41</v>
      </c>
      <c r="I1087" t="s">
        <v>15</v>
      </c>
      <c r="J1087" t="str">
        <f>"FY" &amp; IF(MONTH(GiftData[[#This Row],[Gift_Date]])&gt;=7, RIGHT(YEAR(GiftData[[#This Row],[Gift_Date]])+1, 2), RIGHT(YEAR(GiftData[[#This Row],[Gift_Date]]), 2))</f>
        <v>FY24</v>
      </c>
      <c r="K1087">
        <f>IF(COUNTIFS(GiftData[Constituent_ID], GiftData[[#This Row],[Constituent_ID]], GiftData[Fiscal_Year], "FY24")&gt;0, 1, 0)</f>
        <v>1</v>
      </c>
      <c r="L1087">
        <f>IF(COUNTIFS(GiftData[Constituent_ID], GiftData[[#This Row],[Constituent_ID]], GiftData[Fiscal_Year], "FY25")&gt;0, 1, 0)</f>
        <v>1</v>
      </c>
      <c r="M1087">
        <f>IF(COUNTIFS(GiftData[Constituent_ID], GiftData[[#This Row],[Constituent_ID]], GiftData[Fiscal_Year], "FY26")&gt;0, 1, 0)</f>
        <v>1</v>
      </c>
      <c r="N1087" t="str" cm="1">
        <f t="array" ref="N10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8" spans="1:14" x14ac:dyDescent="0.2">
      <c r="A1088" t="s">
        <v>1480</v>
      </c>
      <c r="B1088" t="s">
        <v>27</v>
      </c>
      <c r="C1088" t="s">
        <v>11</v>
      </c>
      <c r="D1088" s="1">
        <v>45414</v>
      </c>
      <c r="E1088">
        <v>100.33</v>
      </c>
      <c r="F1088" t="s">
        <v>59</v>
      </c>
      <c r="G1088" t="s">
        <v>29</v>
      </c>
      <c r="H1088" t="s">
        <v>20</v>
      </c>
      <c r="I1088" t="s">
        <v>56</v>
      </c>
      <c r="J1088" t="str">
        <f>"FY" &amp; IF(MONTH(GiftData[[#This Row],[Gift_Date]])&gt;=7, RIGHT(YEAR(GiftData[[#This Row],[Gift_Date]])+1, 2), RIGHT(YEAR(GiftData[[#This Row],[Gift_Date]]), 2))</f>
        <v>FY24</v>
      </c>
      <c r="K1088">
        <f>IF(COUNTIFS(GiftData[Constituent_ID], GiftData[[#This Row],[Constituent_ID]], GiftData[Fiscal_Year], "FY24")&gt;0, 1, 0)</f>
        <v>1</v>
      </c>
      <c r="L1088">
        <f>IF(COUNTIFS(GiftData[Constituent_ID], GiftData[[#This Row],[Constituent_ID]], GiftData[Fiscal_Year], "FY25")&gt;0, 1, 0)</f>
        <v>1</v>
      </c>
      <c r="M1088">
        <f>IF(COUNTIFS(GiftData[Constituent_ID], GiftData[[#This Row],[Constituent_ID]], GiftData[Fiscal_Year], "FY26")&gt;0, 1, 0)</f>
        <v>1</v>
      </c>
      <c r="N1088" t="str" cm="1">
        <f t="array" ref="N10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89" spans="1:14" x14ac:dyDescent="0.2">
      <c r="A1089" t="s">
        <v>1481</v>
      </c>
      <c r="B1089" t="s">
        <v>927</v>
      </c>
      <c r="C1089" t="s">
        <v>11</v>
      </c>
      <c r="D1089" s="1">
        <v>46050</v>
      </c>
      <c r="E1089">
        <v>60.8</v>
      </c>
      <c r="F1089" t="s">
        <v>12</v>
      </c>
      <c r="G1089" t="s">
        <v>29</v>
      </c>
      <c r="H1089" t="s">
        <v>51</v>
      </c>
      <c r="I1089" t="s">
        <v>56</v>
      </c>
      <c r="J1089" t="str">
        <f>"FY" &amp; IF(MONTH(GiftData[[#This Row],[Gift_Date]])&gt;=7, RIGHT(YEAR(GiftData[[#This Row],[Gift_Date]])+1, 2), RIGHT(YEAR(GiftData[[#This Row],[Gift_Date]]), 2))</f>
        <v>FY26</v>
      </c>
      <c r="K1089">
        <f>IF(COUNTIFS(GiftData[Constituent_ID], GiftData[[#This Row],[Constituent_ID]], GiftData[Fiscal_Year], "FY24")&gt;0, 1, 0)</f>
        <v>1</v>
      </c>
      <c r="L1089">
        <f>IF(COUNTIFS(GiftData[Constituent_ID], GiftData[[#This Row],[Constituent_ID]], GiftData[Fiscal_Year], "FY25")&gt;0, 1, 0)</f>
        <v>1</v>
      </c>
      <c r="M1089">
        <f>IF(COUNTIFS(GiftData[Constituent_ID], GiftData[[#This Row],[Constituent_ID]], GiftData[Fiscal_Year], "FY26")&gt;0, 1, 0)</f>
        <v>1</v>
      </c>
      <c r="N1089" t="str" cm="1">
        <f t="array" ref="N10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0" spans="1:14" x14ac:dyDescent="0.2">
      <c r="A1090" t="s">
        <v>1482</v>
      </c>
      <c r="B1090" t="s">
        <v>87</v>
      </c>
      <c r="C1090" t="s">
        <v>28</v>
      </c>
      <c r="D1090" s="1">
        <v>45445</v>
      </c>
      <c r="E1090">
        <v>44.81</v>
      </c>
      <c r="F1090" t="s">
        <v>12</v>
      </c>
      <c r="G1090" t="s">
        <v>29</v>
      </c>
      <c r="H1090" t="s">
        <v>20</v>
      </c>
      <c r="I1090" t="s">
        <v>56</v>
      </c>
      <c r="J1090" t="str">
        <f>"FY" &amp; IF(MONTH(GiftData[[#This Row],[Gift_Date]])&gt;=7, RIGHT(YEAR(GiftData[[#This Row],[Gift_Date]])+1, 2), RIGHT(YEAR(GiftData[[#This Row],[Gift_Date]]), 2))</f>
        <v>FY24</v>
      </c>
      <c r="K1090">
        <f>IF(COUNTIFS(GiftData[Constituent_ID], GiftData[[#This Row],[Constituent_ID]], GiftData[Fiscal_Year], "FY24")&gt;0, 1, 0)</f>
        <v>1</v>
      </c>
      <c r="L1090">
        <f>IF(COUNTIFS(GiftData[Constituent_ID], GiftData[[#This Row],[Constituent_ID]], GiftData[Fiscal_Year], "FY25")&gt;0, 1, 0)</f>
        <v>1</v>
      </c>
      <c r="M1090">
        <f>IF(COUNTIFS(GiftData[Constituent_ID], GiftData[[#This Row],[Constituent_ID]], GiftData[Fiscal_Year], "FY26")&gt;0, 1, 0)</f>
        <v>0</v>
      </c>
      <c r="N1090" t="str" cm="1">
        <f t="array" ref="N10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091" spans="1:14" x14ac:dyDescent="0.2">
      <c r="A1091" t="s">
        <v>1483</v>
      </c>
      <c r="B1091" t="s">
        <v>1055</v>
      </c>
      <c r="C1091" t="s">
        <v>35</v>
      </c>
      <c r="D1091" s="1">
        <v>46060</v>
      </c>
      <c r="E1091">
        <v>38.89</v>
      </c>
      <c r="F1091" t="s">
        <v>12</v>
      </c>
      <c r="G1091" t="s">
        <v>13</v>
      </c>
      <c r="H1091" t="s">
        <v>41</v>
      </c>
      <c r="I1091" t="s">
        <v>15</v>
      </c>
      <c r="J1091" t="str">
        <f>"FY" &amp; IF(MONTH(GiftData[[#This Row],[Gift_Date]])&gt;=7, RIGHT(YEAR(GiftData[[#This Row],[Gift_Date]])+1, 2), RIGHT(YEAR(GiftData[[#This Row],[Gift_Date]]), 2))</f>
        <v>FY26</v>
      </c>
      <c r="K1091">
        <f>IF(COUNTIFS(GiftData[Constituent_ID], GiftData[[#This Row],[Constituent_ID]], GiftData[Fiscal_Year], "FY24")&gt;0, 1, 0)</f>
        <v>0</v>
      </c>
      <c r="L1091">
        <f>IF(COUNTIFS(GiftData[Constituent_ID], GiftData[[#This Row],[Constituent_ID]], GiftData[Fiscal_Year], "FY25")&gt;0, 1, 0)</f>
        <v>1</v>
      </c>
      <c r="M1091">
        <f>IF(COUNTIFS(GiftData[Constituent_ID], GiftData[[#This Row],[Constituent_ID]], GiftData[Fiscal_Year], "FY26")&gt;0, 1, 0)</f>
        <v>1</v>
      </c>
      <c r="N1091" t="str" cm="1">
        <f t="array" ref="N10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2" spans="1:14" x14ac:dyDescent="0.2">
      <c r="A1092" t="s">
        <v>1484</v>
      </c>
      <c r="B1092" t="s">
        <v>881</v>
      </c>
      <c r="C1092" t="s">
        <v>28</v>
      </c>
      <c r="D1092" s="1">
        <v>45386</v>
      </c>
      <c r="E1092">
        <v>20.149999999999999</v>
      </c>
      <c r="F1092" t="s">
        <v>12</v>
      </c>
      <c r="G1092" t="s">
        <v>13</v>
      </c>
      <c r="H1092" t="s">
        <v>41</v>
      </c>
      <c r="I1092" t="s">
        <v>15</v>
      </c>
      <c r="J1092" t="str">
        <f>"FY" &amp; IF(MONTH(GiftData[[#This Row],[Gift_Date]])&gt;=7, RIGHT(YEAR(GiftData[[#This Row],[Gift_Date]])+1, 2), RIGHT(YEAR(GiftData[[#This Row],[Gift_Date]]), 2))</f>
        <v>FY24</v>
      </c>
      <c r="K1092">
        <f>IF(COUNTIFS(GiftData[Constituent_ID], GiftData[[#This Row],[Constituent_ID]], GiftData[Fiscal_Year], "FY24")&gt;0, 1, 0)</f>
        <v>1</v>
      </c>
      <c r="L1092">
        <f>IF(COUNTIFS(GiftData[Constituent_ID], GiftData[[#This Row],[Constituent_ID]], GiftData[Fiscal_Year], "FY25")&gt;0, 1, 0)</f>
        <v>1</v>
      </c>
      <c r="M1092">
        <f>IF(COUNTIFS(GiftData[Constituent_ID], GiftData[[#This Row],[Constituent_ID]], GiftData[Fiscal_Year], "FY26")&gt;0, 1, 0)</f>
        <v>1</v>
      </c>
      <c r="N1092" t="str" cm="1">
        <f t="array" ref="N10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3" spans="1:14" x14ac:dyDescent="0.2">
      <c r="A1093" t="s">
        <v>1485</v>
      </c>
      <c r="B1093" t="s">
        <v>32</v>
      </c>
      <c r="C1093" t="s">
        <v>48</v>
      </c>
      <c r="D1093" s="1">
        <v>46003</v>
      </c>
      <c r="E1093">
        <v>168.15</v>
      </c>
      <c r="F1093" t="s">
        <v>59</v>
      </c>
      <c r="G1093" t="s">
        <v>13</v>
      </c>
      <c r="H1093" t="s">
        <v>41</v>
      </c>
      <c r="I1093" t="s">
        <v>56</v>
      </c>
      <c r="J1093" t="str">
        <f>"FY" &amp; IF(MONTH(GiftData[[#This Row],[Gift_Date]])&gt;=7, RIGHT(YEAR(GiftData[[#This Row],[Gift_Date]])+1, 2), RIGHT(YEAR(GiftData[[#This Row],[Gift_Date]]), 2))</f>
        <v>FY26</v>
      </c>
      <c r="K1093">
        <f>IF(COUNTIFS(GiftData[Constituent_ID], GiftData[[#This Row],[Constituent_ID]], GiftData[Fiscal_Year], "FY24")&gt;0, 1, 0)</f>
        <v>1</v>
      </c>
      <c r="L1093">
        <f>IF(COUNTIFS(GiftData[Constituent_ID], GiftData[[#This Row],[Constituent_ID]], GiftData[Fiscal_Year], "FY25")&gt;0, 1, 0)</f>
        <v>0</v>
      </c>
      <c r="M1093">
        <f>IF(COUNTIFS(GiftData[Constituent_ID], GiftData[[#This Row],[Constituent_ID]], GiftData[Fiscal_Year], "FY26")&gt;0, 1, 0)</f>
        <v>1</v>
      </c>
      <c r="N1093" t="str" cm="1">
        <f t="array" ref="N10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4" spans="1:14" x14ac:dyDescent="0.2">
      <c r="A1094" t="s">
        <v>1486</v>
      </c>
      <c r="B1094" t="s">
        <v>1403</v>
      </c>
      <c r="C1094" t="s">
        <v>35</v>
      </c>
      <c r="D1094" s="1">
        <v>45380</v>
      </c>
      <c r="E1094">
        <v>33.130000000000003</v>
      </c>
      <c r="F1094" t="s">
        <v>25</v>
      </c>
      <c r="G1094" t="s">
        <v>13</v>
      </c>
      <c r="H1094" t="s">
        <v>14</v>
      </c>
      <c r="I1094" t="s">
        <v>15</v>
      </c>
      <c r="J1094" t="str">
        <f>"FY" &amp; IF(MONTH(GiftData[[#This Row],[Gift_Date]])&gt;=7, RIGHT(YEAR(GiftData[[#This Row],[Gift_Date]])+1, 2), RIGHT(YEAR(GiftData[[#This Row],[Gift_Date]]), 2))</f>
        <v>FY24</v>
      </c>
      <c r="K1094">
        <f>IF(COUNTIFS(GiftData[Constituent_ID], GiftData[[#This Row],[Constituent_ID]], GiftData[Fiscal_Year], "FY24")&gt;0, 1, 0)</f>
        <v>1</v>
      </c>
      <c r="L1094">
        <f>IF(COUNTIFS(GiftData[Constituent_ID], GiftData[[#This Row],[Constituent_ID]], GiftData[Fiscal_Year], "FY25")&gt;0, 1, 0)</f>
        <v>1</v>
      </c>
      <c r="M1094">
        <f>IF(COUNTIFS(GiftData[Constituent_ID], GiftData[[#This Row],[Constituent_ID]], GiftData[Fiscal_Year], "FY26")&gt;0, 1, 0)</f>
        <v>1</v>
      </c>
      <c r="N1094" t="str" cm="1">
        <f t="array" ref="N10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5" spans="1:14" x14ac:dyDescent="0.2">
      <c r="A1095" t="s">
        <v>1487</v>
      </c>
      <c r="B1095" t="s">
        <v>872</v>
      </c>
      <c r="C1095" t="s">
        <v>28</v>
      </c>
      <c r="D1095" s="1">
        <v>45944</v>
      </c>
      <c r="E1095">
        <v>43.88</v>
      </c>
      <c r="F1095" t="s">
        <v>59</v>
      </c>
      <c r="G1095" t="s">
        <v>13</v>
      </c>
      <c r="H1095" t="s">
        <v>41</v>
      </c>
      <c r="I1095" t="s">
        <v>38</v>
      </c>
      <c r="J1095" t="str">
        <f>"FY" &amp; IF(MONTH(GiftData[[#This Row],[Gift_Date]])&gt;=7, RIGHT(YEAR(GiftData[[#This Row],[Gift_Date]])+1, 2), RIGHT(YEAR(GiftData[[#This Row],[Gift_Date]]), 2))</f>
        <v>FY26</v>
      </c>
      <c r="K1095">
        <f>IF(COUNTIFS(GiftData[Constituent_ID], GiftData[[#This Row],[Constituent_ID]], GiftData[Fiscal_Year], "FY24")&gt;0, 1, 0)</f>
        <v>1</v>
      </c>
      <c r="L1095">
        <f>IF(COUNTIFS(GiftData[Constituent_ID], GiftData[[#This Row],[Constituent_ID]], GiftData[Fiscal_Year], "FY25")&gt;0, 1, 0)</f>
        <v>0</v>
      </c>
      <c r="M1095">
        <f>IF(COUNTIFS(GiftData[Constituent_ID], GiftData[[#This Row],[Constituent_ID]], GiftData[Fiscal_Year], "FY26")&gt;0, 1, 0)</f>
        <v>1</v>
      </c>
      <c r="N1095" t="str" cm="1">
        <f t="array" ref="N10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6" spans="1:14" x14ac:dyDescent="0.2">
      <c r="A1096" t="s">
        <v>1488</v>
      </c>
      <c r="B1096" t="s">
        <v>502</v>
      </c>
      <c r="C1096" t="s">
        <v>28</v>
      </c>
      <c r="D1096" s="1">
        <v>45727</v>
      </c>
      <c r="E1096">
        <v>302.36</v>
      </c>
      <c r="F1096" t="s">
        <v>59</v>
      </c>
      <c r="G1096" t="s">
        <v>13</v>
      </c>
      <c r="H1096" t="s">
        <v>164</v>
      </c>
      <c r="I1096" t="s">
        <v>15</v>
      </c>
      <c r="J1096" t="str">
        <f>"FY" &amp; IF(MONTH(GiftData[[#This Row],[Gift_Date]])&gt;=7, RIGHT(YEAR(GiftData[[#This Row],[Gift_Date]])+1, 2), RIGHT(YEAR(GiftData[[#This Row],[Gift_Date]]), 2))</f>
        <v>FY25</v>
      </c>
      <c r="K1096">
        <f>IF(COUNTIFS(GiftData[Constituent_ID], GiftData[[#This Row],[Constituent_ID]], GiftData[Fiscal_Year], "FY24")&gt;0, 1, 0)</f>
        <v>1</v>
      </c>
      <c r="L1096">
        <f>IF(COUNTIFS(GiftData[Constituent_ID], GiftData[[#This Row],[Constituent_ID]], GiftData[Fiscal_Year], "FY25")&gt;0, 1, 0)</f>
        <v>1</v>
      </c>
      <c r="M1096">
        <f>IF(COUNTIFS(GiftData[Constituent_ID], GiftData[[#This Row],[Constituent_ID]], GiftData[Fiscal_Year], "FY26")&gt;0, 1, 0)</f>
        <v>1</v>
      </c>
      <c r="N1096" t="str" cm="1">
        <f t="array" ref="N10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7" spans="1:14" x14ac:dyDescent="0.2">
      <c r="A1097" t="s">
        <v>1489</v>
      </c>
      <c r="B1097" t="s">
        <v>144</v>
      </c>
      <c r="C1097" t="s">
        <v>48</v>
      </c>
      <c r="D1097" s="1">
        <v>45969</v>
      </c>
      <c r="E1097">
        <v>153.87</v>
      </c>
      <c r="F1097" t="s">
        <v>25</v>
      </c>
      <c r="G1097" t="s">
        <v>13</v>
      </c>
      <c r="H1097" t="s">
        <v>20</v>
      </c>
      <c r="I1097" t="s">
        <v>15</v>
      </c>
      <c r="J1097" t="str">
        <f>"FY" &amp; IF(MONTH(GiftData[[#This Row],[Gift_Date]])&gt;=7, RIGHT(YEAR(GiftData[[#This Row],[Gift_Date]])+1, 2), RIGHT(YEAR(GiftData[[#This Row],[Gift_Date]]), 2))</f>
        <v>FY26</v>
      </c>
      <c r="K1097">
        <f>IF(COUNTIFS(GiftData[Constituent_ID], GiftData[[#This Row],[Constituent_ID]], GiftData[Fiscal_Year], "FY24")&gt;0, 1, 0)</f>
        <v>1</v>
      </c>
      <c r="L1097">
        <f>IF(COUNTIFS(GiftData[Constituent_ID], GiftData[[#This Row],[Constituent_ID]], GiftData[Fiscal_Year], "FY25")&gt;0, 1, 0)</f>
        <v>1</v>
      </c>
      <c r="M1097">
        <f>IF(COUNTIFS(GiftData[Constituent_ID], GiftData[[#This Row],[Constituent_ID]], GiftData[Fiscal_Year], "FY26")&gt;0, 1, 0)</f>
        <v>1</v>
      </c>
      <c r="N1097" t="str" cm="1">
        <f t="array" ref="N10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8" spans="1:14" x14ac:dyDescent="0.2">
      <c r="A1098" t="s">
        <v>1490</v>
      </c>
      <c r="B1098" t="s">
        <v>280</v>
      </c>
      <c r="C1098" t="s">
        <v>28</v>
      </c>
      <c r="D1098" s="1">
        <v>46038</v>
      </c>
      <c r="E1098">
        <v>212.41</v>
      </c>
      <c r="F1098" t="s">
        <v>12</v>
      </c>
      <c r="G1098" t="s">
        <v>13</v>
      </c>
      <c r="H1098" t="s">
        <v>20</v>
      </c>
      <c r="I1098" t="s">
        <v>15</v>
      </c>
      <c r="J1098" t="str">
        <f>"FY" &amp; IF(MONTH(GiftData[[#This Row],[Gift_Date]])&gt;=7, RIGHT(YEAR(GiftData[[#This Row],[Gift_Date]])+1, 2), RIGHT(YEAR(GiftData[[#This Row],[Gift_Date]]), 2))</f>
        <v>FY26</v>
      </c>
      <c r="K1098">
        <f>IF(COUNTIFS(GiftData[Constituent_ID], GiftData[[#This Row],[Constituent_ID]], GiftData[Fiscal_Year], "FY24")&gt;0, 1, 0)</f>
        <v>0</v>
      </c>
      <c r="L1098">
        <f>IF(COUNTIFS(GiftData[Constituent_ID], GiftData[[#This Row],[Constituent_ID]], GiftData[Fiscal_Year], "FY25")&gt;0, 1, 0)</f>
        <v>1</v>
      </c>
      <c r="M1098">
        <f>IF(COUNTIFS(GiftData[Constituent_ID], GiftData[[#This Row],[Constituent_ID]], GiftData[Fiscal_Year], "FY26")&gt;0, 1, 0)</f>
        <v>1</v>
      </c>
      <c r="N1098" t="str" cm="1">
        <f t="array" ref="N10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099" spans="1:14" x14ac:dyDescent="0.2">
      <c r="A1099" t="s">
        <v>1491</v>
      </c>
      <c r="B1099" t="s">
        <v>537</v>
      </c>
      <c r="C1099" t="s">
        <v>35</v>
      </c>
      <c r="D1099" s="1">
        <v>45396</v>
      </c>
      <c r="E1099">
        <v>716.73</v>
      </c>
      <c r="F1099" t="s">
        <v>12</v>
      </c>
      <c r="G1099" t="s">
        <v>13</v>
      </c>
      <c r="H1099" t="s">
        <v>41</v>
      </c>
      <c r="I1099" t="s">
        <v>38</v>
      </c>
      <c r="J1099" t="str">
        <f>"FY" &amp; IF(MONTH(GiftData[[#This Row],[Gift_Date]])&gt;=7, RIGHT(YEAR(GiftData[[#This Row],[Gift_Date]])+1, 2), RIGHT(YEAR(GiftData[[#This Row],[Gift_Date]]), 2))</f>
        <v>FY24</v>
      </c>
      <c r="K1099">
        <f>IF(COUNTIFS(GiftData[Constituent_ID], GiftData[[#This Row],[Constituent_ID]], GiftData[Fiscal_Year], "FY24")&gt;0, 1, 0)</f>
        <v>1</v>
      </c>
      <c r="L1099">
        <f>IF(COUNTIFS(GiftData[Constituent_ID], GiftData[[#This Row],[Constituent_ID]], GiftData[Fiscal_Year], "FY25")&gt;0, 1, 0)</f>
        <v>1</v>
      </c>
      <c r="M1099">
        <f>IF(COUNTIFS(GiftData[Constituent_ID], GiftData[[#This Row],[Constituent_ID]], GiftData[Fiscal_Year], "FY26")&gt;0, 1, 0)</f>
        <v>1</v>
      </c>
      <c r="N1099" t="str" cm="1">
        <f t="array" ref="N10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0" spans="1:14" x14ac:dyDescent="0.2">
      <c r="A1100" t="s">
        <v>1492</v>
      </c>
      <c r="B1100" t="s">
        <v>468</v>
      </c>
      <c r="C1100" t="s">
        <v>28</v>
      </c>
      <c r="D1100" s="1">
        <v>45831</v>
      </c>
      <c r="E1100">
        <v>373.86</v>
      </c>
      <c r="F1100" t="s">
        <v>19</v>
      </c>
      <c r="G1100" t="s">
        <v>13</v>
      </c>
      <c r="H1100" t="s">
        <v>164</v>
      </c>
      <c r="I1100" t="s">
        <v>15</v>
      </c>
      <c r="J1100" t="str">
        <f>"FY" &amp; IF(MONTH(GiftData[[#This Row],[Gift_Date]])&gt;=7, RIGHT(YEAR(GiftData[[#This Row],[Gift_Date]])+1, 2), RIGHT(YEAR(GiftData[[#This Row],[Gift_Date]]), 2))</f>
        <v>FY25</v>
      </c>
      <c r="K1100">
        <f>IF(COUNTIFS(GiftData[Constituent_ID], GiftData[[#This Row],[Constituent_ID]], GiftData[Fiscal_Year], "FY24")&gt;0, 1, 0)</f>
        <v>0</v>
      </c>
      <c r="L1100">
        <f>IF(COUNTIFS(GiftData[Constituent_ID], GiftData[[#This Row],[Constituent_ID]], GiftData[Fiscal_Year], "FY25")&gt;0, 1, 0)</f>
        <v>1</v>
      </c>
      <c r="M1100">
        <f>IF(COUNTIFS(GiftData[Constituent_ID], GiftData[[#This Row],[Constituent_ID]], GiftData[Fiscal_Year], "FY26")&gt;0, 1, 0)</f>
        <v>1</v>
      </c>
      <c r="N1100" t="str" cm="1">
        <f t="array" ref="N11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1" spans="1:14" x14ac:dyDescent="0.2">
      <c r="A1101" t="s">
        <v>1493</v>
      </c>
      <c r="B1101" t="s">
        <v>40</v>
      </c>
      <c r="C1101" t="s">
        <v>28</v>
      </c>
      <c r="D1101" s="1">
        <v>46000</v>
      </c>
      <c r="E1101">
        <v>875.29</v>
      </c>
      <c r="F1101" t="s">
        <v>25</v>
      </c>
      <c r="G1101" t="s">
        <v>29</v>
      </c>
      <c r="H1101" t="s">
        <v>20</v>
      </c>
      <c r="I1101" t="s">
        <v>38</v>
      </c>
      <c r="J1101" t="str">
        <f>"FY" &amp; IF(MONTH(GiftData[[#This Row],[Gift_Date]])&gt;=7, RIGHT(YEAR(GiftData[[#This Row],[Gift_Date]])+1, 2), RIGHT(YEAR(GiftData[[#This Row],[Gift_Date]]), 2))</f>
        <v>FY26</v>
      </c>
      <c r="K1101">
        <f>IF(COUNTIFS(GiftData[Constituent_ID], GiftData[[#This Row],[Constituent_ID]], GiftData[Fiscal_Year], "FY24")&gt;0, 1, 0)</f>
        <v>0</v>
      </c>
      <c r="L1101">
        <f>IF(COUNTIFS(GiftData[Constituent_ID], GiftData[[#This Row],[Constituent_ID]], GiftData[Fiscal_Year], "FY25")&gt;0, 1, 0)</f>
        <v>1</v>
      </c>
      <c r="M1101">
        <f>IF(COUNTIFS(GiftData[Constituent_ID], GiftData[[#This Row],[Constituent_ID]], GiftData[Fiscal_Year], "FY26")&gt;0, 1, 0)</f>
        <v>1</v>
      </c>
      <c r="N1101" t="str" cm="1">
        <f t="array" ref="N11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2" spans="1:14" x14ac:dyDescent="0.2">
      <c r="A1102" t="s">
        <v>1494</v>
      </c>
      <c r="B1102" t="s">
        <v>1495</v>
      </c>
      <c r="C1102" t="s">
        <v>18</v>
      </c>
      <c r="D1102" s="1">
        <v>45379</v>
      </c>
      <c r="E1102">
        <v>134.82</v>
      </c>
      <c r="F1102" t="s">
        <v>12</v>
      </c>
      <c r="G1102" t="s">
        <v>13</v>
      </c>
      <c r="H1102" t="s">
        <v>20</v>
      </c>
      <c r="I1102" t="s">
        <v>15</v>
      </c>
      <c r="J1102" t="str">
        <f>"FY" &amp; IF(MONTH(GiftData[[#This Row],[Gift_Date]])&gt;=7, RIGHT(YEAR(GiftData[[#This Row],[Gift_Date]])+1, 2), RIGHT(YEAR(GiftData[[#This Row],[Gift_Date]]), 2))</f>
        <v>FY24</v>
      </c>
      <c r="K1102">
        <f>IF(COUNTIFS(GiftData[Constituent_ID], GiftData[[#This Row],[Constituent_ID]], GiftData[Fiscal_Year], "FY24")&gt;0, 1, 0)</f>
        <v>1</v>
      </c>
      <c r="L1102">
        <f>IF(COUNTIFS(GiftData[Constituent_ID], GiftData[[#This Row],[Constituent_ID]], GiftData[Fiscal_Year], "FY25")&gt;0, 1, 0)</f>
        <v>1</v>
      </c>
      <c r="M1102">
        <f>IF(COUNTIFS(GiftData[Constituent_ID], GiftData[[#This Row],[Constituent_ID]], GiftData[Fiscal_Year], "FY26")&gt;0, 1, 0)</f>
        <v>0</v>
      </c>
      <c r="N1102" t="str" cm="1">
        <f t="array" ref="N110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03" spans="1:14" x14ac:dyDescent="0.2">
      <c r="A1103" t="s">
        <v>1496</v>
      </c>
      <c r="B1103" t="s">
        <v>277</v>
      </c>
      <c r="C1103" t="s">
        <v>11</v>
      </c>
      <c r="D1103" s="1">
        <v>45590</v>
      </c>
      <c r="E1103">
        <v>987.65</v>
      </c>
      <c r="F1103" t="s">
        <v>25</v>
      </c>
      <c r="G1103" t="s">
        <v>13</v>
      </c>
      <c r="H1103" t="s">
        <v>20</v>
      </c>
      <c r="I1103" t="s">
        <v>38</v>
      </c>
      <c r="J1103" t="str">
        <f>"FY" &amp; IF(MONTH(GiftData[[#This Row],[Gift_Date]])&gt;=7, RIGHT(YEAR(GiftData[[#This Row],[Gift_Date]])+1, 2), RIGHT(YEAR(GiftData[[#This Row],[Gift_Date]]), 2))</f>
        <v>FY25</v>
      </c>
      <c r="K1103">
        <f>IF(COUNTIFS(GiftData[Constituent_ID], GiftData[[#This Row],[Constituent_ID]], GiftData[Fiscal_Year], "FY24")&gt;0, 1, 0)</f>
        <v>1</v>
      </c>
      <c r="L1103">
        <f>IF(COUNTIFS(GiftData[Constituent_ID], GiftData[[#This Row],[Constituent_ID]], GiftData[Fiscal_Year], "FY25")&gt;0, 1, 0)</f>
        <v>1</v>
      </c>
      <c r="M1103">
        <f>IF(COUNTIFS(GiftData[Constituent_ID], GiftData[[#This Row],[Constituent_ID]], GiftData[Fiscal_Year], "FY26")&gt;0, 1, 0)</f>
        <v>1</v>
      </c>
      <c r="N1103" t="str" cm="1">
        <f t="array" ref="N110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4" spans="1:14" x14ac:dyDescent="0.2">
      <c r="A1104" t="s">
        <v>1497</v>
      </c>
      <c r="B1104" t="s">
        <v>743</v>
      </c>
      <c r="C1104" t="s">
        <v>48</v>
      </c>
      <c r="D1104" s="1">
        <v>46043</v>
      </c>
      <c r="E1104">
        <v>193.96</v>
      </c>
      <c r="F1104" t="s">
        <v>12</v>
      </c>
      <c r="G1104" t="s">
        <v>13</v>
      </c>
      <c r="H1104" t="s">
        <v>20</v>
      </c>
      <c r="I1104" t="s">
        <v>38</v>
      </c>
      <c r="J1104" t="str">
        <f>"FY" &amp; IF(MONTH(GiftData[[#This Row],[Gift_Date]])&gt;=7, RIGHT(YEAR(GiftData[[#This Row],[Gift_Date]])+1, 2), RIGHT(YEAR(GiftData[[#This Row],[Gift_Date]]), 2))</f>
        <v>FY26</v>
      </c>
      <c r="K1104">
        <f>IF(COUNTIFS(GiftData[Constituent_ID], GiftData[[#This Row],[Constituent_ID]], GiftData[Fiscal_Year], "FY24")&gt;0, 1, 0)</f>
        <v>0</v>
      </c>
      <c r="L1104">
        <f>IF(COUNTIFS(GiftData[Constituent_ID], GiftData[[#This Row],[Constituent_ID]], GiftData[Fiscal_Year], "FY25")&gt;0, 1, 0)</f>
        <v>1</v>
      </c>
      <c r="M1104">
        <f>IF(COUNTIFS(GiftData[Constituent_ID], GiftData[[#This Row],[Constituent_ID]], GiftData[Fiscal_Year], "FY26")&gt;0, 1, 0)</f>
        <v>1</v>
      </c>
      <c r="N1104" t="str" cm="1">
        <f t="array" ref="N110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5" spans="1:14" x14ac:dyDescent="0.2">
      <c r="A1105" t="s">
        <v>1498</v>
      </c>
      <c r="B1105" t="s">
        <v>17</v>
      </c>
      <c r="C1105" t="s">
        <v>28</v>
      </c>
      <c r="D1105" s="1">
        <v>45355</v>
      </c>
      <c r="E1105">
        <v>151.31</v>
      </c>
      <c r="F1105" t="s">
        <v>12</v>
      </c>
      <c r="G1105" t="s">
        <v>13</v>
      </c>
      <c r="H1105" t="s">
        <v>164</v>
      </c>
      <c r="I1105" t="s">
        <v>15</v>
      </c>
      <c r="J1105" t="str">
        <f>"FY" &amp; IF(MONTH(GiftData[[#This Row],[Gift_Date]])&gt;=7, RIGHT(YEAR(GiftData[[#This Row],[Gift_Date]])+1, 2), RIGHT(YEAR(GiftData[[#This Row],[Gift_Date]]), 2))</f>
        <v>FY24</v>
      </c>
      <c r="K1105">
        <f>IF(COUNTIFS(GiftData[Constituent_ID], GiftData[[#This Row],[Constituent_ID]], GiftData[Fiscal_Year], "FY24")&gt;0, 1, 0)</f>
        <v>1</v>
      </c>
      <c r="L1105">
        <f>IF(COUNTIFS(GiftData[Constituent_ID], GiftData[[#This Row],[Constituent_ID]], GiftData[Fiscal_Year], "FY25")&gt;0, 1, 0)</f>
        <v>1</v>
      </c>
      <c r="M1105">
        <f>IF(COUNTIFS(GiftData[Constituent_ID], GiftData[[#This Row],[Constituent_ID]], GiftData[Fiscal_Year], "FY26")&gt;0, 1, 0)</f>
        <v>0</v>
      </c>
      <c r="N1105" t="str" cm="1">
        <f t="array" ref="N110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06" spans="1:14" x14ac:dyDescent="0.2">
      <c r="A1106" t="s">
        <v>1499</v>
      </c>
      <c r="B1106" t="s">
        <v>144</v>
      </c>
      <c r="C1106" t="s">
        <v>28</v>
      </c>
      <c r="D1106" s="1">
        <v>45263</v>
      </c>
      <c r="E1106">
        <v>812.39</v>
      </c>
      <c r="F1106" t="s">
        <v>12</v>
      </c>
      <c r="G1106" t="s">
        <v>13</v>
      </c>
      <c r="H1106" t="s">
        <v>41</v>
      </c>
      <c r="I1106" t="s">
        <v>15</v>
      </c>
      <c r="J1106" t="str">
        <f>"FY" &amp; IF(MONTH(GiftData[[#This Row],[Gift_Date]])&gt;=7, RIGHT(YEAR(GiftData[[#This Row],[Gift_Date]])+1, 2), RIGHT(YEAR(GiftData[[#This Row],[Gift_Date]]), 2))</f>
        <v>FY24</v>
      </c>
      <c r="K1106">
        <f>IF(COUNTIFS(GiftData[Constituent_ID], GiftData[[#This Row],[Constituent_ID]], GiftData[Fiscal_Year], "FY24")&gt;0, 1, 0)</f>
        <v>1</v>
      </c>
      <c r="L1106">
        <f>IF(COUNTIFS(GiftData[Constituent_ID], GiftData[[#This Row],[Constituent_ID]], GiftData[Fiscal_Year], "FY25")&gt;0, 1, 0)</f>
        <v>1</v>
      </c>
      <c r="M1106">
        <f>IF(COUNTIFS(GiftData[Constituent_ID], GiftData[[#This Row],[Constituent_ID]], GiftData[Fiscal_Year], "FY26")&gt;0, 1, 0)</f>
        <v>1</v>
      </c>
      <c r="N1106" t="str" cm="1">
        <f t="array" ref="N110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7" spans="1:14" x14ac:dyDescent="0.2">
      <c r="A1107" t="s">
        <v>1500</v>
      </c>
      <c r="B1107" t="s">
        <v>228</v>
      </c>
      <c r="C1107" t="s">
        <v>48</v>
      </c>
      <c r="D1107" s="1">
        <v>45561</v>
      </c>
      <c r="E1107">
        <v>39.1</v>
      </c>
      <c r="F1107" t="s">
        <v>25</v>
      </c>
      <c r="G1107" t="s">
        <v>13</v>
      </c>
      <c r="H1107" t="s">
        <v>41</v>
      </c>
      <c r="I1107" t="s">
        <v>15</v>
      </c>
      <c r="J1107" t="str">
        <f>"FY" &amp; IF(MONTH(GiftData[[#This Row],[Gift_Date]])&gt;=7, RIGHT(YEAR(GiftData[[#This Row],[Gift_Date]])+1, 2), RIGHT(YEAR(GiftData[[#This Row],[Gift_Date]]), 2))</f>
        <v>FY25</v>
      </c>
      <c r="K1107">
        <f>IF(COUNTIFS(GiftData[Constituent_ID], GiftData[[#This Row],[Constituent_ID]], GiftData[Fiscal_Year], "FY24")&gt;0, 1, 0)</f>
        <v>1</v>
      </c>
      <c r="L1107">
        <f>IF(COUNTIFS(GiftData[Constituent_ID], GiftData[[#This Row],[Constituent_ID]], GiftData[Fiscal_Year], "FY25")&gt;0, 1, 0)</f>
        <v>1</v>
      </c>
      <c r="M1107">
        <f>IF(COUNTIFS(GiftData[Constituent_ID], GiftData[[#This Row],[Constituent_ID]], GiftData[Fiscal_Year], "FY26")&gt;0, 1, 0)</f>
        <v>1</v>
      </c>
      <c r="N1107" t="str" cm="1">
        <f t="array" ref="N110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8" spans="1:14" x14ac:dyDescent="0.2">
      <c r="A1108" t="s">
        <v>1501</v>
      </c>
      <c r="B1108" t="s">
        <v>236</v>
      </c>
      <c r="C1108" t="s">
        <v>28</v>
      </c>
      <c r="D1108" s="1">
        <v>45308</v>
      </c>
      <c r="E1108">
        <v>1686.96</v>
      </c>
      <c r="F1108" t="s">
        <v>59</v>
      </c>
      <c r="G1108" t="s">
        <v>13</v>
      </c>
      <c r="H1108" t="s">
        <v>14</v>
      </c>
      <c r="I1108" t="s">
        <v>15</v>
      </c>
      <c r="J1108" t="str">
        <f>"FY" &amp; IF(MONTH(GiftData[[#This Row],[Gift_Date]])&gt;=7, RIGHT(YEAR(GiftData[[#This Row],[Gift_Date]])+1, 2), RIGHT(YEAR(GiftData[[#This Row],[Gift_Date]]), 2))</f>
        <v>FY24</v>
      </c>
      <c r="K1108">
        <f>IF(COUNTIFS(GiftData[Constituent_ID], GiftData[[#This Row],[Constituent_ID]], GiftData[Fiscal_Year], "FY24")&gt;0, 1, 0)</f>
        <v>1</v>
      </c>
      <c r="L1108">
        <f>IF(COUNTIFS(GiftData[Constituent_ID], GiftData[[#This Row],[Constituent_ID]], GiftData[Fiscal_Year], "FY25")&gt;0, 1, 0)</f>
        <v>1</v>
      </c>
      <c r="M1108">
        <f>IF(COUNTIFS(GiftData[Constituent_ID], GiftData[[#This Row],[Constituent_ID]], GiftData[Fiscal_Year], "FY26")&gt;0, 1, 0)</f>
        <v>1</v>
      </c>
      <c r="N1108" t="str" cm="1">
        <f t="array" ref="N110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09" spans="1:14" x14ac:dyDescent="0.2">
      <c r="A1109" t="s">
        <v>1502</v>
      </c>
      <c r="B1109" t="s">
        <v>93</v>
      </c>
      <c r="C1109" t="s">
        <v>11</v>
      </c>
      <c r="D1109" s="1">
        <v>45231</v>
      </c>
      <c r="E1109">
        <v>84.21</v>
      </c>
      <c r="F1109" t="s">
        <v>12</v>
      </c>
      <c r="G1109" t="s">
        <v>13</v>
      </c>
      <c r="H1109" t="s">
        <v>41</v>
      </c>
      <c r="I1109" t="s">
        <v>38</v>
      </c>
      <c r="J1109" t="str">
        <f>"FY" &amp; IF(MONTH(GiftData[[#This Row],[Gift_Date]])&gt;=7, RIGHT(YEAR(GiftData[[#This Row],[Gift_Date]])+1, 2), RIGHT(YEAR(GiftData[[#This Row],[Gift_Date]]), 2))</f>
        <v>FY24</v>
      </c>
      <c r="K1109">
        <f>IF(COUNTIFS(GiftData[Constituent_ID], GiftData[[#This Row],[Constituent_ID]], GiftData[Fiscal_Year], "FY24")&gt;0, 1, 0)</f>
        <v>1</v>
      </c>
      <c r="L1109">
        <f>IF(COUNTIFS(GiftData[Constituent_ID], GiftData[[#This Row],[Constituent_ID]], GiftData[Fiscal_Year], "FY25")&gt;0, 1, 0)</f>
        <v>1</v>
      </c>
      <c r="M1109">
        <f>IF(COUNTIFS(GiftData[Constituent_ID], GiftData[[#This Row],[Constituent_ID]], GiftData[Fiscal_Year], "FY26")&gt;0, 1, 0)</f>
        <v>1</v>
      </c>
      <c r="N1109" t="str" cm="1">
        <f t="array" ref="N110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0" spans="1:14" x14ac:dyDescent="0.2">
      <c r="A1110" t="s">
        <v>1503</v>
      </c>
      <c r="B1110" t="s">
        <v>291</v>
      </c>
      <c r="C1110" t="s">
        <v>35</v>
      </c>
      <c r="D1110" s="1">
        <v>45108</v>
      </c>
      <c r="E1110">
        <v>24.94</v>
      </c>
      <c r="F1110" t="s">
        <v>12</v>
      </c>
      <c r="G1110" t="s">
        <v>29</v>
      </c>
      <c r="H1110" t="s">
        <v>20</v>
      </c>
      <c r="I1110" t="s">
        <v>15</v>
      </c>
      <c r="J1110" t="str">
        <f>"FY" &amp; IF(MONTH(GiftData[[#This Row],[Gift_Date]])&gt;=7, RIGHT(YEAR(GiftData[[#This Row],[Gift_Date]])+1, 2), RIGHT(YEAR(GiftData[[#This Row],[Gift_Date]]), 2))</f>
        <v>FY24</v>
      </c>
      <c r="K1110">
        <f>IF(COUNTIFS(GiftData[Constituent_ID], GiftData[[#This Row],[Constituent_ID]], GiftData[Fiscal_Year], "FY24")&gt;0, 1, 0)</f>
        <v>1</v>
      </c>
      <c r="L1110">
        <f>IF(COUNTIFS(GiftData[Constituent_ID], GiftData[[#This Row],[Constituent_ID]], GiftData[Fiscal_Year], "FY25")&gt;0, 1, 0)</f>
        <v>1</v>
      </c>
      <c r="M1110">
        <f>IF(COUNTIFS(GiftData[Constituent_ID], GiftData[[#This Row],[Constituent_ID]], GiftData[Fiscal_Year], "FY26")&gt;0, 1, 0)</f>
        <v>1</v>
      </c>
      <c r="N1110" t="str" cm="1">
        <f t="array" ref="N111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1" spans="1:14" x14ac:dyDescent="0.2">
      <c r="A1111" t="s">
        <v>1504</v>
      </c>
      <c r="B1111" t="s">
        <v>809</v>
      </c>
      <c r="C1111" t="s">
        <v>28</v>
      </c>
      <c r="D1111" s="1">
        <v>46075</v>
      </c>
      <c r="E1111">
        <v>284.16000000000003</v>
      </c>
      <c r="F1111" t="s">
        <v>12</v>
      </c>
      <c r="G1111" t="s">
        <v>13</v>
      </c>
      <c r="H1111" t="s">
        <v>14</v>
      </c>
      <c r="I1111" t="s">
        <v>15</v>
      </c>
      <c r="J1111" t="str">
        <f>"FY" &amp; IF(MONTH(GiftData[[#This Row],[Gift_Date]])&gt;=7, RIGHT(YEAR(GiftData[[#This Row],[Gift_Date]])+1, 2), RIGHT(YEAR(GiftData[[#This Row],[Gift_Date]]), 2))</f>
        <v>FY26</v>
      </c>
      <c r="K1111">
        <f>IF(COUNTIFS(GiftData[Constituent_ID], GiftData[[#This Row],[Constituent_ID]], GiftData[Fiscal_Year], "FY24")&gt;0, 1, 0)</f>
        <v>1</v>
      </c>
      <c r="L1111">
        <f>IF(COUNTIFS(GiftData[Constituent_ID], GiftData[[#This Row],[Constituent_ID]], GiftData[Fiscal_Year], "FY25")&gt;0, 1, 0)</f>
        <v>1</v>
      </c>
      <c r="M1111">
        <f>IF(COUNTIFS(GiftData[Constituent_ID], GiftData[[#This Row],[Constituent_ID]], GiftData[Fiscal_Year], "FY26")&gt;0, 1, 0)</f>
        <v>1</v>
      </c>
      <c r="N1111" t="str" cm="1">
        <f t="array" ref="N111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2" spans="1:14" x14ac:dyDescent="0.2">
      <c r="A1112" t="s">
        <v>1505</v>
      </c>
      <c r="B1112" t="s">
        <v>1506</v>
      </c>
      <c r="C1112" t="s">
        <v>18</v>
      </c>
      <c r="D1112" s="1">
        <v>45962</v>
      </c>
      <c r="E1112">
        <v>74.400000000000006</v>
      </c>
      <c r="F1112" t="s">
        <v>25</v>
      </c>
      <c r="G1112" t="s">
        <v>13</v>
      </c>
      <c r="H1112" t="s">
        <v>14</v>
      </c>
      <c r="I1112" t="s">
        <v>38</v>
      </c>
      <c r="J1112" t="str">
        <f>"FY" &amp; IF(MONTH(GiftData[[#This Row],[Gift_Date]])&gt;=7, RIGHT(YEAR(GiftData[[#This Row],[Gift_Date]])+1, 2), RIGHT(YEAR(GiftData[[#This Row],[Gift_Date]]), 2))</f>
        <v>FY26</v>
      </c>
      <c r="K1112">
        <f>IF(COUNTIFS(GiftData[Constituent_ID], GiftData[[#This Row],[Constituent_ID]], GiftData[Fiscal_Year], "FY24")&gt;0, 1, 0)</f>
        <v>0</v>
      </c>
      <c r="L1112">
        <f>IF(COUNTIFS(GiftData[Constituent_ID], GiftData[[#This Row],[Constituent_ID]], GiftData[Fiscal_Year], "FY25")&gt;0, 1, 0)</f>
        <v>0</v>
      </c>
      <c r="M1112">
        <f>IF(COUNTIFS(GiftData[Constituent_ID], GiftData[[#This Row],[Constituent_ID]], GiftData[Fiscal_Year], "FY26")&gt;0, 1, 0)</f>
        <v>1</v>
      </c>
      <c r="N1112" t="str" cm="1">
        <f t="array" ref="N111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3" spans="1:14" x14ac:dyDescent="0.2">
      <c r="A1113" t="s">
        <v>1507</v>
      </c>
      <c r="B1113" t="s">
        <v>558</v>
      </c>
      <c r="C1113" t="s">
        <v>11</v>
      </c>
      <c r="D1113" s="1">
        <v>45747</v>
      </c>
      <c r="E1113">
        <v>1691.8</v>
      </c>
      <c r="F1113" t="s">
        <v>12</v>
      </c>
      <c r="G1113" t="s">
        <v>13</v>
      </c>
      <c r="H1113" t="s">
        <v>20</v>
      </c>
      <c r="I1113" t="s">
        <v>15</v>
      </c>
      <c r="J1113" t="str">
        <f>"FY" &amp; IF(MONTH(GiftData[[#This Row],[Gift_Date]])&gt;=7, RIGHT(YEAR(GiftData[[#This Row],[Gift_Date]])+1, 2), RIGHT(YEAR(GiftData[[#This Row],[Gift_Date]]), 2))</f>
        <v>FY25</v>
      </c>
      <c r="K1113">
        <f>IF(COUNTIFS(GiftData[Constituent_ID], GiftData[[#This Row],[Constituent_ID]], GiftData[Fiscal_Year], "FY24")&gt;0, 1, 0)</f>
        <v>0</v>
      </c>
      <c r="L1113">
        <f>IF(COUNTIFS(GiftData[Constituent_ID], GiftData[[#This Row],[Constituent_ID]], GiftData[Fiscal_Year], "FY25")&gt;0, 1, 0)</f>
        <v>1</v>
      </c>
      <c r="M1113">
        <f>IF(COUNTIFS(GiftData[Constituent_ID], GiftData[[#This Row],[Constituent_ID]], GiftData[Fiscal_Year], "FY26")&gt;0, 1, 0)</f>
        <v>1</v>
      </c>
      <c r="N1113" t="str" cm="1">
        <f t="array" ref="N111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4" spans="1:14" x14ac:dyDescent="0.2">
      <c r="A1114" t="s">
        <v>1508</v>
      </c>
      <c r="B1114" t="s">
        <v>1509</v>
      </c>
      <c r="C1114" t="s">
        <v>11</v>
      </c>
      <c r="D1114" s="1">
        <v>45298</v>
      </c>
      <c r="E1114">
        <v>69.22</v>
      </c>
      <c r="F1114" t="s">
        <v>12</v>
      </c>
      <c r="G1114" t="s">
        <v>29</v>
      </c>
      <c r="H1114" t="s">
        <v>14</v>
      </c>
      <c r="I1114" t="s">
        <v>56</v>
      </c>
      <c r="J1114" t="str">
        <f>"FY" &amp; IF(MONTH(GiftData[[#This Row],[Gift_Date]])&gt;=7, RIGHT(YEAR(GiftData[[#This Row],[Gift_Date]])+1, 2), RIGHT(YEAR(GiftData[[#This Row],[Gift_Date]]), 2))</f>
        <v>FY24</v>
      </c>
      <c r="K1114">
        <f>IF(COUNTIFS(GiftData[Constituent_ID], GiftData[[#This Row],[Constituent_ID]], GiftData[Fiscal_Year], "FY24")&gt;0, 1, 0)</f>
        <v>1</v>
      </c>
      <c r="L1114">
        <f>IF(COUNTIFS(GiftData[Constituent_ID], GiftData[[#This Row],[Constituent_ID]], GiftData[Fiscal_Year], "FY25")&gt;0, 1, 0)</f>
        <v>0</v>
      </c>
      <c r="M1114">
        <f>IF(COUNTIFS(GiftData[Constituent_ID], GiftData[[#This Row],[Constituent_ID]], GiftData[Fiscal_Year], "FY26")&gt;0, 1, 0)</f>
        <v>0</v>
      </c>
      <c r="N1114" t="str" cm="1">
        <f t="array" ref="N111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SYBUNT (Lapsed Multi-Yr)</v>
      </c>
    </row>
    <row r="1115" spans="1:14" x14ac:dyDescent="0.2">
      <c r="A1115" t="s">
        <v>1510</v>
      </c>
      <c r="B1115" t="s">
        <v>413</v>
      </c>
      <c r="C1115" t="s">
        <v>11</v>
      </c>
      <c r="D1115" s="1">
        <v>45623</v>
      </c>
      <c r="E1115">
        <v>182.87</v>
      </c>
      <c r="F1115" t="s">
        <v>12</v>
      </c>
      <c r="G1115" t="s">
        <v>13</v>
      </c>
      <c r="H1115" t="s">
        <v>20</v>
      </c>
      <c r="I1115" t="s">
        <v>15</v>
      </c>
      <c r="J1115" t="str">
        <f>"FY" &amp; IF(MONTH(GiftData[[#This Row],[Gift_Date]])&gt;=7, RIGHT(YEAR(GiftData[[#This Row],[Gift_Date]])+1, 2), RIGHT(YEAR(GiftData[[#This Row],[Gift_Date]]), 2))</f>
        <v>FY25</v>
      </c>
      <c r="K1115">
        <f>IF(COUNTIFS(GiftData[Constituent_ID], GiftData[[#This Row],[Constituent_ID]], GiftData[Fiscal_Year], "FY24")&gt;0, 1, 0)</f>
        <v>1</v>
      </c>
      <c r="L1115">
        <f>IF(COUNTIFS(GiftData[Constituent_ID], GiftData[[#This Row],[Constituent_ID]], GiftData[Fiscal_Year], "FY25")&gt;0, 1, 0)</f>
        <v>1</v>
      </c>
      <c r="M1115">
        <f>IF(COUNTIFS(GiftData[Constituent_ID], GiftData[[#This Row],[Constituent_ID]], GiftData[Fiscal_Year], "FY26")&gt;0, 1, 0)</f>
        <v>0</v>
      </c>
      <c r="N1115" t="str" cm="1">
        <f t="array" ref="N111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16" spans="1:14" x14ac:dyDescent="0.2">
      <c r="A1116" t="s">
        <v>1511</v>
      </c>
      <c r="B1116" t="s">
        <v>558</v>
      </c>
      <c r="C1116" t="s">
        <v>11</v>
      </c>
      <c r="D1116" s="1">
        <v>45549</v>
      </c>
      <c r="E1116">
        <v>19.04</v>
      </c>
      <c r="F1116" t="s">
        <v>12</v>
      </c>
      <c r="G1116" t="s">
        <v>29</v>
      </c>
      <c r="H1116" t="s">
        <v>20</v>
      </c>
      <c r="I1116" t="s">
        <v>30</v>
      </c>
      <c r="J1116" t="str">
        <f>"FY" &amp; IF(MONTH(GiftData[[#This Row],[Gift_Date]])&gt;=7, RIGHT(YEAR(GiftData[[#This Row],[Gift_Date]])+1, 2), RIGHT(YEAR(GiftData[[#This Row],[Gift_Date]]), 2))</f>
        <v>FY25</v>
      </c>
      <c r="K1116">
        <f>IF(COUNTIFS(GiftData[Constituent_ID], GiftData[[#This Row],[Constituent_ID]], GiftData[Fiscal_Year], "FY24")&gt;0, 1, 0)</f>
        <v>0</v>
      </c>
      <c r="L1116">
        <f>IF(COUNTIFS(GiftData[Constituent_ID], GiftData[[#This Row],[Constituent_ID]], GiftData[Fiscal_Year], "FY25")&gt;0, 1, 0)</f>
        <v>1</v>
      </c>
      <c r="M1116">
        <f>IF(COUNTIFS(GiftData[Constituent_ID], GiftData[[#This Row],[Constituent_ID]], GiftData[Fiscal_Year], "FY26")&gt;0, 1, 0)</f>
        <v>1</v>
      </c>
      <c r="N1116" t="str" cm="1">
        <f t="array" ref="N111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7" spans="1:14" x14ac:dyDescent="0.2">
      <c r="A1117" t="s">
        <v>1512</v>
      </c>
      <c r="B1117" t="s">
        <v>263</v>
      </c>
      <c r="C1117" t="s">
        <v>11</v>
      </c>
      <c r="D1117" s="1">
        <v>45250</v>
      </c>
      <c r="E1117">
        <v>349.6</v>
      </c>
      <c r="F1117" t="s">
        <v>12</v>
      </c>
      <c r="G1117" t="s">
        <v>29</v>
      </c>
      <c r="H1117" t="s">
        <v>20</v>
      </c>
      <c r="I1117" t="s">
        <v>15</v>
      </c>
      <c r="J1117" t="str">
        <f>"FY" &amp; IF(MONTH(GiftData[[#This Row],[Gift_Date]])&gt;=7, RIGHT(YEAR(GiftData[[#This Row],[Gift_Date]])+1, 2), RIGHT(YEAR(GiftData[[#This Row],[Gift_Date]]), 2))</f>
        <v>FY24</v>
      </c>
      <c r="K1117">
        <f>IF(COUNTIFS(GiftData[Constituent_ID], GiftData[[#This Row],[Constituent_ID]], GiftData[Fiscal_Year], "FY24")&gt;0, 1, 0)</f>
        <v>1</v>
      </c>
      <c r="L1117">
        <f>IF(COUNTIFS(GiftData[Constituent_ID], GiftData[[#This Row],[Constituent_ID]], GiftData[Fiscal_Year], "FY25")&gt;0, 1, 0)</f>
        <v>1</v>
      </c>
      <c r="M1117">
        <f>IF(COUNTIFS(GiftData[Constituent_ID], GiftData[[#This Row],[Constituent_ID]], GiftData[Fiscal_Year], "FY26")&gt;0, 1, 0)</f>
        <v>1</v>
      </c>
      <c r="N1117" t="str" cm="1">
        <f t="array" ref="N111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18" spans="1:14" x14ac:dyDescent="0.2">
      <c r="A1118" t="s">
        <v>1513</v>
      </c>
      <c r="B1118" t="s">
        <v>796</v>
      </c>
      <c r="C1118" t="s">
        <v>18</v>
      </c>
      <c r="D1118" s="1">
        <v>45640</v>
      </c>
      <c r="E1118">
        <v>44.23</v>
      </c>
      <c r="F1118" t="s">
        <v>25</v>
      </c>
      <c r="G1118" t="s">
        <v>29</v>
      </c>
      <c r="H1118" t="s">
        <v>41</v>
      </c>
      <c r="I1118" t="s">
        <v>15</v>
      </c>
      <c r="J1118" t="str">
        <f>"FY" &amp; IF(MONTH(GiftData[[#This Row],[Gift_Date]])&gt;=7, RIGHT(YEAR(GiftData[[#This Row],[Gift_Date]])+1, 2), RIGHT(YEAR(GiftData[[#This Row],[Gift_Date]]), 2))</f>
        <v>FY25</v>
      </c>
      <c r="K1118">
        <f>IF(COUNTIFS(GiftData[Constituent_ID], GiftData[[#This Row],[Constituent_ID]], GiftData[Fiscal_Year], "FY24")&gt;0, 1, 0)</f>
        <v>0</v>
      </c>
      <c r="L1118">
        <f>IF(COUNTIFS(GiftData[Constituent_ID], GiftData[[#This Row],[Constituent_ID]], GiftData[Fiscal_Year], "FY25")&gt;0, 1, 0)</f>
        <v>1</v>
      </c>
      <c r="M1118">
        <f>IF(COUNTIFS(GiftData[Constituent_ID], GiftData[[#This Row],[Constituent_ID]], GiftData[Fiscal_Year], "FY26")&gt;0, 1, 0)</f>
        <v>0</v>
      </c>
      <c r="N1118" t="str" cm="1">
        <f t="array" ref="N111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19" spans="1:14" x14ac:dyDescent="0.2">
      <c r="A1119" t="s">
        <v>1514</v>
      </c>
      <c r="B1119" t="s">
        <v>1191</v>
      </c>
      <c r="C1119" t="s">
        <v>11</v>
      </c>
      <c r="D1119" s="1">
        <v>45334</v>
      </c>
      <c r="E1119">
        <v>299.26</v>
      </c>
      <c r="F1119" t="s">
        <v>12</v>
      </c>
      <c r="G1119" t="s">
        <v>29</v>
      </c>
      <c r="H1119" t="s">
        <v>20</v>
      </c>
      <c r="I1119" t="s">
        <v>15</v>
      </c>
      <c r="J1119" t="str">
        <f>"FY" &amp; IF(MONTH(GiftData[[#This Row],[Gift_Date]])&gt;=7, RIGHT(YEAR(GiftData[[#This Row],[Gift_Date]])+1, 2), RIGHT(YEAR(GiftData[[#This Row],[Gift_Date]]), 2))</f>
        <v>FY24</v>
      </c>
      <c r="K1119">
        <f>IF(COUNTIFS(GiftData[Constituent_ID], GiftData[[#This Row],[Constituent_ID]], GiftData[Fiscal_Year], "FY24")&gt;0, 1, 0)</f>
        <v>1</v>
      </c>
      <c r="L1119">
        <f>IF(COUNTIFS(GiftData[Constituent_ID], GiftData[[#This Row],[Constituent_ID]], GiftData[Fiscal_Year], "FY25")&gt;0, 1, 0)</f>
        <v>1</v>
      </c>
      <c r="M1119">
        <f>IF(COUNTIFS(GiftData[Constituent_ID], GiftData[[#This Row],[Constituent_ID]], GiftData[Fiscal_Year], "FY26")&gt;0, 1, 0)</f>
        <v>0</v>
      </c>
      <c r="N1119" t="str" cm="1">
        <f t="array" ref="N111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20" spans="1:14" x14ac:dyDescent="0.2">
      <c r="A1120" t="s">
        <v>1515</v>
      </c>
      <c r="B1120" t="s">
        <v>1186</v>
      </c>
      <c r="C1120" t="s">
        <v>18</v>
      </c>
      <c r="D1120" s="1">
        <v>46056</v>
      </c>
      <c r="E1120">
        <v>69.63</v>
      </c>
      <c r="F1120" t="s">
        <v>25</v>
      </c>
      <c r="G1120" t="s">
        <v>13</v>
      </c>
      <c r="H1120" t="s">
        <v>164</v>
      </c>
      <c r="I1120" t="s">
        <v>15</v>
      </c>
      <c r="J1120" t="str">
        <f>"FY" &amp; IF(MONTH(GiftData[[#This Row],[Gift_Date]])&gt;=7, RIGHT(YEAR(GiftData[[#This Row],[Gift_Date]])+1, 2), RIGHT(YEAR(GiftData[[#This Row],[Gift_Date]]), 2))</f>
        <v>FY26</v>
      </c>
      <c r="K1120">
        <f>IF(COUNTIFS(GiftData[Constituent_ID], GiftData[[#This Row],[Constituent_ID]], GiftData[Fiscal_Year], "FY24")&gt;0, 1, 0)</f>
        <v>1</v>
      </c>
      <c r="L1120">
        <f>IF(COUNTIFS(GiftData[Constituent_ID], GiftData[[#This Row],[Constituent_ID]], GiftData[Fiscal_Year], "FY25")&gt;0, 1, 0)</f>
        <v>1</v>
      </c>
      <c r="M1120">
        <f>IF(COUNTIFS(GiftData[Constituent_ID], GiftData[[#This Row],[Constituent_ID]], GiftData[Fiscal_Year], "FY26")&gt;0, 1, 0)</f>
        <v>1</v>
      </c>
      <c r="N1120" t="str" cm="1">
        <f t="array" ref="N112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1" spans="1:14" x14ac:dyDescent="0.2">
      <c r="A1121" t="s">
        <v>1516</v>
      </c>
      <c r="B1121" t="s">
        <v>50</v>
      </c>
      <c r="C1121" t="s">
        <v>28</v>
      </c>
      <c r="D1121" s="1">
        <v>45567</v>
      </c>
      <c r="E1121">
        <v>15</v>
      </c>
      <c r="F1121" t="s">
        <v>12</v>
      </c>
      <c r="G1121" t="s">
        <v>13</v>
      </c>
      <c r="H1121" t="s">
        <v>20</v>
      </c>
      <c r="I1121" t="s">
        <v>15</v>
      </c>
      <c r="J1121" t="str">
        <f>"FY" &amp; IF(MONTH(GiftData[[#This Row],[Gift_Date]])&gt;=7, RIGHT(YEAR(GiftData[[#This Row],[Gift_Date]])+1, 2), RIGHT(YEAR(GiftData[[#This Row],[Gift_Date]]), 2))</f>
        <v>FY25</v>
      </c>
      <c r="K1121">
        <f>IF(COUNTIFS(GiftData[Constituent_ID], GiftData[[#This Row],[Constituent_ID]], GiftData[Fiscal_Year], "FY24")&gt;0, 1, 0)</f>
        <v>1</v>
      </c>
      <c r="L1121">
        <f>IF(COUNTIFS(GiftData[Constituent_ID], GiftData[[#This Row],[Constituent_ID]], GiftData[Fiscal_Year], "FY25")&gt;0, 1, 0)</f>
        <v>1</v>
      </c>
      <c r="M1121">
        <f>IF(COUNTIFS(GiftData[Constituent_ID], GiftData[[#This Row],[Constituent_ID]], GiftData[Fiscal_Year], "FY26")&gt;0, 1, 0)</f>
        <v>0</v>
      </c>
      <c r="N1121" t="str" cm="1">
        <f t="array" ref="N112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22" spans="1:14" x14ac:dyDescent="0.2">
      <c r="A1122" t="s">
        <v>1517</v>
      </c>
      <c r="B1122" t="s">
        <v>560</v>
      </c>
      <c r="C1122" t="s">
        <v>35</v>
      </c>
      <c r="D1122" s="1">
        <v>45658</v>
      </c>
      <c r="E1122">
        <v>144.11000000000001</v>
      </c>
      <c r="F1122" t="s">
        <v>12</v>
      </c>
      <c r="G1122" t="s">
        <v>29</v>
      </c>
      <c r="H1122" t="s">
        <v>41</v>
      </c>
      <c r="I1122" t="s">
        <v>15</v>
      </c>
      <c r="J1122" t="str">
        <f>"FY" &amp; IF(MONTH(GiftData[[#This Row],[Gift_Date]])&gt;=7, RIGHT(YEAR(GiftData[[#This Row],[Gift_Date]])+1, 2), RIGHT(YEAR(GiftData[[#This Row],[Gift_Date]]), 2))</f>
        <v>FY25</v>
      </c>
      <c r="K1122">
        <f>IF(COUNTIFS(GiftData[Constituent_ID], GiftData[[#This Row],[Constituent_ID]], GiftData[Fiscal_Year], "FY24")&gt;0, 1, 0)</f>
        <v>0</v>
      </c>
      <c r="L1122">
        <f>IF(COUNTIFS(GiftData[Constituent_ID], GiftData[[#This Row],[Constituent_ID]], GiftData[Fiscal_Year], "FY25")&gt;0, 1, 0)</f>
        <v>1</v>
      </c>
      <c r="M1122">
        <f>IF(COUNTIFS(GiftData[Constituent_ID], GiftData[[#This Row],[Constituent_ID]], GiftData[Fiscal_Year], "FY26")&gt;0, 1, 0)</f>
        <v>0</v>
      </c>
      <c r="N1122" t="str" cm="1">
        <f t="array" ref="N112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23" spans="1:14" x14ac:dyDescent="0.2">
      <c r="A1123" t="s">
        <v>1518</v>
      </c>
      <c r="B1123" t="s">
        <v>75</v>
      </c>
      <c r="C1123" t="s">
        <v>28</v>
      </c>
      <c r="D1123" s="1">
        <v>45500</v>
      </c>
      <c r="E1123">
        <v>135.96</v>
      </c>
      <c r="F1123" t="s">
        <v>12</v>
      </c>
      <c r="G1123" t="s">
        <v>13</v>
      </c>
      <c r="H1123" t="s">
        <v>51</v>
      </c>
      <c r="I1123" t="s">
        <v>38</v>
      </c>
      <c r="J1123" t="str">
        <f>"FY" &amp; IF(MONTH(GiftData[[#This Row],[Gift_Date]])&gt;=7, RIGHT(YEAR(GiftData[[#This Row],[Gift_Date]])+1, 2), RIGHT(YEAR(GiftData[[#This Row],[Gift_Date]]), 2))</f>
        <v>FY25</v>
      </c>
      <c r="K1123">
        <f>IF(COUNTIFS(GiftData[Constituent_ID], GiftData[[#This Row],[Constituent_ID]], GiftData[Fiscal_Year], "FY24")&gt;0, 1, 0)</f>
        <v>1</v>
      </c>
      <c r="L1123">
        <f>IF(COUNTIFS(GiftData[Constituent_ID], GiftData[[#This Row],[Constituent_ID]], GiftData[Fiscal_Year], "FY25")&gt;0, 1, 0)</f>
        <v>1</v>
      </c>
      <c r="M1123">
        <f>IF(COUNTIFS(GiftData[Constituent_ID], GiftData[[#This Row],[Constituent_ID]], GiftData[Fiscal_Year], "FY26")&gt;0, 1, 0)</f>
        <v>1</v>
      </c>
      <c r="N1123" t="str" cm="1">
        <f t="array" ref="N112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4" spans="1:14" x14ac:dyDescent="0.2">
      <c r="A1124" t="s">
        <v>1519</v>
      </c>
      <c r="B1124" t="s">
        <v>146</v>
      </c>
      <c r="C1124" t="s">
        <v>11</v>
      </c>
      <c r="D1124" s="1">
        <v>45952</v>
      </c>
      <c r="E1124">
        <v>381.99</v>
      </c>
      <c r="F1124" t="s">
        <v>25</v>
      </c>
      <c r="G1124" t="s">
        <v>13</v>
      </c>
      <c r="H1124" t="s">
        <v>164</v>
      </c>
      <c r="I1124" t="s">
        <v>15</v>
      </c>
      <c r="J1124" t="str">
        <f>"FY" &amp; IF(MONTH(GiftData[[#This Row],[Gift_Date]])&gt;=7, RIGHT(YEAR(GiftData[[#This Row],[Gift_Date]])+1, 2), RIGHT(YEAR(GiftData[[#This Row],[Gift_Date]]), 2))</f>
        <v>FY26</v>
      </c>
      <c r="K1124">
        <f>IF(COUNTIFS(GiftData[Constituent_ID], GiftData[[#This Row],[Constituent_ID]], GiftData[Fiscal_Year], "FY24")&gt;0, 1, 0)</f>
        <v>1</v>
      </c>
      <c r="L1124">
        <f>IF(COUNTIFS(GiftData[Constituent_ID], GiftData[[#This Row],[Constituent_ID]], GiftData[Fiscal_Year], "FY25")&gt;0, 1, 0)</f>
        <v>1</v>
      </c>
      <c r="M1124">
        <f>IF(COUNTIFS(GiftData[Constituent_ID], GiftData[[#This Row],[Constituent_ID]], GiftData[Fiscal_Year], "FY26")&gt;0, 1, 0)</f>
        <v>1</v>
      </c>
      <c r="N1124" t="str" cm="1">
        <f t="array" ref="N112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5" spans="1:14" x14ac:dyDescent="0.2">
      <c r="A1125" t="s">
        <v>1520</v>
      </c>
      <c r="B1125" t="s">
        <v>735</v>
      </c>
      <c r="C1125" t="s">
        <v>18</v>
      </c>
      <c r="D1125" s="1">
        <v>45317</v>
      </c>
      <c r="E1125">
        <v>918.55</v>
      </c>
      <c r="F1125" t="s">
        <v>59</v>
      </c>
      <c r="G1125" t="s">
        <v>13</v>
      </c>
      <c r="H1125" t="s">
        <v>51</v>
      </c>
      <c r="I1125" t="s">
        <v>38</v>
      </c>
      <c r="J1125" t="str">
        <f>"FY" &amp; IF(MONTH(GiftData[[#This Row],[Gift_Date]])&gt;=7, RIGHT(YEAR(GiftData[[#This Row],[Gift_Date]])+1, 2), RIGHT(YEAR(GiftData[[#This Row],[Gift_Date]]), 2))</f>
        <v>FY24</v>
      </c>
      <c r="K1125">
        <f>IF(COUNTIFS(GiftData[Constituent_ID], GiftData[[#This Row],[Constituent_ID]], GiftData[Fiscal_Year], "FY24")&gt;0, 1, 0)</f>
        <v>1</v>
      </c>
      <c r="L1125">
        <f>IF(COUNTIFS(GiftData[Constituent_ID], GiftData[[#This Row],[Constituent_ID]], GiftData[Fiscal_Year], "FY25")&gt;0, 1, 0)</f>
        <v>1</v>
      </c>
      <c r="M1125">
        <f>IF(COUNTIFS(GiftData[Constituent_ID], GiftData[[#This Row],[Constituent_ID]], GiftData[Fiscal_Year], "FY26")&gt;0, 1, 0)</f>
        <v>0</v>
      </c>
      <c r="N1125" t="str" cm="1">
        <f t="array" ref="N112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26" spans="1:14" x14ac:dyDescent="0.2">
      <c r="A1126" t="s">
        <v>1521</v>
      </c>
      <c r="B1126" t="s">
        <v>865</v>
      </c>
      <c r="C1126" t="s">
        <v>18</v>
      </c>
      <c r="D1126" s="1">
        <v>45753</v>
      </c>
      <c r="E1126">
        <v>1459.91</v>
      </c>
      <c r="F1126" t="s">
        <v>59</v>
      </c>
      <c r="G1126" t="s">
        <v>13</v>
      </c>
      <c r="H1126" t="s">
        <v>20</v>
      </c>
      <c r="I1126" t="s">
        <v>15</v>
      </c>
      <c r="J1126" t="str">
        <f>"FY" &amp; IF(MONTH(GiftData[[#This Row],[Gift_Date]])&gt;=7, RIGHT(YEAR(GiftData[[#This Row],[Gift_Date]])+1, 2), RIGHT(YEAR(GiftData[[#This Row],[Gift_Date]]), 2))</f>
        <v>FY25</v>
      </c>
      <c r="K1126">
        <f>IF(COUNTIFS(GiftData[Constituent_ID], GiftData[[#This Row],[Constituent_ID]], GiftData[Fiscal_Year], "FY24")&gt;0, 1, 0)</f>
        <v>0</v>
      </c>
      <c r="L1126">
        <f>IF(COUNTIFS(GiftData[Constituent_ID], GiftData[[#This Row],[Constituent_ID]], GiftData[Fiscal_Year], "FY25")&gt;0, 1, 0)</f>
        <v>1</v>
      </c>
      <c r="M1126">
        <f>IF(COUNTIFS(GiftData[Constituent_ID], GiftData[[#This Row],[Constituent_ID]], GiftData[Fiscal_Year], "FY26")&gt;0, 1, 0)</f>
        <v>1</v>
      </c>
      <c r="N1126" t="str" cm="1">
        <f t="array" ref="N112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7" spans="1:14" x14ac:dyDescent="0.2">
      <c r="A1127" t="s">
        <v>1522</v>
      </c>
      <c r="B1127" t="s">
        <v>128</v>
      </c>
      <c r="C1127" t="s">
        <v>11</v>
      </c>
      <c r="D1127" s="1">
        <v>45326</v>
      </c>
      <c r="E1127">
        <v>373.68</v>
      </c>
      <c r="F1127" t="s">
        <v>12</v>
      </c>
      <c r="G1127" t="s">
        <v>29</v>
      </c>
      <c r="H1127" t="s">
        <v>20</v>
      </c>
      <c r="I1127" t="s">
        <v>56</v>
      </c>
      <c r="J1127" t="str">
        <f>"FY" &amp; IF(MONTH(GiftData[[#This Row],[Gift_Date]])&gt;=7, RIGHT(YEAR(GiftData[[#This Row],[Gift_Date]])+1, 2), RIGHT(YEAR(GiftData[[#This Row],[Gift_Date]]), 2))</f>
        <v>FY24</v>
      </c>
      <c r="K1127">
        <f>IF(COUNTIFS(GiftData[Constituent_ID], GiftData[[#This Row],[Constituent_ID]], GiftData[Fiscal_Year], "FY24")&gt;0, 1, 0)</f>
        <v>1</v>
      </c>
      <c r="L1127">
        <f>IF(COUNTIFS(GiftData[Constituent_ID], GiftData[[#This Row],[Constituent_ID]], GiftData[Fiscal_Year], "FY25")&gt;0, 1, 0)</f>
        <v>1</v>
      </c>
      <c r="M1127">
        <f>IF(COUNTIFS(GiftData[Constituent_ID], GiftData[[#This Row],[Constituent_ID]], GiftData[Fiscal_Year], "FY26")&gt;0, 1, 0)</f>
        <v>1</v>
      </c>
      <c r="N1127" t="str" cm="1">
        <f t="array" ref="N112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8" spans="1:14" x14ac:dyDescent="0.2">
      <c r="A1128" t="s">
        <v>1523</v>
      </c>
      <c r="B1128" t="s">
        <v>1163</v>
      </c>
      <c r="C1128" t="s">
        <v>18</v>
      </c>
      <c r="D1128" s="1">
        <v>45514</v>
      </c>
      <c r="E1128">
        <v>174.55</v>
      </c>
      <c r="F1128" t="s">
        <v>12</v>
      </c>
      <c r="G1128" t="s">
        <v>13</v>
      </c>
      <c r="H1128" t="s">
        <v>14</v>
      </c>
      <c r="I1128" t="s">
        <v>15</v>
      </c>
      <c r="J1128" t="str">
        <f>"FY" &amp; IF(MONTH(GiftData[[#This Row],[Gift_Date]])&gt;=7, RIGHT(YEAR(GiftData[[#This Row],[Gift_Date]])+1, 2), RIGHT(YEAR(GiftData[[#This Row],[Gift_Date]]), 2))</f>
        <v>FY25</v>
      </c>
      <c r="K1128">
        <f>IF(COUNTIFS(GiftData[Constituent_ID], GiftData[[#This Row],[Constituent_ID]], GiftData[Fiscal_Year], "FY24")&gt;0, 1, 0)</f>
        <v>1</v>
      </c>
      <c r="L1128">
        <f>IF(COUNTIFS(GiftData[Constituent_ID], GiftData[[#This Row],[Constituent_ID]], GiftData[Fiscal_Year], "FY25")&gt;0, 1, 0)</f>
        <v>1</v>
      </c>
      <c r="M1128">
        <f>IF(COUNTIFS(GiftData[Constituent_ID], GiftData[[#This Row],[Constituent_ID]], GiftData[Fiscal_Year], "FY26")&gt;0, 1, 0)</f>
        <v>1</v>
      </c>
      <c r="N1128" t="str" cm="1">
        <f t="array" ref="N112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29" spans="1:14" x14ac:dyDescent="0.2">
      <c r="A1129" t="s">
        <v>1524</v>
      </c>
      <c r="B1129" t="s">
        <v>852</v>
      </c>
      <c r="C1129" t="s">
        <v>11</v>
      </c>
      <c r="D1129" s="1">
        <v>45995</v>
      </c>
      <c r="E1129">
        <v>19</v>
      </c>
      <c r="F1129" t="s">
        <v>59</v>
      </c>
      <c r="G1129" t="s">
        <v>13</v>
      </c>
      <c r="H1129" t="s">
        <v>20</v>
      </c>
      <c r="I1129" t="s">
        <v>15</v>
      </c>
      <c r="J1129" t="str">
        <f>"FY" &amp; IF(MONTH(GiftData[[#This Row],[Gift_Date]])&gt;=7, RIGHT(YEAR(GiftData[[#This Row],[Gift_Date]])+1, 2), RIGHT(YEAR(GiftData[[#This Row],[Gift_Date]]), 2))</f>
        <v>FY26</v>
      </c>
      <c r="K1129">
        <f>IF(COUNTIFS(GiftData[Constituent_ID], GiftData[[#This Row],[Constituent_ID]], GiftData[Fiscal_Year], "FY24")&gt;0, 1, 0)</f>
        <v>1</v>
      </c>
      <c r="L1129">
        <f>IF(COUNTIFS(GiftData[Constituent_ID], GiftData[[#This Row],[Constituent_ID]], GiftData[Fiscal_Year], "FY25")&gt;0, 1, 0)</f>
        <v>1</v>
      </c>
      <c r="M1129">
        <f>IF(COUNTIFS(GiftData[Constituent_ID], GiftData[[#This Row],[Constituent_ID]], GiftData[Fiscal_Year], "FY26")&gt;0, 1, 0)</f>
        <v>1</v>
      </c>
      <c r="N1129" t="str" cm="1">
        <f t="array" ref="N112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0" spans="1:14" x14ac:dyDescent="0.2">
      <c r="A1130" t="s">
        <v>1525</v>
      </c>
      <c r="B1130" t="s">
        <v>261</v>
      </c>
      <c r="C1130" t="s">
        <v>18</v>
      </c>
      <c r="D1130" s="1">
        <v>45665</v>
      </c>
      <c r="E1130">
        <v>158.01</v>
      </c>
      <c r="F1130" t="s">
        <v>25</v>
      </c>
      <c r="G1130" t="s">
        <v>29</v>
      </c>
      <c r="H1130" t="s">
        <v>20</v>
      </c>
      <c r="I1130" t="s">
        <v>15</v>
      </c>
      <c r="J1130" t="str">
        <f>"FY" &amp; IF(MONTH(GiftData[[#This Row],[Gift_Date]])&gt;=7, RIGHT(YEAR(GiftData[[#This Row],[Gift_Date]])+1, 2), RIGHT(YEAR(GiftData[[#This Row],[Gift_Date]]), 2))</f>
        <v>FY25</v>
      </c>
      <c r="K1130">
        <f>IF(COUNTIFS(GiftData[Constituent_ID], GiftData[[#This Row],[Constituent_ID]], GiftData[Fiscal_Year], "FY24")&gt;0, 1, 0)</f>
        <v>1</v>
      </c>
      <c r="L1130">
        <f>IF(COUNTIFS(GiftData[Constituent_ID], GiftData[[#This Row],[Constituent_ID]], GiftData[Fiscal_Year], "FY25")&gt;0, 1, 0)</f>
        <v>1</v>
      </c>
      <c r="M1130">
        <f>IF(COUNTIFS(GiftData[Constituent_ID], GiftData[[#This Row],[Constituent_ID]], GiftData[Fiscal_Year], "FY26")&gt;0, 1, 0)</f>
        <v>1</v>
      </c>
      <c r="N1130" t="str" cm="1">
        <f t="array" ref="N113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1" spans="1:14" x14ac:dyDescent="0.2">
      <c r="A1131" t="s">
        <v>1526</v>
      </c>
      <c r="B1131" t="s">
        <v>870</v>
      </c>
      <c r="C1131" t="s">
        <v>35</v>
      </c>
      <c r="D1131" s="1">
        <v>45657</v>
      </c>
      <c r="E1131">
        <v>160.68</v>
      </c>
      <c r="F1131" t="s">
        <v>12</v>
      </c>
      <c r="G1131" t="s">
        <v>13</v>
      </c>
      <c r="H1131" t="s">
        <v>51</v>
      </c>
      <c r="I1131" t="s">
        <v>15</v>
      </c>
      <c r="J1131" t="str">
        <f>"FY" &amp; IF(MONTH(GiftData[[#This Row],[Gift_Date]])&gt;=7, RIGHT(YEAR(GiftData[[#This Row],[Gift_Date]])+1, 2), RIGHT(YEAR(GiftData[[#This Row],[Gift_Date]]), 2))</f>
        <v>FY25</v>
      </c>
      <c r="K1131">
        <f>IF(COUNTIFS(GiftData[Constituent_ID], GiftData[[#This Row],[Constituent_ID]], GiftData[Fiscal_Year], "FY24")&gt;0, 1, 0)</f>
        <v>1</v>
      </c>
      <c r="L1131">
        <f>IF(COUNTIFS(GiftData[Constituent_ID], GiftData[[#This Row],[Constituent_ID]], GiftData[Fiscal_Year], "FY25")&gt;0, 1, 0)</f>
        <v>1</v>
      </c>
      <c r="M1131">
        <f>IF(COUNTIFS(GiftData[Constituent_ID], GiftData[[#This Row],[Constituent_ID]], GiftData[Fiscal_Year], "FY26")&gt;0, 1, 0)</f>
        <v>0</v>
      </c>
      <c r="N1131" t="str" cm="1">
        <f t="array" ref="N113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32" spans="1:14" x14ac:dyDescent="0.2">
      <c r="A1132" t="s">
        <v>1527</v>
      </c>
      <c r="B1132" t="s">
        <v>970</v>
      </c>
      <c r="C1132" t="s">
        <v>11</v>
      </c>
      <c r="D1132" s="1">
        <v>45249</v>
      </c>
      <c r="E1132">
        <v>93.86</v>
      </c>
      <c r="F1132" t="s">
        <v>59</v>
      </c>
      <c r="G1132" t="s">
        <v>13</v>
      </c>
      <c r="H1132" t="s">
        <v>14</v>
      </c>
      <c r="I1132" t="s">
        <v>15</v>
      </c>
      <c r="J1132" t="str">
        <f>"FY" &amp; IF(MONTH(GiftData[[#This Row],[Gift_Date]])&gt;=7, RIGHT(YEAR(GiftData[[#This Row],[Gift_Date]])+1, 2), RIGHT(YEAR(GiftData[[#This Row],[Gift_Date]]), 2))</f>
        <v>FY24</v>
      </c>
      <c r="K1132">
        <f>IF(COUNTIFS(GiftData[Constituent_ID], GiftData[[#This Row],[Constituent_ID]], GiftData[Fiscal_Year], "FY24")&gt;0, 1, 0)</f>
        <v>1</v>
      </c>
      <c r="L1132">
        <f>IF(COUNTIFS(GiftData[Constituent_ID], GiftData[[#This Row],[Constituent_ID]], GiftData[Fiscal_Year], "FY25")&gt;0, 1, 0)</f>
        <v>1</v>
      </c>
      <c r="M1132">
        <f>IF(COUNTIFS(GiftData[Constituent_ID], GiftData[[#This Row],[Constituent_ID]], GiftData[Fiscal_Year], "FY26")&gt;0, 1, 0)</f>
        <v>1</v>
      </c>
      <c r="N1132" t="str" cm="1">
        <f t="array" ref="N113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3" spans="1:14" x14ac:dyDescent="0.2">
      <c r="A1133" t="s">
        <v>1528</v>
      </c>
      <c r="B1133" t="s">
        <v>1349</v>
      </c>
      <c r="C1133" t="s">
        <v>18</v>
      </c>
      <c r="D1133" s="1">
        <v>45719</v>
      </c>
      <c r="E1133">
        <v>276.68</v>
      </c>
      <c r="F1133" t="s">
        <v>12</v>
      </c>
      <c r="G1133" t="s">
        <v>13</v>
      </c>
      <c r="H1133" t="s">
        <v>41</v>
      </c>
      <c r="I1133" t="s">
        <v>15</v>
      </c>
      <c r="J1133" t="str">
        <f>"FY" &amp; IF(MONTH(GiftData[[#This Row],[Gift_Date]])&gt;=7, RIGHT(YEAR(GiftData[[#This Row],[Gift_Date]])+1, 2), RIGHT(YEAR(GiftData[[#This Row],[Gift_Date]]), 2))</f>
        <v>FY25</v>
      </c>
      <c r="K1133">
        <f>IF(COUNTIFS(GiftData[Constituent_ID], GiftData[[#This Row],[Constituent_ID]], GiftData[Fiscal_Year], "FY24")&gt;0, 1, 0)</f>
        <v>0</v>
      </c>
      <c r="L1133">
        <f>IF(COUNTIFS(GiftData[Constituent_ID], GiftData[[#This Row],[Constituent_ID]], GiftData[Fiscal_Year], "FY25")&gt;0, 1, 0)</f>
        <v>1</v>
      </c>
      <c r="M1133">
        <f>IF(COUNTIFS(GiftData[Constituent_ID], GiftData[[#This Row],[Constituent_ID]], GiftData[Fiscal_Year], "FY26")&gt;0, 1, 0)</f>
        <v>0</v>
      </c>
      <c r="N1133" t="str" cm="1">
        <f t="array" ref="N113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34" spans="1:14" x14ac:dyDescent="0.2">
      <c r="A1134" t="s">
        <v>1529</v>
      </c>
      <c r="B1134" t="s">
        <v>683</v>
      </c>
      <c r="C1134" t="s">
        <v>35</v>
      </c>
      <c r="D1134" s="1">
        <v>45608</v>
      </c>
      <c r="E1134">
        <v>522.41999999999996</v>
      </c>
      <c r="F1134" t="s">
        <v>12</v>
      </c>
      <c r="G1134" t="s">
        <v>13</v>
      </c>
      <c r="H1134" t="s">
        <v>164</v>
      </c>
      <c r="I1134" t="s">
        <v>38</v>
      </c>
      <c r="J1134" t="str">
        <f>"FY" &amp; IF(MONTH(GiftData[[#This Row],[Gift_Date]])&gt;=7, RIGHT(YEAR(GiftData[[#This Row],[Gift_Date]])+1, 2), RIGHT(YEAR(GiftData[[#This Row],[Gift_Date]]), 2))</f>
        <v>FY25</v>
      </c>
      <c r="K1134">
        <f>IF(COUNTIFS(GiftData[Constituent_ID], GiftData[[#This Row],[Constituent_ID]], GiftData[Fiscal_Year], "FY24")&gt;0, 1, 0)</f>
        <v>0</v>
      </c>
      <c r="L1134">
        <f>IF(COUNTIFS(GiftData[Constituent_ID], GiftData[[#This Row],[Constituent_ID]], GiftData[Fiscal_Year], "FY25")&gt;0, 1, 0)</f>
        <v>1</v>
      </c>
      <c r="M1134">
        <f>IF(COUNTIFS(GiftData[Constituent_ID], GiftData[[#This Row],[Constituent_ID]], GiftData[Fiscal_Year], "FY26")&gt;0, 1, 0)</f>
        <v>0</v>
      </c>
      <c r="N1134" t="str" cm="1">
        <f t="array" ref="N113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35" spans="1:14" x14ac:dyDescent="0.2">
      <c r="A1135" t="s">
        <v>1530</v>
      </c>
      <c r="B1135" t="s">
        <v>904</v>
      </c>
      <c r="C1135" t="s">
        <v>11</v>
      </c>
      <c r="D1135" s="1">
        <v>45947</v>
      </c>
      <c r="E1135">
        <v>41.93</v>
      </c>
      <c r="F1135" t="s">
        <v>12</v>
      </c>
      <c r="G1135" t="s">
        <v>13</v>
      </c>
      <c r="H1135" t="s">
        <v>41</v>
      </c>
      <c r="I1135" t="s">
        <v>56</v>
      </c>
      <c r="J1135" t="str">
        <f>"FY" &amp; IF(MONTH(GiftData[[#This Row],[Gift_Date]])&gt;=7, RIGHT(YEAR(GiftData[[#This Row],[Gift_Date]])+1, 2), RIGHT(YEAR(GiftData[[#This Row],[Gift_Date]]), 2))</f>
        <v>FY26</v>
      </c>
      <c r="K1135">
        <f>IF(COUNTIFS(GiftData[Constituent_ID], GiftData[[#This Row],[Constituent_ID]], GiftData[Fiscal_Year], "FY24")&gt;0, 1, 0)</f>
        <v>1</v>
      </c>
      <c r="L1135">
        <f>IF(COUNTIFS(GiftData[Constituent_ID], GiftData[[#This Row],[Constituent_ID]], GiftData[Fiscal_Year], "FY25")&gt;0, 1, 0)</f>
        <v>0</v>
      </c>
      <c r="M1135">
        <f>IF(COUNTIFS(GiftData[Constituent_ID], GiftData[[#This Row],[Constituent_ID]], GiftData[Fiscal_Year], "FY26")&gt;0, 1, 0)</f>
        <v>1</v>
      </c>
      <c r="N1135" t="str" cm="1">
        <f t="array" ref="N113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6" spans="1:14" x14ac:dyDescent="0.2">
      <c r="A1136" t="s">
        <v>1531</v>
      </c>
      <c r="B1136" t="s">
        <v>396</v>
      </c>
      <c r="C1136" t="s">
        <v>18</v>
      </c>
      <c r="D1136" s="1">
        <v>45809</v>
      </c>
      <c r="E1136">
        <v>41.09</v>
      </c>
      <c r="F1136" t="s">
        <v>12</v>
      </c>
      <c r="G1136" t="s">
        <v>13</v>
      </c>
      <c r="H1136" t="s">
        <v>41</v>
      </c>
      <c r="I1136" t="s">
        <v>15</v>
      </c>
      <c r="J1136" t="str">
        <f>"FY" &amp; IF(MONTH(GiftData[[#This Row],[Gift_Date]])&gt;=7, RIGHT(YEAR(GiftData[[#This Row],[Gift_Date]])+1, 2), RIGHT(YEAR(GiftData[[#This Row],[Gift_Date]]), 2))</f>
        <v>FY25</v>
      </c>
      <c r="K1136">
        <f>IF(COUNTIFS(GiftData[Constituent_ID], GiftData[[#This Row],[Constituent_ID]], GiftData[Fiscal_Year], "FY24")&gt;0, 1, 0)</f>
        <v>1</v>
      </c>
      <c r="L1136">
        <f>IF(COUNTIFS(GiftData[Constituent_ID], GiftData[[#This Row],[Constituent_ID]], GiftData[Fiscal_Year], "FY25")&gt;0, 1, 0)</f>
        <v>1</v>
      </c>
      <c r="M1136">
        <f>IF(COUNTIFS(GiftData[Constituent_ID], GiftData[[#This Row],[Constituent_ID]], GiftData[Fiscal_Year], "FY26")&gt;0, 1, 0)</f>
        <v>0</v>
      </c>
      <c r="N1136" t="str" cm="1">
        <f t="array" ref="N113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37" spans="1:14" x14ac:dyDescent="0.2">
      <c r="A1137" t="s">
        <v>1532</v>
      </c>
      <c r="B1137" t="s">
        <v>796</v>
      </c>
      <c r="C1137" t="s">
        <v>28</v>
      </c>
      <c r="D1137" s="1">
        <v>45703</v>
      </c>
      <c r="E1137">
        <v>101.38</v>
      </c>
      <c r="F1137" t="s">
        <v>12</v>
      </c>
      <c r="G1137" t="s">
        <v>13</v>
      </c>
      <c r="H1137" t="s">
        <v>41</v>
      </c>
      <c r="I1137" t="s">
        <v>30</v>
      </c>
      <c r="J1137" t="str">
        <f>"FY" &amp; IF(MONTH(GiftData[[#This Row],[Gift_Date]])&gt;=7, RIGHT(YEAR(GiftData[[#This Row],[Gift_Date]])+1, 2), RIGHT(YEAR(GiftData[[#This Row],[Gift_Date]]), 2))</f>
        <v>FY25</v>
      </c>
      <c r="K1137">
        <f>IF(COUNTIFS(GiftData[Constituent_ID], GiftData[[#This Row],[Constituent_ID]], GiftData[Fiscal_Year], "FY24")&gt;0, 1, 0)</f>
        <v>0</v>
      </c>
      <c r="L1137">
        <f>IF(COUNTIFS(GiftData[Constituent_ID], GiftData[[#This Row],[Constituent_ID]], GiftData[Fiscal_Year], "FY25")&gt;0, 1, 0)</f>
        <v>1</v>
      </c>
      <c r="M1137">
        <f>IF(COUNTIFS(GiftData[Constituent_ID], GiftData[[#This Row],[Constituent_ID]], GiftData[Fiscal_Year], "FY26")&gt;0, 1, 0)</f>
        <v>0</v>
      </c>
      <c r="N1137" t="str" cm="1">
        <f t="array" ref="N113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38" spans="1:14" x14ac:dyDescent="0.2">
      <c r="A1138" t="s">
        <v>1533</v>
      </c>
      <c r="B1138" t="s">
        <v>1128</v>
      </c>
      <c r="C1138" t="s">
        <v>28</v>
      </c>
      <c r="D1138" s="1">
        <v>45388</v>
      </c>
      <c r="E1138">
        <v>54.61</v>
      </c>
      <c r="F1138" t="s">
        <v>12</v>
      </c>
      <c r="G1138" t="s">
        <v>13</v>
      </c>
      <c r="H1138" t="s">
        <v>20</v>
      </c>
      <c r="I1138" t="s">
        <v>56</v>
      </c>
      <c r="J1138" t="str">
        <f>"FY" &amp; IF(MONTH(GiftData[[#This Row],[Gift_Date]])&gt;=7, RIGHT(YEAR(GiftData[[#This Row],[Gift_Date]])+1, 2), RIGHT(YEAR(GiftData[[#This Row],[Gift_Date]]), 2))</f>
        <v>FY24</v>
      </c>
      <c r="K1138">
        <f>IF(COUNTIFS(GiftData[Constituent_ID], GiftData[[#This Row],[Constituent_ID]], GiftData[Fiscal_Year], "FY24")&gt;0, 1, 0)</f>
        <v>1</v>
      </c>
      <c r="L1138">
        <f>IF(COUNTIFS(GiftData[Constituent_ID], GiftData[[#This Row],[Constituent_ID]], GiftData[Fiscal_Year], "FY25")&gt;0, 1, 0)</f>
        <v>0</v>
      </c>
      <c r="M1138">
        <f>IF(COUNTIFS(GiftData[Constituent_ID], GiftData[[#This Row],[Constituent_ID]], GiftData[Fiscal_Year], "FY26")&gt;0, 1, 0)</f>
        <v>1</v>
      </c>
      <c r="N1138" t="str" cm="1">
        <f t="array" ref="N113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39" spans="1:14" x14ac:dyDescent="0.2">
      <c r="A1139" t="s">
        <v>1534</v>
      </c>
      <c r="B1139" t="s">
        <v>860</v>
      </c>
      <c r="C1139" t="s">
        <v>28</v>
      </c>
      <c r="D1139" s="1">
        <v>45531</v>
      </c>
      <c r="E1139">
        <v>15</v>
      </c>
      <c r="F1139" t="s">
        <v>12</v>
      </c>
      <c r="G1139" t="s">
        <v>13</v>
      </c>
      <c r="H1139" t="s">
        <v>14</v>
      </c>
      <c r="I1139" t="s">
        <v>56</v>
      </c>
      <c r="J1139" t="str">
        <f>"FY" &amp; IF(MONTH(GiftData[[#This Row],[Gift_Date]])&gt;=7, RIGHT(YEAR(GiftData[[#This Row],[Gift_Date]])+1, 2), RIGHT(YEAR(GiftData[[#This Row],[Gift_Date]]), 2))</f>
        <v>FY25</v>
      </c>
      <c r="K1139">
        <f>IF(COUNTIFS(GiftData[Constituent_ID], GiftData[[#This Row],[Constituent_ID]], GiftData[Fiscal_Year], "FY24")&gt;0, 1, 0)</f>
        <v>1</v>
      </c>
      <c r="L1139">
        <f>IF(COUNTIFS(GiftData[Constituent_ID], GiftData[[#This Row],[Constituent_ID]], GiftData[Fiscal_Year], "FY25")&gt;0, 1, 0)</f>
        <v>1</v>
      </c>
      <c r="M1139">
        <f>IF(COUNTIFS(GiftData[Constituent_ID], GiftData[[#This Row],[Constituent_ID]], GiftData[Fiscal_Year], "FY26")&gt;0, 1, 0)</f>
        <v>0</v>
      </c>
      <c r="N1139" t="str" cm="1">
        <f t="array" ref="N113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40" spans="1:14" x14ac:dyDescent="0.2">
      <c r="A1140" t="s">
        <v>1535</v>
      </c>
      <c r="B1140" t="s">
        <v>192</v>
      </c>
      <c r="C1140" t="s">
        <v>18</v>
      </c>
      <c r="D1140" s="1">
        <v>45963</v>
      </c>
      <c r="E1140">
        <v>33.26</v>
      </c>
      <c r="F1140" t="s">
        <v>12</v>
      </c>
      <c r="G1140" t="s">
        <v>13</v>
      </c>
      <c r="H1140" t="s">
        <v>164</v>
      </c>
      <c r="I1140" t="s">
        <v>15</v>
      </c>
      <c r="J1140" t="str">
        <f>"FY" &amp; IF(MONTH(GiftData[[#This Row],[Gift_Date]])&gt;=7, RIGHT(YEAR(GiftData[[#This Row],[Gift_Date]])+1, 2), RIGHT(YEAR(GiftData[[#This Row],[Gift_Date]]), 2))</f>
        <v>FY26</v>
      </c>
      <c r="K1140">
        <f>IF(COUNTIFS(GiftData[Constituent_ID], GiftData[[#This Row],[Constituent_ID]], GiftData[Fiscal_Year], "FY24")&gt;0, 1, 0)</f>
        <v>1</v>
      </c>
      <c r="L1140">
        <f>IF(COUNTIFS(GiftData[Constituent_ID], GiftData[[#This Row],[Constituent_ID]], GiftData[Fiscal_Year], "FY25")&gt;0, 1, 0)</f>
        <v>1</v>
      </c>
      <c r="M1140">
        <f>IF(COUNTIFS(GiftData[Constituent_ID], GiftData[[#This Row],[Constituent_ID]], GiftData[Fiscal_Year], "FY26")&gt;0, 1, 0)</f>
        <v>1</v>
      </c>
      <c r="N1140" t="str" cm="1">
        <f t="array" ref="N114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1" spans="1:14" x14ac:dyDescent="0.2">
      <c r="A1141" t="s">
        <v>1536</v>
      </c>
      <c r="B1141" t="s">
        <v>870</v>
      </c>
      <c r="C1141" t="s">
        <v>11</v>
      </c>
      <c r="D1141" s="1">
        <v>45377</v>
      </c>
      <c r="E1141">
        <v>24.48</v>
      </c>
      <c r="F1141" t="s">
        <v>12</v>
      </c>
      <c r="G1141" t="s">
        <v>13</v>
      </c>
      <c r="H1141" t="s">
        <v>164</v>
      </c>
      <c r="I1141" t="s">
        <v>15</v>
      </c>
      <c r="J1141" t="str">
        <f>"FY" &amp; IF(MONTH(GiftData[[#This Row],[Gift_Date]])&gt;=7, RIGHT(YEAR(GiftData[[#This Row],[Gift_Date]])+1, 2), RIGHT(YEAR(GiftData[[#This Row],[Gift_Date]]), 2))</f>
        <v>FY24</v>
      </c>
      <c r="K1141">
        <f>IF(COUNTIFS(GiftData[Constituent_ID], GiftData[[#This Row],[Constituent_ID]], GiftData[Fiscal_Year], "FY24")&gt;0, 1, 0)</f>
        <v>1</v>
      </c>
      <c r="L1141">
        <f>IF(COUNTIFS(GiftData[Constituent_ID], GiftData[[#This Row],[Constituent_ID]], GiftData[Fiscal_Year], "FY25")&gt;0, 1, 0)</f>
        <v>1</v>
      </c>
      <c r="M1141">
        <f>IF(COUNTIFS(GiftData[Constituent_ID], GiftData[[#This Row],[Constituent_ID]], GiftData[Fiscal_Year], "FY26")&gt;0, 1, 0)</f>
        <v>0</v>
      </c>
      <c r="N1141" t="str" cm="1">
        <f t="array" ref="N114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42" spans="1:14" x14ac:dyDescent="0.2">
      <c r="A1142" t="s">
        <v>1537</v>
      </c>
      <c r="B1142" t="s">
        <v>658</v>
      </c>
      <c r="C1142" t="s">
        <v>11</v>
      </c>
      <c r="D1142" s="1">
        <v>45261</v>
      </c>
      <c r="E1142">
        <v>584.63</v>
      </c>
      <c r="F1142" t="s">
        <v>25</v>
      </c>
      <c r="G1142" t="s">
        <v>13</v>
      </c>
      <c r="H1142" t="s">
        <v>51</v>
      </c>
      <c r="I1142" t="s">
        <v>15</v>
      </c>
      <c r="J1142" t="str">
        <f>"FY" &amp; IF(MONTH(GiftData[[#This Row],[Gift_Date]])&gt;=7, RIGHT(YEAR(GiftData[[#This Row],[Gift_Date]])+1, 2), RIGHT(YEAR(GiftData[[#This Row],[Gift_Date]]), 2))</f>
        <v>FY24</v>
      </c>
      <c r="K1142">
        <f>IF(COUNTIFS(GiftData[Constituent_ID], GiftData[[#This Row],[Constituent_ID]], GiftData[Fiscal_Year], "FY24")&gt;0, 1, 0)</f>
        <v>1</v>
      </c>
      <c r="L1142">
        <f>IF(COUNTIFS(GiftData[Constituent_ID], GiftData[[#This Row],[Constituent_ID]], GiftData[Fiscal_Year], "FY25")&gt;0, 1, 0)</f>
        <v>1</v>
      </c>
      <c r="M1142">
        <f>IF(COUNTIFS(GiftData[Constituent_ID], GiftData[[#This Row],[Constituent_ID]], GiftData[Fiscal_Year], "FY26")&gt;0, 1, 0)</f>
        <v>1</v>
      </c>
      <c r="N1142" t="str" cm="1">
        <f t="array" ref="N114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3" spans="1:14" x14ac:dyDescent="0.2">
      <c r="A1143" t="s">
        <v>1538</v>
      </c>
      <c r="B1143" t="s">
        <v>63</v>
      </c>
      <c r="C1143" t="s">
        <v>18</v>
      </c>
      <c r="D1143" s="1">
        <v>45721</v>
      </c>
      <c r="E1143">
        <v>1111.73</v>
      </c>
      <c r="F1143" t="s">
        <v>12</v>
      </c>
      <c r="G1143" t="s">
        <v>13</v>
      </c>
      <c r="H1143" t="s">
        <v>14</v>
      </c>
      <c r="I1143" t="s">
        <v>38</v>
      </c>
      <c r="J1143" t="str">
        <f>"FY" &amp; IF(MONTH(GiftData[[#This Row],[Gift_Date]])&gt;=7, RIGHT(YEAR(GiftData[[#This Row],[Gift_Date]])+1, 2), RIGHT(YEAR(GiftData[[#This Row],[Gift_Date]]), 2))</f>
        <v>FY25</v>
      </c>
      <c r="K1143">
        <f>IF(COUNTIFS(GiftData[Constituent_ID], GiftData[[#This Row],[Constituent_ID]], GiftData[Fiscal_Year], "FY24")&gt;0, 1, 0)</f>
        <v>0</v>
      </c>
      <c r="L1143">
        <f>IF(COUNTIFS(GiftData[Constituent_ID], GiftData[[#This Row],[Constituent_ID]], GiftData[Fiscal_Year], "FY25")&gt;0, 1, 0)</f>
        <v>1</v>
      </c>
      <c r="M1143">
        <f>IF(COUNTIFS(GiftData[Constituent_ID], GiftData[[#This Row],[Constituent_ID]], GiftData[Fiscal_Year], "FY26")&gt;0, 1, 0)</f>
        <v>1</v>
      </c>
      <c r="N1143" t="str" cm="1">
        <f t="array" ref="N114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4" spans="1:14" x14ac:dyDescent="0.2">
      <c r="A1144" t="s">
        <v>1539</v>
      </c>
      <c r="B1144" t="s">
        <v>802</v>
      </c>
      <c r="C1144" t="s">
        <v>35</v>
      </c>
      <c r="D1144" s="1">
        <v>45769</v>
      </c>
      <c r="E1144">
        <v>29.25</v>
      </c>
      <c r="F1144" t="s">
        <v>12</v>
      </c>
      <c r="G1144" t="s">
        <v>13</v>
      </c>
      <c r="H1144" t="s">
        <v>51</v>
      </c>
      <c r="I1144" t="s">
        <v>15</v>
      </c>
      <c r="J1144" t="str">
        <f>"FY" &amp; IF(MONTH(GiftData[[#This Row],[Gift_Date]])&gt;=7, RIGHT(YEAR(GiftData[[#This Row],[Gift_Date]])+1, 2), RIGHT(YEAR(GiftData[[#This Row],[Gift_Date]]), 2))</f>
        <v>FY25</v>
      </c>
      <c r="K1144">
        <f>IF(COUNTIFS(GiftData[Constituent_ID], GiftData[[#This Row],[Constituent_ID]], GiftData[Fiscal_Year], "FY24")&gt;0, 1, 0)</f>
        <v>1</v>
      </c>
      <c r="L1144">
        <f>IF(COUNTIFS(GiftData[Constituent_ID], GiftData[[#This Row],[Constituent_ID]], GiftData[Fiscal_Year], "FY25")&gt;0, 1, 0)</f>
        <v>1</v>
      </c>
      <c r="M1144">
        <f>IF(COUNTIFS(GiftData[Constituent_ID], GiftData[[#This Row],[Constituent_ID]], GiftData[Fiscal_Year], "FY26")&gt;0, 1, 0)</f>
        <v>1</v>
      </c>
      <c r="N1144" t="str" cm="1">
        <f t="array" ref="N114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5" spans="1:14" x14ac:dyDescent="0.2">
      <c r="A1145" t="s">
        <v>1540</v>
      </c>
      <c r="B1145" t="s">
        <v>956</v>
      </c>
      <c r="C1145" t="s">
        <v>28</v>
      </c>
      <c r="D1145" s="1">
        <v>45190</v>
      </c>
      <c r="E1145">
        <v>247.13</v>
      </c>
      <c r="F1145" t="s">
        <v>12</v>
      </c>
      <c r="G1145" t="s">
        <v>13</v>
      </c>
      <c r="H1145" t="s">
        <v>20</v>
      </c>
      <c r="I1145" t="s">
        <v>15</v>
      </c>
      <c r="J1145" t="str">
        <f>"FY" &amp; IF(MONTH(GiftData[[#This Row],[Gift_Date]])&gt;=7, RIGHT(YEAR(GiftData[[#This Row],[Gift_Date]])+1, 2), RIGHT(YEAR(GiftData[[#This Row],[Gift_Date]]), 2))</f>
        <v>FY24</v>
      </c>
      <c r="K1145">
        <f>IF(COUNTIFS(GiftData[Constituent_ID], GiftData[[#This Row],[Constituent_ID]], GiftData[Fiscal_Year], "FY24")&gt;0, 1, 0)</f>
        <v>1</v>
      </c>
      <c r="L1145">
        <f>IF(COUNTIFS(GiftData[Constituent_ID], GiftData[[#This Row],[Constituent_ID]], GiftData[Fiscal_Year], "FY25")&gt;0, 1, 0)</f>
        <v>0</v>
      </c>
      <c r="M1145">
        <f>IF(COUNTIFS(GiftData[Constituent_ID], GiftData[[#This Row],[Constituent_ID]], GiftData[Fiscal_Year], "FY26")&gt;0, 1, 0)</f>
        <v>1</v>
      </c>
      <c r="N1145" t="str" cm="1">
        <f t="array" ref="N114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6" spans="1:14" x14ac:dyDescent="0.2">
      <c r="A1146" t="s">
        <v>1541</v>
      </c>
      <c r="B1146" t="s">
        <v>699</v>
      </c>
      <c r="C1146" t="s">
        <v>11</v>
      </c>
      <c r="D1146" s="1">
        <v>46054</v>
      </c>
      <c r="E1146">
        <v>378.26</v>
      </c>
      <c r="F1146" t="s">
        <v>59</v>
      </c>
      <c r="G1146" t="s">
        <v>13</v>
      </c>
      <c r="H1146" t="s">
        <v>20</v>
      </c>
      <c r="I1146" t="s">
        <v>15</v>
      </c>
      <c r="J1146" t="str">
        <f>"FY" &amp; IF(MONTH(GiftData[[#This Row],[Gift_Date]])&gt;=7, RIGHT(YEAR(GiftData[[#This Row],[Gift_Date]])+1, 2), RIGHT(YEAR(GiftData[[#This Row],[Gift_Date]]), 2))</f>
        <v>FY26</v>
      </c>
      <c r="K1146">
        <f>IF(COUNTIFS(GiftData[Constituent_ID], GiftData[[#This Row],[Constituent_ID]], GiftData[Fiscal_Year], "FY24")&gt;0, 1, 0)</f>
        <v>1</v>
      </c>
      <c r="L1146">
        <f>IF(COUNTIFS(GiftData[Constituent_ID], GiftData[[#This Row],[Constituent_ID]], GiftData[Fiscal_Year], "FY25")&gt;0, 1, 0)</f>
        <v>1</v>
      </c>
      <c r="M1146">
        <f>IF(COUNTIFS(GiftData[Constituent_ID], GiftData[[#This Row],[Constituent_ID]], GiftData[Fiscal_Year], "FY26")&gt;0, 1, 0)</f>
        <v>1</v>
      </c>
      <c r="N1146" t="str" cm="1">
        <f t="array" ref="N114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7" spans="1:14" x14ac:dyDescent="0.2">
      <c r="A1147" t="s">
        <v>1542</v>
      </c>
      <c r="B1147" t="s">
        <v>93</v>
      </c>
      <c r="C1147" t="s">
        <v>28</v>
      </c>
      <c r="D1147" s="1">
        <v>46006</v>
      </c>
      <c r="E1147">
        <v>17.46</v>
      </c>
      <c r="F1147" t="s">
        <v>12</v>
      </c>
      <c r="G1147" t="s">
        <v>29</v>
      </c>
      <c r="H1147" t="s">
        <v>14</v>
      </c>
      <c r="I1147" t="s">
        <v>15</v>
      </c>
      <c r="J1147" t="str">
        <f>"FY" &amp; IF(MONTH(GiftData[[#This Row],[Gift_Date]])&gt;=7, RIGHT(YEAR(GiftData[[#This Row],[Gift_Date]])+1, 2), RIGHT(YEAR(GiftData[[#This Row],[Gift_Date]]), 2))</f>
        <v>FY26</v>
      </c>
      <c r="K1147">
        <f>IF(COUNTIFS(GiftData[Constituent_ID], GiftData[[#This Row],[Constituent_ID]], GiftData[Fiscal_Year], "FY24")&gt;0, 1, 0)</f>
        <v>1</v>
      </c>
      <c r="L1147">
        <f>IF(COUNTIFS(GiftData[Constituent_ID], GiftData[[#This Row],[Constituent_ID]], GiftData[Fiscal_Year], "FY25")&gt;0, 1, 0)</f>
        <v>1</v>
      </c>
      <c r="M1147">
        <f>IF(COUNTIFS(GiftData[Constituent_ID], GiftData[[#This Row],[Constituent_ID]], GiftData[Fiscal_Year], "FY26")&gt;0, 1, 0)</f>
        <v>1</v>
      </c>
      <c r="N1147" t="str" cm="1">
        <f t="array" ref="N114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8" spans="1:14" x14ac:dyDescent="0.2">
      <c r="A1148" t="s">
        <v>1543</v>
      </c>
      <c r="B1148" t="s">
        <v>1128</v>
      </c>
      <c r="C1148" t="s">
        <v>18</v>
      </c>
      <c r="D1148" s="1">
        <v>45391</v>
      </c>
      <c r="E1148">
        <v>149.80000000000001</v>
      </c>
      <c r="F1148" t="s">
        <v>12</v>
      </c>
      <c r="G1148" t="s">
        <v>13</v>
      </c>
      <c r="H1148" t="s">
        <v>14</v>
      </c>
      <c r="I1148" t="s">
        <v>38</v>
      </c>
      <c r="J1148" t="str">
        <f>"FY" &amp; IF(MONTH(GiftData[[#This Row],[Gift_Date]])&gt;=7, RIGHT(YEAR(GiftData[[#This Row],[Gift_Date]])+1, 2), RIGHT(YEAR(GiftData[[#This Row],[Gift_Date]]), 2))</f>
        <v>FY24</v>
      </c>
      <c r="K1148">
        <f>IF(COUNTIFS(GiftData[Constituent_ID], GiftData[[#This Row],[Constituent_ID]], GiftData[Fiscal_Year], "FY24")&gt;0, 1, 0)</f>
        <v>1</v>
      </c>
      <c r="L1148">
        <f>IF(COUNTIFS(GiftData[Constituent_ID], GiftData[[#This Row],[Constituent_ID]], GiftData[Fiscal_Year], "FY25")&gt;0, 1, 0)</f>
        <v>0</v>
      </c>
      <c r="M1148">
        <f>IF(COUNTIFS(GiftData[Constituent_ID], GiftData[[#This Row],[Constituent_ID]], GiftData[Fiscal_Year], "FY26")&gt;0, 1, 0)</f>
        <v>1</v>
      </c>
      <c r="N1148" t="str" cm="1">
        <f t="array" ref="N114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49" spans="1:14" x14ac:dyDescent="0.2">
      <c r="A1149" t="s">
        <v>1544</v>
      </c>
      <c r="B1149" t="s">
        <v>1037</v>
      </c>
      <c r="C1149" t="s">
        <v>35</v>
      </c>
      <c r="D1149" s="1">
        <v>46087</v>
      </c>
      <c r="E1149">
        <v>3273.36</v>
      </c>
      <c r="F1149" t="s">
        <v>12</v>
      </c>
      <c r="G1149" t="s">
        <v>13</v>
      </c>
      <c r="H1149" t="s">
        <v>20</v>
      </c>
      <c r="I1149" t="s">
        <v>15</v>
      </c>
      <c r="J1149" t="str">
        <f>"FY" &amp; IF(MONTH(GiftData[[#This Row],[Gift_Date]])&gt;=7, RIGHT(YEAR(GiftData[[#This Row],[Gift_Date]])+1, 2), RIGHT(YEAR(GiftData[[#This Row],[Gift_Date]]), 2))</f>
        <v>FY26</v>
      </c>
      <c r="K1149">
        <f>IF(COUNTIFS(GiftData[Constituent_ID], GiftData[[#This Row],[Constituent_ID]], GiftData[Fiscal_Year], "FY24")&gt;0, 1, 0)</f>
        <v>1</v>
      </c>
      <c r="L1149">
        <f>IF(COUNTIFS(GiftData[Constituent_ID], GiftData[[#This Row],[Constituent_ID]], GiftData[Fiscal_Year], "FY25")&gt;0, 1, 0)</f>
        <v>0</v>
      </c>
      <c r="M1149">
        <f>IF(COUNTIFS(GiftData[Constituent_ID], GiftData[[#This Row],[Constituent_ID]], GiftData[Fiscal_Year], "FY26")&gt;0, 1, 0)</f>
        <v>1</v>
      </c>
      <c r="N1149" t="str" cm="1">
        <f t="array" ref="N114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0" spans="1:14" x14ac:dyDescent="0.2">
      <c r="A1150" t="s">
        <v>1545</v>
      </c>
      <c r="B1150" t="s">
        <v>182</v>
      </c>
      <c r="C1150" t="s">
        <v>18</v>
      </c>
      <c r="D1150" s="1">
        <v>45280</v>
      </c>
      <c r="E1150">
        <v>293.02999999999997</v>
      </c>
      <c r="F1150" t="s">
        <v>25</v>
      </c>
      <c r="G1150" t="s">
        <v>13</v>
      </c>
      <c r="H1150" t="s">
        <v>14</v>
      </c>
      <c r="I1150" t="s">
        <v>38</v>
      </c>
      <c r="J1150" t="str">
        <f>"FY" &amp; IF(MONTH(GiftData[[#This Row],[Gift_Date]])&gt;=7, RIGHT(YEAR(GiftData[[#This Row],[Gift_Date]])+1, 2), RIGHT(YEAR(GiftData[[#This Row],[Gift_Date]]), 2))</f>
        <v>FY24</v>
      </c>
      <c r="K1150">
        <f>IF(COUNTIFS(GiftData[Constituent_ID], GiftData[[#This Row],[Constituent_ID]], GiftData[Fiscal_Year], "FY24")&gt;0, 1, 0)</f>
        <v>1</v>
      </c>
      <c r="L1150">
        <f>IF(COUNTIFS(GiftData[Constituent_ID], GiftData[[#This Row],[Constituent_ID]], GiftData[Fiscal_Year], "FY25")&gt;0, 1, 0)</f>
        <v>1</v>
      </c>
      <c r="M1150">
        <f>IF(COUNTIFS(GiftData[Constituent_ID], GiftData[[#This Row],[Constituent_ID]], GiftData[Fiscal_Year], "FY26")&gt;0, 1, 0)</f>
        <v>0</v>
      </c>
      <c r="N1150" t="str" cm="1">
        <f t="array" ref="N115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51" spans="1:14" x14ac:dyDescent="0.2">
      <c r="A1151" t="s">
        <v>1546</v>
      </c>
      <c r="B1151" t="s">
        <v>878</v>
      </c>
      <c r="C1151" t="s">
        <v>18</v>
      </c>
      <c r="D1151" s="1">
        <v>45870</v>
      </c>
      <c r="E1151">
        <v>88.33</v>
      </c>
      <c r="F1151" t="s">
        <v>12</v>
      </c>
      <c r="G1151" t="s">
        <v>29</v>
      </c>
      <c r="H1151" t="s">
        <v>20</v>
      </c>
      <c r="I1151" t="s">
        <v>38</v>
      </c>
      <c r="J1151" t="str">
        <f>"FY" &amp; IF(MONTH(GiftData[[#This Row],[Gift_Date]])&gt;=7, RIGHT(YEAR(GiftData[[#This Row],[Gift_Date]])+1, 2), RIGHT(YEAR(GiftData[[#This Row],[Gift_Date]]), 2))</f>
        <v>FY26</v>
      </c>
      <c r="K1151">
        <f>IF(COUNTIFS(GiftData[Constituent_ID], GiftData[[#This Row],[Constituent_ID]], GiftData[Fiscal_Year], "FY24")&gt;0, 1, 0)</f>
        <v>1</v>
      </c>
      <c r="L1151">
        <f>IF(COUNTIFS(GiftData[Constituent_ID], GiftData[[#This Row],[Constituent_ID]], GiftData[Fiscal_Year], "FY25")&gt;0, 1, 0)</f>
        <v>0</v>
      </c>
      <c r="M1151">
        <f>IF(COUNTIFS(GiftData[Constituent_ID], GiftData[[#This Row],[Constituent_ID]], GiftData[Fiscal_Year], "FY26")&gt;0, 1, 0)</f>
        <v>1</v>
      </c>
      <c r="N1151" t="str" cm="1">
        <f t="array" ref="N115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2" spans="1:14" x14ac:dyDescent="0.2">
      <c r="A1152" t="s">
        <v>1547</v>
      </c>
      <c r="B1152" t="s">
        <v>584</v>
      </c>
      <c r="C1152" t="s">
        <v>11</v>
      </c>
      <c r="D1152" s="1">
        <v>45740</v>
      </c>
      <c r="E1152">
        <v>58.66</v>
      </c>
      <c r="F1152" t="s">
        <v>12</v>
      </c>
      <c r="G1152" t="s">
        <v>13</v>
      </c>
      <c r="H1152" t="s">
        <v>14</v>
      </c>
      <c r="I1152" t="s">
        <v>15</v>
      </c>
      <c r="J1152" t="str">
        <f>"FY" &amp; IF(MONTH(GiftData[[#This Row],[Gift_Date]])&gt;=7, RIGHT(YEAR(GiftData[[#This Row],[Gift_Date]])+1, 2), RIGHT(YEAR(GiftData[[#This Row],[Gift_Date]]), 2))</f>
        <v>FY25</v>
      </c>
      <c r="K1152">
        <f>IF(COUNTIFS(GiftData[Constituent_ID], GiftData[[#This Row],[Constituent_ID]], GiftData[Fiscal_Year], "FY24")&gt;0, 1, 0)</f>
        <v>1</v>
      </c>
      <c r="L1152">
        <f>IF(COUNTIFS(GiftData[Constituent_ID], GiftData[[#This Row],[Constituent_ID]], GiftData[Fiscal_Year], "FY25")&gt;0, 1, 0)</f>
        <v>1</v>
      </c>
      <c r="M1152">
        <f>IF(COUNTIFS(GiftData[Constituent_ID], GiftData[[#This Row],[Constituent_ID]], GiftData[Fiscal_Year], "FY26")&gt;0, 1, 0)</f>
        <v>1</v>
      </c>
      <c r="N1152" t="str" cm="1">
        <f t="array" ref="N115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3" spans="1:14" x14ac:dyDescent="0.2">
      <c r="A1153" t="s">
        <v>1548</v>
      </c>
      <c r="B1153" t="s">
        <v>970</v>
      </c>
      <c r="C1153" t="s">
        <v>28</v>
      </c>
      <c r="D1153" s="1">
        <v>45894</v>
      </c>
      <c r="E1153">
        <v>15</v>
      </c>
      <c r="F1153" t="s">
        <v>12</v>
      </c>
      <c r="G1153" t="s">
        <v>13</v>
      </c>
      <c r="H1153" t="s">
        <v>41</v>
      </c>
      <c r="I1153" t="s">
        <v>15</v>
      </c>
      <c r="J1153" t="str">
        <f>"FY" &amp; IF(MONTH(GiftData[[#This Row],[Gift_Date]])&gt;=7, RIGHT(YEAR(GiftData[[#This Row],[Gift_Date]])+1, 2), RIGHT(YEAR(GiftData[[#This Row],[Gift_Date]]), 2))</f>
        <v>FY26</v>
      </c>
      <c r="K1153">
        <f>IF(COUNTIFS(GiftData[Constituent_ID], GiftData[[#This Row],[Constituent_ID]], GiftData[Fiscal_Year], "FY24")&gt;0, 1, 0)</f>
        <v>1</v>
      </c>
      <c r="L1153">
        <f>IF(COUNTIFS(GiftData[Constituent_ID], GiftData[[#This Row],[Constituent_ID]], GiftData[Fiscal_Year], "FY25")&gt;0, 1, 0)</f>
        <v>1</v>
      </c>
      <c r="M1153">
        <f>IF(COUNTIFS(GiftData[Constituent_ID], GiftData[[#This Row],[Constituent_ID]], GiftData[Fiscal_Year], "FY26")&gt;0, 1, 0)</f>
        <v>1</v>
      </c>
      <c r="N1153" t="str" cm="1">
        <f t="array" ref="N115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4" spans="1:14" x14ac:dyDescent="0.2">
      <c r="A1154" t="s">
        <v>1549</v>
      </c>
      <c r="B1154" t="s">
        <v>1443</v>
      </c>
      <c r="C1154" t="s">
        <v>28</v>
      </c>
      <c r="D1154" s="1">
        <v>46050</v>
      </c>
      <c r="E1154">
        <v>223.99</v>
      </c>
      <c r="F1154" t="s">
        <v>12</v>
      </c>
      <c r="G1154" t="s">
        <v>13</v>
      </c>
      <c r="H1154" t="s">
        <v>41</v>
      </c>
      <c r="I1154" t="s">
        <v>38</v>
      </c>
      <c r="J1154" t="str">
        <f>"FY" &amp; IF(MONTH(GiftData[[#This Row],[Gift_Date]])&gt;=7, RIGHT(YEAR(GiftData[[#This Row],[Gift_Date]])+1, 2), RIGHT(YEAR(GiftData[[#This Row],[Gift_Date]]), 2))</f>
        <v>FY26</v>
      </c>
      <c r="K1154">
        <f>IF(COUNTIFS(GiftData[Constituent_ID], GiftData[[#This Row],[Constituent_ID]], GiftData[Fiscal_Year], "FY24")&gt;0, 1, 0)</f>
        <v>0</v>
      </c>
      <c r="L1154">
        <f>IF(COUNTIFS(GiftData[Constituent_ID], GiftData[[#This Row],[Constituent_ID]], GiftData[Fiscal_Year], "FY25")&gt;0, 1, 0)</f>
        <v>0</v>
      </c>
      <c r="M1154">
        <f>IF(COUNTIFS(GiftData[Constituent_ID], GiftData[[#This Row],[Constituent_ID]], GiftData[Fiscal_Year], "FY26")&gt;0, 1, 0)</f>
        <v>1</v>
      </c>
      <c r="N1154" t="str" cm="1">
        <f t="array" ref="N115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5" spans="1:14" x14ac:dyDescent="0.2">
      <c r="A1155" t="s">
        <v>1550</v>
      </c>
      <c r="B1155" t="s">
        <v>212</v>
      </c>
      <c r="C1155" t="s">
        <v>18</v>
      </c>
      <c r="D1155" s="1">
        <v>46119</v>
      </c>
      <c r="E1155">
        <v>1528.68</v>
      </c>
      <c r="F1155" t="s">
        <v>59</v>
      </c>
      <c r="G1155" t="s">
        <v>13</v>
      </c>
      <c r="H1155" t="s">
        <v>20</v>
      </c>
      <c r="I1155" t="s">
        <v>15</v>
      </c>
      <c r="J1155" t="str">
        <f>"FY" &amp; IF(MONTH(GiftData[[#This Row],[Gift_Date]])&gt;=7, RIGHT(YEAR(GiftData[[#This Row],[Gift_Date]])+1, 2), RIGHT(YEAR(GiftData[[#This Row],[Gift_Date]]), 2))</f>
        <v>FY26</v>
      </c>
      <c r="K1155">
        <f>IF(COUNTIFS(GiftData[Constituent_ID], GiftData[[#This Row],[Constituent_ID]], GiftData[Fiscal_Year], "FY24")&gt;0, 1, 0)</f>
        <v>0</v>
      </c>
      <c r="L1155">
        <f>IF(COUNTIFS(GiftData[Constituent_ID], GiftData[[#This Row],[Constituent_ID]], GiftData[Fiscal_Year], "FY25")&gt;0, 1, 0)</f>
        <v>0</v>
      </c>
      <c r="M1155">
        <f>IF(COUNTIFS(GiftData[Constituent_ID], GiftData[[#This Row],[Constituent_ID]], GiftData[Fiscal_Year], "FY26")&gt;0, 1, 0)</f>
        <v>1</v>
      </c>
      <c r="N1155" t="str" cm="1">
        <f t="array" ref="N115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6" spans="1:14" x14ac:dyDescent="0.2">
      <c r="A1156" t="s">
        <v>1551</v>
      </c>
      <c r="B1156" t="s">
        <v>532</v>
      </c>
      <c r="C1156" t="s">
        <v>11</v>
      </c>
      <c r="D1156" s="1">
        <v>45505</v>
      </c>
      <c r="E1156">
        <v>42.2</v>
      </c>
      <c r="F1156" t="s">
        <v>59</v>
      </c>
      <c r="G1156" t="s">
        <v>13</v>
      </c>
      <c r="H1156" t="s">
        <v>14</v>
      </c>
      <c r="I1156" t="s">
        <v>15</v>
      </c>
      <c r="J1156" t="str">
        <f>"FY" &amp; IF(MONTH(GiftData[[#This Row],[Gift_Date]])&gt;=7, RIGHT(YEAR(GiftData[[#This Row],[Gift_Date]])+1, 2), RIGHT(YEAR(GiftData[[#This Row],[Gift_Date]]), 2))</f>
        <v>FY25</v>
      </c>
      <c r="K1156">
        <f>IF(COUNTIFS(GiftData[Constituent_ID], GiftData[[#This Row],[Constituent_ID]], GiftData[Fiscal_Year], "FY24")&gt;0, 1, 0)</f>
        <v>1</v>
      </c>
      <c r="L1156">
        <f>IF(COUNTIFS(GiftData[Constituent_ID], GiftData[[#This Row],[Constituent_ID]], GiftData[Fiscal_Year], "FY25")&gt;0, 1, 0)</f>
        <v>1</v>
      </c>
      <c r="M1156">
        <f>IF(COUNTIFS(GiftData[Constituent_ID], GiftData[[#This Row],[Constituent_ID]], GiftData[Fiscal_Year], "FY26")&gt;0, 1, 0)</f>
        <v>0</v>
      </c>
      <c r="N1156" t="str" cm="1">
        <f t="array" ref="N115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57" spans="1:14" x14ac:dyDescent="0.2">
      <c r="A1157" t="s">
        <v>1552</v>
      </c>
      <c r="B1157" t="s">
        <v>1278</v>
      </c>
      <c r="C1157" t="s">
        <v>11</v>
      </c>
      <c r="D1157" s="1">
        <v>46041</v>
      </c>
      <c r="E1157">
        <v>15</v>
      </c>
      <c r="F1157" t="s">
        <v>25</v>
      </c>
      <c r="G1157" t="s">
        <v>13</v>
      </c>
      <c r="H1157" t="s">
        <v>41</v>
      </c>
      <c r="I1157" t="s">
        <v>15</v>
      </c>
      <c r="J1157" t="str">
        <f>"FY" &amp; IF(MONTH(GiftData[[#This Row],[Gift_Date]])&gt;=7, RIGHT(YEAR(GiftData[[#This Row],[Gift_Date]])+1, 2), RIGHT(YEAR(GiftData[[#This Row],[Gift_Date]]), 2))</f>
        <v>FY26</v>
      </c>
      <c r="K1157">
        <f>IF(COUNTIFS(GiftData[Constituent_ID], GiftData[[#This Row],[Constituent_ID]], GiftData[Fiscal_Year], "FY24")&gt;0, 1, 0)</f>
        <v>1</v>
      </c>
      <c r="L1157">
        <f>IF(COUNTIFS(GiftData[Constituent_ID], GiftData[[#This Row],[Constituent_ID]], GiftData[Fiscal_Year], "FY25")&gt;0, 1, 0)</f>
        <v>0</v>
      </c>
      <c r="M1157">
        <f>IF(COUNTIFS(GiftData[Constituent_ID], GiftData[[#This Row],[Constituent_ID]], GiftData[Fiscal_Year], "FY26")&gt;0, 1, 0)</f>
        <v>1</v>
      </c>
      <c r="N1157" t="str" cm="1">
        <f t="array" ref="N115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58" spans="1:14" x14ac:dyDescent="0.2">
      <c r="A1158" t="s">
        <v>1553</v>
      </c>
      <c r="B1158" t="s">
        <v>541</v>
      </c>
      <c r="C1158" t="s">
        <v>18</v>
      </c>
      <c r="D1158" s="1">
        <v>45783</v>
      </c>
      <c r="E1158">
        <v>51.24</v>
      </c>
      <c r="F1158" t="s">
        <v>25</v>
      </c>
      <c r="G1158" t="s">
        <v>13</v>
      </c>
      <c r="H1158" t="s">
        <v>14</v>
      </c>
      <c r="I1158" t="s">
        <v>38</v>
      </c>
      <c r="J1158" t="str">
        <f>"FY" &amp; IF(MONTH(GiftData[[#This Row],[Gift_Date]])&gt;=7, RIGHT(YEAR(GiftData[[#This Row],[Gift_Date]])+1, 2), RIGHT(YEAR(GiftData[[#This Row],[Gift_Date]]), 2))</f>
        <v>FY25</v>
      </c>
      <c r="K1158">
        <f>IF(COUNTIFS(GiftData[Constituent_ID], GiftData[[#This Row],[Constituent_ID]], GiftData[Fiscal_Year], "FY24")&gt;0, 1, 0)</f>
        <v>0</v>
      </c>
      <c r="L1158">
        <f>IF(COUNTIFS(GiftData[Constituent_ID], GiftData[[#This Row],[Constituent_ID]], GiftData[Fiscal_Year], "FY25")&gt;0, 1, 0)</f>
        <v>1</v>
      </c>
      <c r="M1158">
        <f>IF(COUNTIFS(GiftData[Constituent_ID], GiftData[[#This Row],[Constituent_ID]], GiftData[Fiscal_Year], "FY26")&gt;0, 1, 0)</f>
        <v>0</v>
      </c>
      <c r="N1158" t="str" cm="1">
        <f t="array" ref="N115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59" spans="1:14" x14ac:dyDescent="0.2">
      <c r="A1159" t="s">
        <v>1554</v>
      </c>
      <c r="B1159" t="s">
        <v>344</v>
      </c>
      <c r="C1159" t="s">
        <v>35</v>
      </c>
      <c r="D1159" s="1">
        <v>46043</v>
      </c>
      <c r="E1159">
        <v>382.25</v>
      </c>
      <c r="F1159" t="s">
        <v>12</v>
      </c>
      <c r="G1159" t="s">
        <v>13</v>
      </c>
      <c r="H1159" t="s">
        <v>14</v>
      </c>
      <c r="I1159" t="s">
        <v>38</v>
      </c>
      <c r="J1159" t="str">
        <f>"FY" &amp; IF(MONTH(GiftData[[#This Row],[Gift_Date]])&gt;=7, RIGHT(YEAR(GiftData[[#This Row],[Gift_Date]])+1, 2), RIGHT(YEAR(GiftData[[#This Row],[Gift_Date]]), 2))</f>
        <v>FY26</v>
      </c>
      <c r="K1159">
        <f>IF(COUNTIFS(GiftData[Constituent_ID], GiftData[[#This Row],[Constituent_ID]], GiftData[Fiscal_Year], "FY24")&gt;0, 1, 0)</f>
        <v>1</v>
      </c>
      <c r="L1159">
        <f>IF(COUNTIFS(GiftData[Constituent_ID], GiftData[[#This Row],[Constituent_ID]], GiftData[Fiscal_Year], "FY25")&gt;0, 1, 0)</f>
        <v>1</v>
      </c>
      <c r="M1159">
        <f>IF(COUNTIFS(GiftData[Constituent_ID], GiftData[[#This Row],[Constituent_ID]], GiftData[Fiscal_Year], "FY26")&gt;0, 1, 0)</f>
        <v>1</v>
      </c>
      <c r="N1159" t="str" cm="1">
        <f t="array" ref="N115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0" spans="1:14" x14ac:dyDescent="0.2">
      <c r="A1160" t="s">
        <v>1555</v>
      </c>
      <c r="B1160" t="s">
        <v>927</v>
      </c>
      <c r="C1160" t="s">
        <v>18</v>
      </c>
      <c r="D1160" s="1">
        <v>45572</v>
      </c>
      <c r="E1160">
        <v>69.61</v>
      </c>
      <c r="F1160" t="s">
        <v>12</v>
      </c>
      <c r="G1160" t="s">
        <v>13</v>
      </c>
      <c r="H1160" t="s">
        <v>41</v>
      </c>
      <c r="I1160" t="s">
        <v>15</v>
      </c>
      <c r="J1160" t="str">
        <f>"FY" &amp; IF(MONTH(GiftData[[#This Row],[Gift_Date]])&gt;=7, RIGHT(YEAR(GiftData[[#This Row],[Gift_Date]])+1, 2), RIGHT(YEAR(GiftData[[#This Row],[Gift_Date]]), 2))</f>
        <v>FY25</v>
      </c>
      <c r="K1160">
        <f>IF(COUNTIFS(GiftData[Constituent_ID], GiftData[[#This Row],[Constituent_ID]], GiftData[Fiscal_Year], "FY24")&gt;0, 1, 0)</f>
        <v>1</v>
      </c>
      <c r="L1160">
        <f>IF(COUNTIFS(GiftData[Constituent_ID], GiftData[[#This Row],[Constituent_ID]], GiftData[Fiscal_Year], "FY25")&gt;0, 1, 0)</f>
        <v>1</v>
      </c>
      <c r="M1160">
        <f>IF(COUNTIFS(GiftData[Constituent_ID], GiftData[[#This Row],[Constituent_ID]], GiftData[Fiscal_Year], "FY26")&gt;0, 1, 0)</f>
        <v>1</v>
      </c>
      <c r="N1160" t="str" cm="1">
        <f t="array" ref="N116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1" spans="1:14" x14ac:dyDescent="0.2">
      <c r="A1161" t="s">
        <v>1556</v>
      </c>
      <c r="B1161" t="s">
        <v>488</v>
      </c>
      <c r="C1161" t="s">
        <v>11</v>
      </c>
      <c r="D1161" s="1">
        <v>45393</v>
      </c>
      <c r="E1161">
        <v>41.82</v>
      </c>
      <c r="F1161" t="s">
        <v>25</v>
      </c>
      <c r="G1161" t="s">
        <v>13</v>
      </c>
      <c r="H1161" t="s">
        <v>164</v>
      </c>
      <c r="I1161" t="s">
        <v>15</v>
      </c>
      <c r="J1161" t="str">
        <f>"FY" &amp; IF(MONTH(GiftData[[#This Row],[Gift_Date]])&gt;=7, RIGHT(YEAR(GiftData[[#This Row],[Gift_Date]])+1, 2), RIGHT(YEAR(GiftData[[#This Row],[Gift_Date]]), 2))</f>
        <v>FY24</v>
      </c>
      <c r="K1161">
        <f>IF(COUNTIFS(GiftData[Constituent_ID], GiftData[[#This Row],[Constituent_ID]], GiftData[Fiscal_Year], "FY24")&gt;0, 1, 0)</f>
        <v>1</v>
      </c>
      <c r="L1161">
        <f>IF(COUNTIFS(GiftData[Constituent_ID], GiftData[[#This Row],[Constituent_ID]], GiftData[Fiscal_Year], "FY25")&gt;0, 1, 0)</f>
        <v>1</v>
      </c>
      <c r="M1161">
        <f>IF(COUNTIFS(GiftData[Constituent_ID], GiftData[[#This Row],[Constituent_ID]], GiftData[Fiscal_Year], "FY26")&gt;0, 1, 0)</f>
        <v>1</v>
      </c>
      <c r="N1161" t="str" cm="1">
        <f t="array" ref="N116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2" spans="1:14" x14ac:dyDescent="0.2">
      <c r="A1162" t="s">
        <v>1557</v>
      </c>
      <c r="B1162" t="s">
        <v>1346</v>
      </c>
      <c r="C1162" t="s">
        <v>28</v>
      </c>
      <c r="D1162" s="1">
        <v>45372</v>
      </c>
      <c r="E1162">
        <v>124.57</v>
      </c>
      <c r="F1162" t="s">
        <v>12</v>
      </c>
      <c r="G1162" t="s">
        <v>13</v>
      </c>
      <c r="H1162" t="s">
        <v>20</v>
      </c>
      <c r="I1162" t="s">
        <v>15</v>
      </c>
      <c r="J1162" t="str">
        <f>"FY" &amp; IF(MONTH(GiftData[[#This Row],[Gift_Date]])&gt;=7, RIGHT(YEAR(GiftData[[#This Row],[Gift_Date]])+1, 2), RIGHT(YEAR(GiftData[[#This Row],[Gift_Date]]), 2))</f>
        <v>FY24</v>
      </c>
      <c r="K1162">
        <f>IF(COUNTIFS(GiftData[Constituent_ID], GiftData[[#This Row],[Constituent_ID]], GiftData[Fiscal_Year], "FY24")&gt;0, 1, 0)</f>
        <v>1</v>
      </c>
      <c r="L1162">
        <f>IF(COUNTIFS(GiftData[Constituent_ID], GiftData[[#This Row],[Constituent_ID]], GiftData[Fiscal_Year], "FY25")&gt;0, 1, 0)</f>
        <v>1</v>
      </c>
      <c r="M1162">
        <f>IF(COUNTIFS(GiftData[Constituent_ID], GiftData[[#This Row],[Constituent_ID]], GiftData[Fiscal_Year], "FY26")&gt;0, 1, 0)</f>
        <v>0</v>
      </c>
      <c r="N1162" t="str" cm="1">
        <f t="array" ref="N116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63" spans="1:14" x14ac:dyDescent="0.2">
      <c r="A1163" t="s">
        <v>1558</v>
      </c>
      <c r="B1163" t="s">
        <v>220</v>
      </c>
      <c r="C1163" t="s">
        <v>11</v>
      </c>
      <c r="D1163" s="1">
        <v>45427</v>
      </c>
      <c r="E1163">
        <v>163.79</v>
      </c>
      <c r="F1163" t="s">
        <v>59</v>
      </c>
      <c r="G1163" t="s">
        <v>13</v>
      </c>
      <c r="H1163" t="s">
        <v>14</v>
      </c>
      <c r="I1163" t="s">
        <v>56</v>
      </c>
      <c r="J1163" t="str">
        <f>"FY" &amp; IF(MONTH(GiftData[[#This Row],[Gift_Date]])&gt;=7, RIGHT(YEAR(GiftData[[#This Row],[Gift_Date]])+1, 2), RIGHT(YEAR(GiftData[[#This Row],[Gift_Date]]), 2))</f>
        <v>FY24</v>
      </c>
      <c r="K1163">
        <f>IF(COUNTIFS(GiftData[Constituent_ID], GiftData[[#This Row],[Constituent_ID]], GiftData[Fiscal_Year], "FY24")&gt;0, 1, 0)</f>
        <v>1</v>
      </c>
      <c r="L1163">
        <f>IF(COUNTIFS(GiftData[Constituent_ID], GiftData[[#This Row],[Constituent_ID]], GiftData[Fiscal_Year], "FY25")&gt;0, 1, 0)</f>
        <v>1</v>
      </c>
      <c r="M1163">
        <f>IF(COUNTIFS(GiftData[Constituent_ID], GiftData[[#This Row],[Constituent_ID]], GiftData[Fiscal_Year], "FY26")&gt;0, 1, 0)</f>
        <v>1</v>
      </c>
      <c r="N1163" t="str" cm="1">
        <f t="array" ref="N116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4" spans="1:14" x14ac:dyDescent="0.2">
      <c r="A1164" t="s">
        <v>1559</v>
      </c>
      <c r="B1164" t="s">
        <v>819</v>
      </c>
      <c r="C1164" t="s">
        <v>28</v>
      </c>
      <c r="D1164" s="1">
        <v>45780</v>
      </c>
      <c r="E1164">
        <v>19.989999999999998</v>
      </c>
      <c r="F1164" t="s">
        <v>12</v>
      </c>
      <c r="G1164" t="s">
        <v>13</v>
      </c>
      <c r="H1164" t="s">
        <v>14</v>
      </c>
      <c r="I1164" t="s">
        <v>15</v>
      </c>
      <c r="J1164" t="str">
        <f>"FY" &amp; IF(MONTH(GiftData[[#This Row],[Gift_Date]])&gt;=7, RIGHT(YEAR(GiftData[[#This Row],[Gift_Date]])+1, 2), RIGHT(YEAR(GiftData[[#This Row],[Gift_Date]]), 2))</f>
        <v>FY25</v>
      </c>
      <c r="K1164">
        <f>IF(COUNTIFS(GiftData[Constituent_ID], GiftData[[#This Row],[Constituent_ID]], GiftData[Fiscal_Year], "FY24")&gt;0, 1, 0)</f>
        <v>0</v>
      </c>
      <c r="L1164">
        <f>IF(COUNTIFS(GiftData[Constituent_ID], GiftData[[#This Row],[Constituent_ID]], GiftData[Fiscal_Year], "FY25")&gt;0, 1, 0)</f>
        <v>1</v>
      </c>
      <c r="M1164">
        <f>IF(COUNTIFS(GiftData[Constituent_ID], GiftData[[#This Row],[Constituent_ID]], GiftData[Fiscal_Year], "FY26")&gt;0, 1, 0)</f>
        <v>1</v>
      </c>
      <c r="N1164" t="str" cm="1">
        <f t="array" ref="N116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5" spans="1:14" x14ac:dyDescent="0.2">
      <c r="A1165" t="s">
        <v>1560</v>
      </c>
      <c r="B1165" t="s">
        <v>524</v>
      </c>
      <c r="C1165" t="s">
        <v>35</v>
      </c>
      <c r="D1165" s="1">
        <v>45927</v>
      </c>
      <c r="E1165">
        <v>91.61</v>
      </c>
      <c r="F1165" t="s">
        <v>12</v>
      </c>
      <c r="G1165" t="s">
        <v>13</v>
      </c>
      <c r="H1165" t="s">
        <v>14</v>
      </c>
      <c r="I1165" t="s">
        <v>56</v>
      </c>
      <c r="J1165" t="str">
        <f>"FY" &amp; IF(MONTH(GiftData[[#This Row],[Gift_Date]])&gt;=7, RIGHT(YEAR(GiftData[[#This Row],[Gift_Date]])+1, 2), RIGHT(YEAR(GiftData[[#This Row],[Gift_Date]]), 2))</f>
        <v>FY26</v>
      </c>
      <c r="K1165">
        <f>IF(COUNTIFS(GiftData[Constituent_ID], GiftData[[#This Row],[Constituent_ID]], GiftData[Fiscal_Year], "FY24")&gt;0, 1, 0)</f>
        <v>1</v>
      </c>
      <c r="L1165">
        <f>IF(COUNTIFS(GiftData[Constituent_ID], GiftData[[#This Row],[Constituent_ID]], GiftData[Fiscal_Year], "FY25")&gt;0, 1, 0)</f>
        <v>0</v>
      </c>
      <c r="M1165">
        <f>IF(COUNTIFS(GiftData[Constituent_ID], GiftData[[#This Row],[Constituent_ID]], GiftData[Fiscal_Year], "FY26")&gt;0, 1, 0)</f>
        <v>1</v>
      </c>
      <c r="N1165" t="str" cm="1">
        <f t="array" ref="N116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6" spans="1:14" x14ac:dyDescent="0.2">
      <c r="A1166" t="s">
        <v>1561</v>
      </c>
      <c r="B1166" t="s">
        <v>79</v>
      </c>
      <c r="C1166" t="s">
        <v>18</v>
      </c>
      <c r="D1166" s="1">
        <v>45196</v>
      </c>
      <c r="E1166">
        <v>63.66</v>
      </c>
      <c r="F1166" t="s">
        <v>25</v>
      </c>
      <c r="G1166" t="s">
        <v>29</v>
      </c>
      <c r="H1166" t="s">
        <v>20</v>
      </c>
      <c r="I1166" t="s">
        <v>15</v>
      </c>
      <c r="J1166" t="str">
        <f>"FY" &amp; IF(MONTH(GiftData[[#This Row],[Gift_Date]])&gt;=7, RIGHT(YEAR(GiftData[[#This Row],[Gift_Date]])+1, 2), RIGHT(YEAR(GiftData[[#This Row],[Gift_Date]]), 2))</f>
        <v>FY24</v>
      </c>
      <c r="K1166">
        <f>IF(COUNTIFS(GiftData[Constituent_ID], GiftData[[#This Row],[Constituent_ID]], GiftData[Fiscal_Year], "FY24")&gt;0, 1, 0)</f>
        <v>1</v>
      </c>
      <c r="L1166">
        <f>IF(COUNTIFS(GiftData[Constituent_ID], GiftData[[#This Row],[Constituent_ID]], GiftData[Fiscal_Year], "FY25")&gt;0, 1, 0)</f>
        <v>1</v>
      </c>
      <c r="M1166">
        <f>IF(COUNTIFS(GiftData[Constituent_ID], GiftData[[#This Row],[Constituent_ID]], GiftData[Fiscal_Year], "FY26")&gt;0, 1, 0)</f>
        <v>1</v>
      </c>
      <c r="N1166" t="str" cm="1">
        <f t="array" ref="N116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7" spans="1:14" x14ac:dyDescent="0.2">
      <c r="A1167" t="s">
        <v>1562</v>
      </c>
      <c r="B1167" t="s">
        <v>697</v>
      </c>
      <c r="C1167" t="s">
        <v>48</v>
      </c>
      <c r="D1167" s="1">
        <v>45928</v>
      </c>
      <c r="E1167">
        <v>52.82</v>
      </c>
      <c r="F1167" t="s">
        <v>25</v>
      </c>
      <c r="G1167" t="s">
        <v>13</v>
      </c>
      <c r="H1167" t="s">
        <v>20</v>
      </c>
      <c r="I1167" t="s">
        <v>38</v>
      </c>
      <c r="J1167" t="str">
        <f>"FY" &amp; IF(MONTH(GiftData[[#This Row],[Gift_Date]])&gt;=7, RIGHT(YEAR(GiftData[[#This Row],[Gift_Date]])+1, 2), RIGHT(YEAR(GiftData[[#This Row],[Gift_Date]]), 2))</f>
        <v>FY26</v>
      </c>
      <c r="K1167">
        <f>IF(COUNTIFS(GiftData[Constituent_ID], GiftData[[#This Row],[Constituent_ID]], GiftData[Fiscal_Year], "FY24")&gt;0, 1, 0)</f>
        <v>0</v>
      </c>
      <c r="L1167">
        <f>IF(COUNTIFS(GiftData[Constituent_ID], GiftData[[#This Row],[Constituent_ID]], GiftData[Fiscal_Year], "FY25")&gt;0, 1, 0)</f>
        <v>1</v>
      </c>
      <c r="M1167">
        <f>IF(COUNTIFS(GiftData[Constituent_ID], GiftData[[#This Row],[Constituent_ID]], GiftData[Fiscal_Year], "FY26")&gt;0, 1, 0)</f>
        <v>1</v>
      </c>
      <c r="N1167" t="str" cm="1">
        <f t="array" ref="N116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8" spans="1:14" x14ac:dyDescent="0.2">
      <c r="A1168" t="s">
        <v>1563</v>
      </c>
      <c r="B1168" t="s">
        <v>584</v>
      </c>
      <c r="C1168" t="s">
        <v>28</v>
      </c>
      <c r="D1168" s="1">
        <v>46108</v>
      </c>
      <c r="E1168">
        <v>32.39</v>
      </c>
      <c r="F1168" t="s">
        <v>25</v>
      </c>
      <c r="G1168" t="s">
        <v>29</v>
      </c>
      <c r="H1168" t="s">
        <v>20</v>
      </c>
      <c r="I1168" t="s">
        <v>15</v>
      </c>
      <c r="J1168" t="str">
        <f>"FY" &amp; IF(MONTH(GiftData[[#This Row],[Gift_Date]])&gt;=7, RIGHT(YEAR(GiftData[[#This Row],[Gift_Date]])+1, 2), RIGHT(YEAR(GiftData[[#This Row],[Gift_Date]]), 2))</f>
        <v>FY26</v>
      </c>
      <c r="K1168">
        <f>IF(COUNTIFS(GiftData[Constituent_ID], GiftData[[#This Row],[Constituent_ID]], GiftData[Fiscal_Year], "FY24")&gt;0, 1, 0)</f>
        <v>1</v>
      </c>
      <c r="L1168">
        <f>IF(COUNTIFS(GiftData[Constituent_ID], GiftData[[#This Row],[Constituent_ID]], GiftData[Fiscal_Year], "FY25")&gt;0, 1, 0)</f>
        <v>1</v>
      </c>
      <c r="M1168">
        <f>IF(COUNTIFS(GiftData[Constituent_ID], GiftData[[#This Row],[Constituent_ID]], GiftData[Fiscal_Year], "FY26")&gt;0, 1, 0)</f>
        <v>1</v>
      </c>
      <c r="N1168" t="str" cm="1">
        <f t="array" ref="N116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69" spans="1:14" x14ac:dyDescent="0.2">
      <c r="A1169" t="s">
        <v>1564</v>
      </c>
      <c r="B1169" t="s">
        <v>565</v>
      </c>
      <c r="C1169" t="s">
        <v>11</v>
      </c>
      <c r="D1169" s="1">
        <v>45441</v>
      </c>
      <c r="E1169">
        <v>413.08</v>
      </c>
      <c r="F1169" t="s">
        <v>12</v>
      </c>
      <c r="G1169" t="s">
        <v>13</v>
      </c>
      <c r="H1169" t="s">
        <v>164</v>
      </c>
      <c r="I1169" t="s">
        <v>38</v>
      </c>
      <c r="J1169" t="str">
        <f>"FY" &amp; IF(MONTH(GiftData[[#This Row],[Gift_Date]])&gt;=7, RIGHT(YEAR(GiftData[[#This Row],[Gift_Date]])+1, 2), RIGHT(YEAR(GiftData[[#This Row],[Gift_Date]]), 2))</f>
        <v>FY24</v>
      </c>
      <c r="K1169">
        <f>IF(COUNTIFS(GiftData[Constituent_ID], GiftData[[#This Row],[Constituent_ID]], GiftData[Fiscal_Year], "FY24")&gt;0, 1, 0)</f>
        <v>1</v>
      </c>
      <c r="L1169">
        <f>IF(COUNTIFS(GiftData[Constituent_ID], GiftData[[#This Row],[Constituent_ID]], GiftData[Fiscal_Year], "FY25")&gt;0, 1, 0)</f>
        <v>0</v>
      </c>
      <c r="M1169">
        <f>IF(COUNTIFS(GiftData[Constituent_ID], GiftData[[#This Row],[Constituent_ID]], GiftData[Fiscal_Year], "FY26")&gt;0, 1, 0)</f>
        <v>1</v>
      </c>
      <c r="N1169" t="str" cm="1">
        <f t="array" ref="N116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0" spans="1:14" x14ac:dyDescent="0.2">
      <c r="A1170" t="s">
        <v>1565</v>
      </c>
      <c r="B1170" t="s">
        <v>680</v>
      </c>
      <c r="C1170" t="s">
        <v>11</v>
      </c>
      <c r="D1170" s="1">
        <v>45329</v>
      </c>
      <c r="E1170">
        <v>52.58</v>
      </c>
      <c r="F1170" t="s">
        <v>59</v>
      </c>
      <c r="G1170" t="s">
        <v>29</v>
      </c>
      <c r="H1170" t="s">
        <v>41</v>
      </c>
      <c r="I1170" t="s">
        <v>15</v>
      </c>
      <c r="J1170" t="str">
        <f>"FY" &amp; IF(MONTH(GiftData[[#This Row],[Gift_Date]])&gt;=7, RIGHT(YEAR(GiftData[[#This Row],[Gift_Date]])+1, 2), RIGHT(YEAR(GiftData[[#This Row],[Gift_Date]]), 2))</f>
        <v>FY24</v>
      </c>
      <c r="K1170">
        <f>IF(COUNTIFS(GiftData[Constituent_ID], GiftData[[#This Row],[Constituent_ID]], GiftData[Fiscal_Year], "FY24")&gt;0, 1, 0)</f>
        <v>1</v>
      </c>
      <c r="L1170">
        <f>IF(COUNTIFS(GiftData[Constituent_ID], GiftData[[#This Row],[Constituent_ID]], GiftData[Fiscal_Year], "FY25")&gt;0, 1, 0)</f>
        <v>1</v>
      </c>
      <c r="M1170">
        <f>IF(COUNTIFS(GiftData[Constituent_ID], GiftData[[#This Row],[Constituent_ID]], GiftData[Fiscal_Year], "FY26")&gt;0, 1, 0)</f>
        <v>0</v>
      </c>
      <c r="N1170" t="str" cm="1">
        <f t="array" ref="N117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71" spans="1:14" x14ac:dyDescent="0.2">
      <c r="A1171" t="s">
        <v>1566</v>
      </c>
      <c r="B1171" t="s">
        <v>1567</v>
      </c>
      <c r="C1171" t="s">
        <v>11</v>
      </c>
      <c r="D1171" s="1">
        <v>45148</v>
      </c>
      <c r="E1171">
        <v>15</v>
      </c>
      <c r="F1171" t="s">
        <v>12</v>
      </c>
      <c r="G1171" t="s">
        <v>13</v>
      </c>
      <c r="H1171" t="s">
        <v>41</v>
      </c>
      <c r="I1171" t="s">
        <v>38</v>
      </c>
      <c r="J1171" t="str">
        <f>"FY" &amp; IF(MONTH(GiftData[[#This Row],[Gift_Date]])&gt;=7, RIGHT(YEAR(GiftData[[#This Row],[Gift_Date]])+1, 2), RIGHT(YEAR(GiftData[[#This Row],[Gift_Date]]), 2))</f>
        <v>FY24</v>
      </c>
      <c r="K1171">
        <f>IF(COUNTIFS(GiftData[Constituent_ID], GiftData[[#This Row],[Constituent_ID]], GiftData[Fiscal_Year], "FY24")&gt;0, 1, 0)</f>
        <v>1</v>
      </c>
      <c r="L1171">
        <f>IF(COUNTIFS(GiftData[Constituent_ID], GiftData[[#This Row],[Constituent_ID]], GiftData[Fiscal_Year], "FY25")&gt;0, 1, 0)</f>
        <v>0</v>
      </c>
      <c r="M1171">
        <f>IF(COUNTIFS(GiftData[Constituent_ID], GiftData[[#This Row],[Constituent_ID]], GiftData[Fiscal_Year], "FY26")&gt;0, 1, 0)</f>
        <v>1</v>
      </c>
      <c r="N1171" t="str" cm="1">
        <f t="array" ref="N117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2" spans="1:14" x14ac:dyDescent="0.2">
      <c r="A1172" t="s">
        <v>1568</v>
      </c>
      <c r="B1172" t="s">
        <v>407</v>
      </c>
      <c r="C1172" t="s">
        <v>28</v>
      </c>
      <c r="D1172" s="1">
        <v>45175</v>
      </c>
      <c r="E1172">
        <v>171.33</v>
      </c>
      <c r="F1172" t="s">
        <v>12</v>
      </c>
      <c r="G1172" t="s">
        <v>13</v>
      </c>
      <c r="H1172" t="s">
        <v>51</v>
      </c>
      <c r="I1172" t="s">
        <v>15</v>
      </c>
      <c r="J1172" t="str">
        <f>"FY" &amp; IF(MONTH(GiftData[[#This Row],[Gift_Date]])&gt;=7, RIGHT(YEAR(GiftData[[#This Row],[Gift_Date]])+1, 2), RIGHT(YEAR(GiftData[[#This Row],[Gift_Date]]), 2))</f>
        <v>FY24</v>
      </c>
      <c r="K1172">
        <f>IF(COUNTIFS(GiftData[Constituent_ID], GiftData[[#This Row],[Constituent_ID]], GiftData[Fiscal_Year], "FY24")&gt;0, 1, 0)</f>
        <v>1</v>
      </c>
      <c r="L1172">
        <f>IF(COUNTIFS(GiftData[Constituent_ID], GiftData[[#This Row],[Constituent_ID]], GiftData[Fiscal_Year], "FY25")&gt;0, 1, 0)</f>
        <v>0</v>
      </c>
      <c r="M1172">
        <f>IF(COUNTIFS(GiftData[Constituent_ID], GiftData[[#This Row],[Constituent_ID]], GiftData[Fiscal_Year], "FY26")&gt;0, 1, 0)</f>
        <v>1</v>
      </c>
      <c r="N1172" t="str" cm="1">
        <f t="array" ref="N117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3" spans="1:14" x14ac:dyDescent="0.2">
      <c r="A1173" t="s">
        <v>1569</v>
      </c>
      <c r="B1173" t="s">
        <v>128</v>
      </c>
      <c r="C1173" t="s">
        <v>35</v>
      </c>
      <c r="D1173" s="1">
        <v>46095</v>
      </c>
      <c r="E1173">
        <v>311.92</v>
      </c>
      <c r="F1173" t="s">
        <v>19</v>
      </c>
      <c r="G1173" t="s">
        <v>29</v>
      </c>
      <c r="H1173" t="s">
        <v>20</v>
      </c>
      <c r="I1173" t="s">
        <v>15</v>
      </c>
      <c r="J1173" t="str">
        <f>"FY" &amp; IF(MONTH(GiftData[[#This Row],[Gift_Date]])&gt;=7, RIGHT(YEAR(GiftData[[#This Row],[Gift_Date]])+1, 2), RIGHT(YEAR(GiftData[[#This Row],[Gift_Date]]), 2))</f>
        <v>FY26</v>
      </c>
      <c r="K1173">
        <f>IF(COUNTIFS(GiftData[Constituent_ID], GiftData[[#This Row],[Constituent_ID]], GiftData[Fiscal_Year], "FY24")&gt;0, 1, 0)</f>
        <v>1</v>
      </c>
      <c r="L1173">
        <f>IF(COUNTIFS(GiftData[Constituent_ID], GiftData[[#This Row],[Constituent_ID]], GiftData[Fiscal_Year], "FY25")&gt;0, 1, 0)</f>
        <v>1</v>
      </c>
      <c r="M1173">
        <f>IF(COUNTIFS(GiftData[Constituent_ID], GiftData[[#This Row],[Constituent_ID]], GiftData[Fiscal_Year], "FY26")&gt;0, 1, 0)</f>
        <v>1</v>
      </c>
      <c r="N1173" t="str" cm="1">
        <f t="array" ref="N117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4" spans="1:14" x14ac:dyDescent="0.2">
      <c r="A1174" t="s">
        <v>1570</v>
      </c>
      <c r="B1174" t="s">
        <v>623</v>
      </c>
      <c r="C1174" t="s">
        <v>35</v>
      </c>
      <c r="D1174" s="1">
        <v>45621</v>
      </c>
      <c r="E1174">
        <v>43.17</v>
      </c>
      <c r="F1174" t="s">
        <v>25</v>
      </c>
      <c r="G1174" t="s">
        <v>13</v>
      </c>
      <c r="H1174" t="s">
        <v>51</v>
      </c>
      <c r="I1174" t="s">
        <v>15</v>
      </c>
      <c r="J1174" t="str">
        <f>"FY" &amp; IF(MONTH(GiftData[[#This Row],[Gift_Date]])&gt;=7, RIGHT(YEAR(GiftData[[#This Row],[Gift_Date]])+1, 2), RIGHT(YEAR(GiftData[[#This Row],[Gift_Date]]), 2))</f>
        <v>FY25</v>
      </c>
      <c r="K1174">
        <f>IF(COUNTIFS(GiftData[Constituent_ID], GiftData[[#This Row],[Constituent_ID]], GiftData[Fiscal_Year], "FY24")&gt;0, 1, 0)</f>
        <v>1</v>
      </c>
      <c r="L1174">
        <f>IF(COUNTIFS(GiftData[Constituent_ID], GiftData[[#This Row],[Constituent_ID]], GiftData[Fiscal_Year], "FY25")&gt;0, 1, 0)</f>
        <v>1</v>
      </c>
      <c r="M1174">
        <f>IF(COUNTIFS(GiftData[Constituent_ID], GiftData[[#This Row],[Constituent_ID]], GiftData[Fiscal_Year], "FY26")&gt;0, 1, 0)</f>
        <v>0</v>
      </c>
      <c r="N1174" t="str" cm="1">
        <f t="array" ref="N117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75" spans="1:14" x14ac:dyDescent="0.2">
      <c r="A1175" t="s">
        <v>1571</v>
      </c>
      <c r="B1175" t="s">
        <v>289</v>
      </c>
      <c r="C1175" t="s">
        <v>48</v>
      </c>
      <c r="D1175" s="1">
        <v>45802</v>
      </c>
      <c r="E1175">
        <v>58.7</v>
      </c>
      <c r="F1175" t="s">
        <v>12</v>
      </c>
      <c r="G1175" t="s">
        <v>13</v>
      </c>
      <c r="H1175" t="s">
        <v>14</v>
      </c>
      <c r="I1175" t="s">
        <v>56</v>
      </c>
      <c r="J1175" t="str">
        <f>"FY" &amp; IF(MONTH(GiftData[[#This Row],[Gift_Date]])&gt;=7, RIGHT(YEAR(GiftData[[#This Row],[Gift_Date]])+1, 2), RIGHT(YEAR(GiftData[[#This Row],[Gift_Date]]), 2))</f>
        <v>FY25</v>
      </c>
      <c r="K1175">
        <f>IF(COUNTIFS(GiftData[Constituent_ID], GiftData[[#This Row],[Constituent_ID]], GiftData[Fiscal_Year], "FY24")&gt;0, 1, 0)</f>
        <v>1</v>
      </c>
      <c r="L1175">
        <f>IF(COUNTIFS(GiftData[Constituent_ID], GiftData[[#This Row],[Constituent_ID]], GiftData[Fiscal_Year], "FY25")&gt;0, 1, 0)</f>
        <v>1</v>
      </c>
      <c r="M1175">
        <f>IF(COUNTIFS(GiftData[Constituent_ID], GiftData[[#This Row],[Constituent_ID]], GiftData[Fiscal_Year], "FY26")&gt;0, 1, 0)</f>
        <v>1</v>
      </c>
      <c r="N1175" t="str" cm="1">
        <f t="array" ref="N117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6" spans="1:14" x14ac:dyDescent="0.2">
      <c r="A1176" t="s">
        <v>1572</v>
      </c>
      <c r="B1176" t="s">
        <v>886</v>
      </c>
      <c r="C1176" t="s">
        <v>35</v>
      </c>
      <c r="D1176" s="1">
        <v>46147</v>
      </c>
      <c r="E1176">
        <v>52.26</v>
      </c>
      <c r="F1176" t="s">
        <v>25</v>
      </c>
      <c r="G1176" t="s">
        <v>13</v>
      </c>
      <c r="H1176" t="s">
        <v>20</v>
      </c>
      <c r="I1176" t="s">
        <v>38</v>
      </c>
      <c r="J1176" t="str">
        <f>"FY" &amp; IF(MONTH(GiftData[[#This Row],[Gift_Date]])&gt;=7, RIGHT(YEAR(GiftData[[#This Row],[Gift_Date]])+1, 2), RIGHT(YEAR(GiftData[[#This Row],[Gift_Date]]), 2))</f>
        <v>FY26</v>
      </c>
      <c r="K1176">
        <f>IF(COUNTIFS(GiftData[Constituent_ID], GiftData[[#This Row],[Constituent_ID]], GiftData[Fiscal_Year], "FY24")&gt;0, 1, 0)</f>
        <v>1</v>
      </c>
      <c r="L1176">
        <f>IF(COUNTIFS(GiftData[Constituent_ID], GiftData[[#This Row],[Constituent_ID]], GiftData[Fiscal_Year], "FY25")&gt;0, 1, 0)</f>
        <v>1</v>
      </c>
      <c r="M1176">
        <f>IF(COUNTIFS(GiftData[Constituent_ID], GiftData[[#This Row],[Constituent_ID]], GiftData[Fiscal_Year], "FY26")&gt;0, 1, 0)</f>
        <v>1</v>
      </c>
      <c r="N1176" t="str" cm="1">
        <f t="array" ref="N117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7" spans="1:14" x14ac:dyDescent="0.2">
      <c r="A1177" t="s">
        <v>1573</v>
      </c>
      <c r="B1177" t="s">
        <v>404</v>
      </c>
      <c r="C1177" t="s">
        <v>28</v>
      </c>
      <c r="D1177" s="1">
        <v>45584</v>
      </c>
      <c r="E1177">
        <v>77.430000000000007</v>
      </c>
      <c r="F1177" t="s">
        <v>12</v>
      </c>
      <c r="G1177" t="s">
        <v>13</v>
      </c>
      <c r="H1177" t="s">
        <v>51</v>
      </c>
      <c r="I1177" t="s">
        <v>15</v>
      </c>
      <c r="J1177" t="str">
        <f>"FY" &amp; IF(MONTH(GiftData[[#This Row],[Gift_Date]])&gt;=7, RIGHT(YEAR(GiftData[[#This Row],[Gift_Date]])+1, 2), RIGHT(YEAR(GiftData[[#This Row],[Gift_Date]]), 2))</f>
        <v>FY25</v>
      </c>
      <c r="K1177">
        <f>IF(COUNTIFS(GiftData[Constituent_ID], GiftData[[#This Row],[Constituent_ID]], GiftData[Fiscal_Year], "FY24")&gt;0, 1, 0)</f>
        <v>1</v>
      </c>
      <c r="L1177">
        <f>IF(COUNTIFS(GiftData[Constituent_ID], GiftData[[#This Row],[Constituent_ID]], GiftData[Fiscal_Year], "FY25")&gt;0, 1, 0)</f>
        <v>1</v>
      </c>
      <c r="M1177">
        <f>IF(COUNTIFS(GiftData[Constituent_ID], GiftData[[#This Row],[Constituent_ID]], GiftData[Fiscal_Year], "FY26")&gt;0, 1, 0)</f>
        <v>0</v>
      </c>
      <c r="N1177" t="str" cm="1">
        <f t="array" ref="N117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78" spans="1:14" x14ac:dyDescent="0.2">
      <c r="A1178" t="s">
        <v>1574</v>
      </c>
      <c r="B1178" t="s">
        <v>393</v>
      </c>
      <c r="C1178" t="s">
        <v>11</v>
      </c>
      <c r="D1178" s="1">
        <v>45988</v>
      </c>
      <c r="E1178">
        <v>512.29999999999995</v>
      </c>
      <c r="F1178" t="s">
        <v>12</v>
      </c>
      <c r="G1178" t="s">
        <v>13</v>
      </c>
      <c r="H1178" t="s">
        <v>51</v>
      </c>
      <c r="I1178" t="s">
        <v>38</v>
      </c>
      <c r="J1178" t="str">
        <f>"FY" &amp; IF(MONTH(GiftData[[#This Row],[Gift_Date]])&gt;=7, RIGHT(YEAR(GiftData[[#This Row],[Gift_Date]])+1, 2), RIGHT(YEAR(GiftData[[#This Row],[Gift_Date]]), 2))</f>
        <v>FY26</v>
      </c>
      <c r="K1178">
        <f>IF(COUNTIFS(GiftData[Constituent_ID], GiftData[[#This Row],[Constituent_ID]], GiftData[Fiscal_Year], "FY24")&gt;0, 1, 0)</f>
        <v>1</v>
      </c>
      <c r="L1178">
        <f>IF(COUNTIFS(GiftData[Constituent_ID], GiftData[[#This Row],[Constituent_ID]], GiftData[Fiscal_Year], "FY25")&gt;0, 1, 0)</f>
        <v>1</v>
      </c>
      <c r="M1178">
        <f>IF(COUNTIFS(GiftData[Constituent_ID], GiftData[[#This Row],[Constituent_ID]], GiftData[Fiscal_Year], "FY26")&gt;0, 1, 0)</f>
        <v>1</v>
      </c>
      <c r="N1178" t="str" cm="1">
        <f t="array" ref="N117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79" spans="1:14" x14ac:dyDescent="0.2">
      <c r="A1179" t="s">
        <v>1575</v>
      </c>
      <c r="B1179" t="s">
        <v>103</v>
      </c>
      <c r="C1179" t="s">
        <v>11</v>
      </c>
      <c r="D1179" s="1">
        <v>45539</v>
      </c>
      <c r="E1179">
        <v>104.77</v>
      </c>
      <c r="F1179" t="s">
        <v>12</v>
      </c>
      <c r="G1179" t="s">
        <v>13</v>
      </c>
      <c r="H1179" t="s">
        <v>51</v>
      </c>
      <c r="I1179" t="s">
        <v>38</v>
      </c>
      <c r="J1179" t="str">
        <f>"FY" &amp; IF(MONTH(GiftData[[#This Row],[Gift_Date]])&gt;=7, RIGHT(YEAR(GiftData[[#This Row],[Gift_Date]])+1, 2), RIGHT(YEAR(GiftData[[#This Row],[Gift_Date]]), 2))</f>
        <v>FY25</v>
      </c>
      <c r="K1179">
        <f>IF(COUNTIFS(GiftData[Constituent_ID], GiftData[[#This Row],[Constituent_ID]], GiftData[Fiscal_Year], "FY24")&gt;0, 1, 0)</f>
        <v>1</v>
      </c>
      <c r="L1179">
        <f>IF(COUNTIFS(GiftData[Constituent_ID], GiftData[[#This Row],[Constituent_ID]], GiftData[Fiscal_Year], "FY25")&gt;0, 1, 0)</f>
        <v>1</v>
      </c>
      <c r="M1179">
        <f>IF(COUNTIFS(GiftData[Constituent_ID], GiftData[[#This Row],[Constituent_ID]], GiftData[Fiscal_Year], "FY26")&gt;0, 1, 0)</f>
        <v>1</v>
      </c>
      <c r="N1179" t="str" cm="1">
        <f t="array" ref="N117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0" spans="1:14" x14ac:dyDescent="0.2">
      <c r="A1180" t="s">
        <v>1576</v>
      </c>
      <c r="B1180" t="s">
        <v>146</v>
      </c>
      <c r="C1180" t="s">
        <v>18</v>
      </c>
      <c r="D1180" s="1">
        <v>45375</v>
      </c>
      <c r="E1180">
        <v>361.94</v>
      </c>
      <c r="F1180" t="s">
        <v>19</v>
      </c>
      <c r="G1180" t="s">
        <v>13</v>
      </c>
      <c r="H1180" t="s">
        <v>20</v>
      </c>
      <c r="I1180" t="s">
        <v>56</v>
      </c>
      <c r="J1180" t="str">
        <f>"FY" &amp; IF(MONTH(GiftData[[#This Row],[Gift_Date]])&gt;=7, RIGHT(YEAR(GiftData[[#This Row],[Gift_Date]])+1, 2), RIGHT(YEAR(GiftData[[#This Row],[Gift_Date]]), 2))</f>
        <v>FY24</v>
      </c>
      <c r="K1180">
        <f>IF(COUNTIFS(GiftData[Constituent_ID], GiftData[[#This Row],[Constituent_ID]], GiftData[Fiscal_Year], "FY24")&gt;0, 1, 0)</f>
        <v>1</v>
      </c>
      <c r="L1180">
        <f>IF(COUNTIFS(GiftData[Constituent_ID], GiftData[[#This Row],[Constituent_ID]], GiftData[Fiscal_Year], "FY25")&gt;0, 1, 0)</f>
        <v>1</v>
      </c>
      <c r="M1180">
        <f>IF(COUNTIFS(GiftData[Constituent_ID], GiftData[[#This Row],[Constituent_ID]], GiftData[Fiscal_Year], "FY26")&gt;0, 1, 0)</f>
        <v>1</v>
      </c>
      <c r="N1180" t="str" cm="1">
        <f t="array" ref="N118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1" spans="1:14" x14ac:dyDescent="0.2">
      <c r="A1181" t="s">
        <v>1577</v>
      </c>
      <c r="B1181" t="s">
        <v>266</v>
      </c>
      <c r="C1181" t="s">
        <v>28</v>
      </c>
      <c r="D1181" s="1">
        <v>45886</v>
      </c>
      <c r="E1181">
        <v>34.479999999999997</v>
      </c>
      <c r="F1181" t="s">
        <v>12</v>
      </c>
      <c r="G1181" t="s">
        <v>13</v>
      </c>
      <c r="H1181" t="s">
        <v>164</v>
      </c>
      <c r="I1181" t="s">
        <v>56</v>
      </c>
      <c r="J1181" t="str">
        <f>"FY" &amp; IF(MONTH(GiftData[[#This Row],[Gift_Date]])&gt;=7, RIGHT(YEAR(GiftData[[#This Row],[Gift_Date]])+1, 2), RIGHT(YEAR(GiftData[[#This Row],[Gift_Date]]), 2))</f>
        <v>FY26</v>
      </c>
      <c r="K1181">
        <f>IF(COUNTIFS(GiftData[Constituent_ID], GiftData[[#This Row],[Constituent_ID]], GiftData[Fiscal_Year], "FY24")&gt;0, 1, 0)</f>
        <v>1</v>
      </c>
      <c r="L1181">
        <f>IF(COUNTIFS(GiftData[Constituent_ID], GiftData[[#This Row],[Constituent_ID]], GiftData[Fiscal_Year], "FY25")&gt;0, 1, 0)</f>
        <v>1</v>
      </c>
      <c r="M1181">
        <f>IF(COUNTIFS(GiftData[Constituent_ID], GiftData[[#This Row],[Constituent_ID]], GiftData[Fiscal_Year], "FY26")&gt;0, 1, 0)</f>
        <v>1</v>
      </c>
      <c r="N1181" t="str" cm="1">
        <f t="array" ref="N118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2" spans="1:14" x14ac:dyDescent="0.2">
      <c r="A1182" t="s">
        <v>1578</v>
      </c>
      <c r="B1182" t="s">
        <v>148</v>
      </c>
      <c r="C1182" t="s">
        <v>11</v>
      </c>
      <c r="D1182" s="1">
        <v>45601</v>
      </c>
      <c r="E1182">
        <v>73.790000000000006</v>
      </c>
      <c r="F1182" t="s">
        <v>25</v>
      </c>
      <c r="G1182" t="s">
        <v>13</v>
      </c>
      <c r="H1182" t="s">
        <v>164</v>
      </c>
      <c r="I1182" t="s">
        <v>38</v>
      </c>
      <c r="J1182" t="str">
        <f>"FY" &amp; IF(MONTH(GiftData[[#This Row],[Gift_Date]])&gt;=7, RIGHT(YEAR(GiftData[[#This Row],[Gift_Date]])+1, 2), RIGHT(YEAR(GiftData[[#This Row],[Gift_Date]]), 2))</f>
        <v>FY25</v>
      </c>
      <c r="K1182">
        <f>IF(COUNTIFS(GiftData[Constituent_ID], GiftData[[#This Row],[Constituent_ID]], GiftData[Fiscal_Year], "FY24")&gt;0, 1, 0)</f>
        <v>1</v>
      </c>
      <c r="L1182">
        <f>IF(COUNTIFS(GiftData[Constituent_ID], GiftData[[#This Row],[Constituent_ID]], GiftData[Fiscal_Year], "FY25")&gt;0, 1, 0)</f>
        <v>1</v>
      </c>
      <c r="M1182">
        <f>IF(COUNTIFS(GiftData[Constituent_ID], GiftData[[#This Row],[Constituent_ID]], GiftData[Fiscal_Year], "FY26")&gt;0, 1, 0)</f>
        <v>1</v>
      </c>
      <c r="N1182" t="str" cm="1">
        <f t="array" ref="N118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3" spans="1:14" x14ac:dyDescent="0.2">
      <c r="A1183" t="s">
        <v>1579</v>
      </c>
      <c r="B1183" t="s">
        <v>391</v>
      </c>
      <c r="C1183" t="s">
        <v>18</v>
      </c>
      <c r="D1183" s="1">
        <v>45768</v>
      </c>
      <c r="E1183">
        <v>419.98</v>
      </c>
      <c r="F1183" t="s">
        <v>12</v>
      </c>
      <c r="G1183" t="s">
        <v>13</v>
      </c>
      <c r="H1183" t="s">
        <v>14</v>
      </c>
      <c r="I1183" t="s">
        <v>15</v>
      </c>
      <c r="J1183" t="str">
        <f>"FY" &amp; IF(MONTH(GiftData[[#This Row],[Gift_Date]])&gt;=7, RIGHT(YEAR(GiftData[[#This Row],[Gift_Date]])+1, 2), RIGHT(YEAR(GiftData[[#This Row],[Gift_Date]]), 2))</f>
        <v>FY25</v>
      </c>
      <c r="K1183">
        <f>IF(COUNTIFS(GiftData[Constituent_ID], GiftData[[#This Row],[Constituent_ID]], GiftData[Fiscal_Year], "FY24")&gt;0, 1, 0)</f>
        <v>1</v>
      </c>
      <c r="L1183">
        <f>IF(COUNTIFS(GiftData[Constituent_ID], GiftData[[#This Row],[Constituent_ID]], GiftData[Fiscal_Year], "FY25")&gt;0, 1, 0)</f>
        <v>1</v>
      </c>
      <c r="M1183">
        <f>IF(COUNTIFS(GiftData[Constituent_ID], GiftData[[#This Row],[Constituent_ID]], GiftData[Fiscal_Year], "FY26")&gt;0, 1, 0)</f>
        <v>0</v>
      </c>
      <c r="N1183" t="str" cm="1">
        <f t="array" ref="N118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84" spans="1:14" x14ac:dyDescent="0.2">
      <c r="A1184" t="s">
        <v>1580</v>
      </c>
      <c r="B1184" t="s">
        <v>1073</v>
      </c>
      <c r="C1184" t="s">
        <v>18</v>
      </c>
      <c r="D1184" s="1">
        <v>46120</v>
      </c>
      <c r="E1184">
        <v>42.64</v>
      </c>
      <c r="F1184" t="s">
        <v>25</v>
      </c>
      <c r="G1184" t="s">
        <v>13</v>
      </c>
      <c r="H1184" t="s">
        <v>20</v>
      </c>
      <c r="I1184" t="s">
        <v>38</v>
      </c>
      <c r="J1184" t="str">
        <f>"FY" &amp; IF(MONTH(GiftData[[#This Row],[Gift_Date]])&gt;=7, RIGHT(YEAR(GiftData[[#This Row],[Gift_Date]])+1, 2), RIGHT(YEAR(GiftData[[#This Row],[Gift_Date]]), 2))</f>
        <v>FY26</v>
      </c>
      <c r="K1184">
        <f>IF(COUNTIFS(GiftData[Constituent_ID], GiftData[[#This Row],[Constituent_ID]], GiftData[Fiscal_Year], "FY24")&gt;0, 1, 0)</f>
        <v>0</v>
      </c>
      <c r="L1184">
        <f>IF(COUNTIFS(GiftData[Constituent_ID], GiftData[[#This Row],[Constituent_ID]], GiftData[Fiscal_Year], "FY25")&gt;0, 1, 0)</f>
        <v>1</v>
      </c>
      <c r="M1184">
        <f>IF(COUNTIFS(GiftData[Constituent_ID], GiftData[[#This Row],[Constituent_ID]], GiftData[Fiscal_Year], "FY26")&gt;0, 1, 0)</f>
        <v>1</v>
      </c>
      <c r="N1184" t="str" cm="1">
        <f t="array" ref="N118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5" spans="1:14" x14ac:dyDescent="0.2">
      <c r="A1185" t="s">
        <v>1581</v>
      </c>
      <c r="B1185" t="s">
        <v>1567</v>
      </c>
      <c r="C1185" t="s">
        <v>11</v>
      </c>
      <c r="D1185" s="1">
        <v>46084</v>
      </c>
      <c r="E1185">
        <v>452.95</v>
      </c>
      <c r="F1185" t="s">
        <v>12</v>
      </c>
      <c r="G1185" t="s">
        <v>29</v>
      </c>
      <c r="H1185" t="s">
        <v>20</v>
      </c>
      <c r="I1185" t="s">
        <v>38</v>
      </c>
      <c r="J1185" t="str">
        <f>"FY" &amp; IF(MONTH(GiftData[[#This Row],[Gift_Date]])&gt;=7, RIGHT(YEAR(GiftData[[#This Row],[Gift_Date]])+1, 2), RIGHT(YEAR(GiftData[[#This Row],[Gift_Date]]), 2))</f>
        <v>FY26</v>
      </c>
      <c r="K1185">
        <f>IF(COUNTIFS(GiftData[Constituent_ID], GiftData[[#This Row],[Constituent_ID]], GiftData[Fiscal_Year], "FY24")&gt;0, 1, 0)</f>
        <v>1</v>
      </c>
      <c r="L1185">
        <f>IF(COUNTIFS(GiftData[Constituent_ID], GiftData[[#This Row],[Constituent_ID]], GiftData[Fiscal_Year], "FY25")&gt;0, 1, 0)</f>
        <v>0</v>
      </c>
      <c r="M1185">
        <f>IF(COUNTIFS(GiftData[Constituent_ID], GiftData[[#This Row],[Constituent_ID]], GiftData[Fiscal_Year], "FY26")&gt;0, 1, 0)</f>
        <v>1</v>
      </c>
      <c r="N1185" t="str" cm="1">
        <f t="array" ref="N118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6" spans="1:14" x14ac:dyDescent="0.2">
      <c r="A1186" t="s">
        <v>1582</v>
      </c>
      <c r="B1186" t="s">
        <v>658</v>
      </c>
      <c r="C1186" t="s">
        <v>28</v>
      </c>
      <c r="D1186" s="1">
        <v>45589</v>
      </c>
      <c r="E1186">
        <v>53.68</v>
      </c>
      <c r="F1186" t="s">
        <v>25</v>
      </c>
      <c r="G1186" t="s">
        <v>13</v>
      </c>
      <c r="H1186" t="s">
        <v>164</v>
      </c>
      <c r="I1186" t="s">
        <v>30</v>
      </c>
      <c r="J1186" t="str">
        <f>"FY" &amp; IF(MONTH(GiftData[[#This Row],[Gift_Date]])&gt;=7, RIGHT(YEAR(GiftData[[#This Row],[Gift_Date]])+1, 2), RIGHT(YEAR(GiftData[[#This Row],[Gift_Date]]), 2))</f>
        <v>FY25</v>
      </c>
      <c r="K1186">
        <f>IF(COUNTIFS(GiftData[Constituent_ID], GiftData[[#This Row],[Constituent_ID]], GiftData[Fiscal_Year], "FY24")&gt;0, 1, 0)</f>
        <v>1</v>
      </c>
      <c r="L1186">
        <f>IF(COUNTIFS(GiftData[Constituent_ID], GiftData[[#This Row],[Constituent_ID]], GiftData[Fiscal_Year], "FY25")&gt;0, 1, 0)</f>
        <v>1</v>
      </c>
      <c r="M1186">
        <f>IF(COUNTIFS(GiftData[Constituent_ID], GiftData[[#This Row],[Constituent_ID]], GiftData[Fiscal_Year], "FY26")&gt;0, 1, 0)</f>
        <v>1</v>
      </c>
      <c r="N1186" t="str" cm="1">
        <f t="array" ref="N118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7" spans="1:14" x14ac:dyDescent="0.2">
      <c r="A1187" t="s">
        <v>1583</v>
      </c>
      <c r="B1187" t="s">
        <v>228</v>
      </c>
      <c r="C1187" t="s">
        <v>11</v>
      </c>
      <c r="D1187" s="1">
        <v>45835</v>
      </c>
      <c r="E1187">
        <v>79.98</v>
      </c>
      <c r="F1187" t="s">
        <v>12</v>
      </c>
      <c r="G1187" t="s">
        <v>13</v>
      </c>
      <c r="H1187" t="s">
        <v>14</v>
      </c>
      <c r="I1187" t="s">
        <v>15</v>
      </c>
      <c r="J1187" t="str">
        <f>"FY" &amp; IF(MONTH(GiftData[[#This Row],[Gift_Date]])&gt;=7, RIGHT(YEAR(GiftData[[#This Row],[Gift_Date]])+1, 2), RIGHT(YEAR(GiftData[[#This Row],[Gift_Date]]), 2))</f>
        <v>FY25</v>
      </c>
      <c r="K1187">
        <f>IF(COUNTIFS(GiftData[Constituent_ID], GiftData[[#This Row],[Constituent_ID]], GiftData[Fiscal_Year], "FY24")&gt;0, 1, 0)</f>
        <v>1</v>
      </c>
      <c r="L1187">
        <f>IF(COUNTIFS(GiftData[Constituent_ID], GiftData[[#This Row],[Constituent_ID]], GiftData[Fiscal_Year], "FY25")&gt;0, 1, 0)</f>
        <v>1</v>
      </c>
      <c r="M1187">
        <f>IF(COUNTIFS(GiftData[Constituent_ID], GiftData[[#This Row],[Constituent_ID]], GiftData[Fiscal_Year], "FY26")&gt;0, 1, 0)</f>
        <v>1</v>
      </c>
      <c r="N1187" t="str" cm="1">
        <f t="array" ref="N118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88" spans="1:14" x14ac:dyDescent="0.2">
      <c r="A1188" t="s">
        <v>1584</v>
      </c>
      <c r="B1188" t="s">
        <v>58</v>
      </c>
      <c r="C1188" t="s">
        <v>28</v>
      </c>
      <c r="D1188" s="1">
        <v>45587</v>
      </c>
      <c r="E1188">
        <v>1065.51</v>
      </c>
      <c r="F1188" t="s">
        <v>25</v>
      </c>
      <c r="G1188" t="s">
        <v>13</v>
      </c>
      <c r="H1188" t="s">
        <v>14</v>
      </c>
      <c r="I1188" t="s">
        <v>15</v>
      </c>
      <c r="J1188" t="str">
        <f>"FY" &amp; IF(MONTH(GiftData[[#This Row],[Gift_Date]])&gt;=7, RIGHT(YEAR(GiftData[[#This Row],[Gift_Date]])+1, 2), RIGHT(YEAR(GiftData[[#This Row],[Gift_Date]]), 2))</f>
        <v>FY25</v>
      </c>
      <c r="K1188">
        <f>IF(COUNTIFS(GiftData[Constituent_ID], GiftData[[#This Row],[Constituent_ID]], GiftData[Fiscal_Year], "FY24")&gt;0, 1, 0)</f>
        <v>1</v>
      </c>
      <c r="L1188">
        <f>IF(COUNTIFS(GiftData[Constituent_ID], GiftData[[#This Row],[Constituent_ID]], GiftData[Fiscal_Year], "FY25")&gt;0, 1, 0)</f>
        <v>1</v>
      </c>
      <c r="M1188">
        <f>IF(COUNTIFS(GiftData[Constituent_ID], GiftData[[#This Row],[Constituent_ID]], GiftData[Fiscal_Year], "FY26")&gt;0, 1, 0)</f>
        <v>0</v>
      </c>
      <c r="N1188" t="str" cm="1">
        <f t="array" ref="N118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89" spans="1:14" x14ac:dyDescent="0.2">
      <c r="A1189" t="s">
        <v>1585</v>
      </c>
      <c r="B1189" t="s">
        <v>590</v>
      </c>
      <c r="C1189" t="s">
        <v>11</v>
      </c>
      <c r="D1189" s="1">
        <v>46139</v>
      </c>
      <c r="E1189">
        <v>68.95</v>
      </c>
      <c r="F1189" t="s">
        <v>19</v>
      </c>
      <c r="G1189" t="s">
        <v>13</v>
      </c>
      <c r="H1189" t="s">
        <v>20</v>
      </c>
      <c r="I1189" t="s">
        <v>15</v>
      </c>
      <c r="J1189" t="str">
        <f>"FY" &amp; IF(MONTH(GiftData[[#This Row],[Gift_Date]])&gt;=7, RIGHT(YEAR(GiftData[[#This Row],[Gift_Date]])+1, 2), RIGHT(YEAR(GiftData[[#This Row],[Gift_Date]]), 2))</f>
        <v>FY26</v>
      </c>
      <c r="K1189">
        <f>IF(COUNTIFS(GiftData[Constituent_ID], GiftData[[#This Row],[Constituent_ID]], GiftData[Fiscal_Year], "FY24")&gt;0, 1, 0)</f>
        <v>1</v>
      </c>
      <c r="L1189">
        <f>IF(COUNTIFS(GiftData[Constituent_ID], GiftData[[#This Row],[Constituent_ID]], GiftData[Fiscal_Year], "FY25")&gt;0, 1, 0)</f>
        <v>0</v>
      </c>
      <c r="M1189">
        <f>IF(COUNTIFS(GiftData[Constituent_ID], GiftData[[#This Row],[Constituent_ID]], GiftData[Fiscal_Year], "FY26")&gt;0, 1, 0)</f>
        <v>1</v>
      </c>
      <c r="N1189" t="str" cm="1">
        <f t="array" ref="N118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0" spans="1:14" x14ac:dyDescent="0.2">
      <c r="A1190" t="s">
        <v>1586</v>
      </c>
      <c r="B1190" t="s">
        <v>182</v>
      </c>
      <c r="C1190" t="s">
        <v>28</v>
      </c>
      <c r="D1190" s="1">
        <v>45450</v>
      </c>
      <c r="E1190">
        <v>146.78</v>
      </c>
      <c r="F1190" t="s">
        <v>25</v>
      </c>
      <c r="G1190" t="s">
        <v>13</v>
      </c>
      <c r="H1190" t="s">
        <v>20</v>
      </c>
      <c r="I1190" t="s">
        <v>38</v>
      </c>
      <c r="J1190" t="str">
        <f>"FY" &amp; IF(MONTH(GiftData[[#This Row],[Gift_Date]])&gt;=7, RIGHT(YEAR(GiftData[[#This Row],[Gift_Date]])+1, 2), RIGHT(YEAR(GiftData[[#This Row],[Gift_Date]]), 2))</f>
        <v>FY24</v>
      </c>
      <c r="K1190">
        <f>IF(COUNTIFS(GiftData[Constituent_ID], GiftData[[#This Row],[Constituent_ID]], GiftData[Fiscal_Year], "FY24")&gt;0, 1, 0)</f>
        <v>1</v>
      </c>
      <c r="L1190">
        <f>IF(COUNTIFS(GiftData[Constituent_ID], GiftData[[#This Row],[Constituent_ID]], GiftData[Fiscal_Year], "FY25")&gt;0, 1, 0)</f>
        <v>1</v>
      </c>
      <c r="M1190">
        <f>IF(COUNTIFS(GiftData[Constituent_ID], GiftData[[#This Row],[Constituent_ID]], GiftData[Fiscal_Year], "FY26")&gt;0, 1, 0)</f>
        <v>0</v>
      </c>
      <c r="N1190" t="str" cm="1">
        <f t="array" ref="N119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91" spans="1:14" x14ac:dyDescent="0.2">
      <c r="A1191" t="s">
        <v>1587</v>
      </c>
      <c r="B1191" t="s">
        <v>303</v>
      </c>
      <c r="C1191" t="s">
        <v>18</v>
      </c>
      <c r="D1191" s="1">
        <v>45439</v>
      </c>
      <c r="E1191">
        <v>270.8</v>
      </c>
      <c r="F1191" t="s">
        <v>12</v>
      </c>
      <c r="G1191" t="s">
        <v>13</v>
      </c>
      <c r="H1191" t="s">
        <v>41</v>
      </c>
      <c r="I1191" t="s">
        <v>56</v>
      </c>
      <c r="J1191" t="str">
        <f>"FY" &amp; IF(MONTH(GiftData[[#This Row],[Gift_Date]])&gt;=7, RIGHT(YEAR(GiftData[[#This Row],[Gift_Date]])+1, 2), RIGHT(YEAR(GiftData[[#This Row],[Gift_Date]]), 2))</f>
        <v>FY24</v>
      </c>
      <c r="K1191">
        <f>IF(COUNTIFS(GiftData[Constituent_ID], GiftData[[#This Row],[Constituent_ID]], GiftData[Fiscal_Year], "FY24")&gt;0, 1, 0)</f>
        <v>1</v>
      </c>
      <c r="L1191">
        <f>IF(COUNTIFS(GiftData[Constituent_ID], GiftData[[#This Row],[Constituent_ID]], GiftData[Fiscal_Year], "FY25")&gt;0, 1, 0)</f>
        <v>1</v>
      </c>
      <c r="M1191">
        <f>IF(COUNTIFS(GiftData[Constituent_ID], GiftData[[#This Row],[Constituent_ID]], GiftData[Fiscal_Year], "FY26")&gt;0, 1, 0)</f>
        <v>1</v>
      </c>
      <c r="N1191" t="str" cm="1">
        <f t="array" ref="N119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2" spans="1:14" x14ac:dyDescent="0.2">
      <c r="A1192" t="s">
        <v>1588</v>
      </c>
      <c r="B1192" t="s">
        <v>725</v>
      </c>
      <c r="C1192" t="s">
        <v>18</v>
      </c>
      <c r="D1192" s="1">
        <v>45545</v>
      </c>
      <c r="E1192">
        <v>163.12</v>
      </c>
      <c r="F1192" t="s">
        <v>59</v>
      </c>
      <c r="G1192" t="s">
        <v>13</v>
      </c>
      <c r="H1192" t="s">
        <v>14</v>
      </c>
      <c r="I1192" t="s">
        <v>15</v>
      </c>
      <c r="J1192" t="str">
        <f>"FY" &amp; IF(MONTH(GiftData[[#This Row],[Gift_Date]])&gt;=7, RIGHT(YEAR(GiftData[[#This Row],[Gift_Date]])+1, 2), RIGHT(YEAR(GiftData[[#This Row],[Gift_Date]]), 2))</f>
        <v>FY25</v>
      </c>
      <c r="K1192">
        <f>IF(COUNTIFS(GiftData[Constituent_ID], GiftData[[#This Row],[Constituent_ID]], GiftData[Fiscal_Year], "FY24")&gt;0, 1, 0)</f>
        <v>1</v>
      </c>
      <c r="L1192">
        <f>IF(COUNTIFS(GiftData[Constituent_ID], GiftData[[#This Row],[Constituent_ID]], GiftData[Fiscal_Year], "FY25")&gt;0, 1, 0)</f>
        <v>1</v>
      </c>
      <c r="M1192">
        <f>IF(COUNTIFS(GiftData[Constituent_ID], GiftData[[#This Row],[Constituent_ID]], GiftData[Fiscal_Year], "FY26")&gt;0, 1, 0)</f>
        <v>0</v>
      </c>
      <c r="N1192" t="str" cm="1">
        <f t="array" ref="N1192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93" spans="1:14" x14ac:dyDescent="0.2">
      <c r="A1193" t="s">
        <v>1589</v>
      </c>
      <c r="B1193" t="s">
        <v>735</v>
      </c>
      <c r="C1193" t="s">
        <v>28</v>
      </c>
      <c r="D1193" s="1">
        <v>45281</v>
      </c>
      <c r="E1193">
        <v>169.28</v>
      </c>
      <c r="F1193" t="s">
        <v>12</v>
      </c>
      <c r="G1193" t="s">
        <v>13</v>
      </c>
      <c r="H1193" t="s">
        <v>164</v>
      </c>
      <c r="I1193" t="s">
        <v>38</v>
      </c>
      <c r="J1193" t="str">
        <f>"FY" &amp; IF(MONTH(GiftData[[#This Row],[Gift_Date]])&gt;=7, RIGHT(YEAR(GiftData[[#This Row],[Gift_Date]])+1, 2), RIGHT(YEAR(GiftData[[#This Row],[Gift_Date]]), 2))</f>
        <v>FY24</v>
      </c>
      <c r="K1193">
        <f>IF(COUNTIFS(GiftData[Constituent_ID], GiftData[[#This Row],[Constituent_ID]], GiftData[Fiscal_Year], "FY24")&gt;0, 1, 0)</f>
        <v>1</v>
      </c>
      <c r="L1193">
        <f>IF(COUNTIFS(GiftData[Constituent_ID], GiftData[[#This Row],[Constituent_ID]], GiftData[Fiscal_Year], "FY25")&gt;0, 1, 0)</f>
        <v>1</v>
      </c>
      <c r="M1193">
        <f>IF(COUNTIFS(GiftData[Constituent_ID], GiftData[[#This Row],[Constituent_ID]], GiftData[Fiscal_Year], "FY26")&gt;0, 1, 0)</f>
        <v>0</v>
      </c>
      <c r="N1193" t="str" cm="1">
        <f t="array" ref="N1193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94" spans="1:14" x14ac:dyDescent="0.2">
      <c r="A1194" t="s">
        <v>1590</v>
      </c>
      <c r="B1194" t="s">
        <v>47</v>
      </c>
      <c r="C1194" t="s">
        <v>11</v>
      </c>
      <c r="D1194" s="1">
        <v>45666</v>
      </c>
      <c r="E1194">
        <v>112.9</v>
      </c>
      <c r="F1194" t="s">
        <v>25</v>
      </c>
      <c r="G1194" t="s">
        <v>13</v>
      </c>
      <c r="H1194" t="s">
        <v>41</v>
      </c>
      <c r="I1194" t="s">
        <v>38</v>
      </c>
      <c r="J1194" t="str">
        <f>"FY" &amp; IF(MONTH(GiftData[[#This Row],[Gift_Date]])&gt;=7, RIGHT(YEAR(GiftData[[#This Row],[Gift_Date]])+1, 2), RIGHT(YEAR(GiftData[[#This Row],[Gift_Date]]), 2))</f>
        <v>FY25</v>
      </c>
      <c r="K1194">
        <f>IF(COUNTIFS(GiftData[Constituent_ID], GiftData[[#This Row],[Constituent_ID]], GiftData[Fiscal_Year], "FY24")&gt;0, 1, 0)</f>
        <v>1</v>
      </c>
      <c r="L1194">
        <f>IF(COUNTIFS(GiftData[Constituent_ID], GiftData[[#This Row],[Constituent_ID]], GiftData[Fiscal_Year], "FY25")&gt;0, 1, 0)</f>
        <v>1</v>
      </c>
      <c r="M1194">
        <f>IF(COUNTIFS(GiftData[Constituent_ID], GiftData[[#This Row],[Constituent_ID]], GiftData[Fiscal_Year], "FY26")&gt;0, 1, 0)</f>
        <v>1</v>
      </c>
      <c r="N1194" t="str" cm="1">
        <f t="array" ref="N1194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5" spans="1:14" x14ac:dyDescent="0.2">
      <c r="A1195" t="s">
        <v>1591</v>
      </c>
      <c r="B1195" t="s">
        <v>144</v>
      </c>
      <c r="C1195" t="s">
        <v>18</v>
      </c>
      <c r="D1195" s="1">
        <v>45634</v>
      </c>
      <c r="E1195">
        <v>22.36</v>
      </c>
      <c r="F1195" t="s">
        <v>59</v>
      </c>
      <c r="G1195" t="s">
        <v>13</v>
      </c>
      <c r="H1195" t="s">
        <v>41</v>
      </c>
      <c r="I1195" t="s">
        <v>38</v>
      </c>
      <c r="J1195" t="str">
        <f>"FY" &amp; IF(MONTH(GiftData[[#This Row],[Gift_Date]])&gt;=7, RIGHT(YEAR(GiftData[[#This Row],[Gift_Date]])+1, 2), RIGHT(YEAR(GiftData[[#This Row],[Gift_Date]]), 2))</f>
        <v>FY25</v>
      </c>
      <c r="K1195">
        <f>IF(COUNTIFS(GiftData[Constituent_ID], GiftData[[#This Row],[Constituent_ID]], GiftData[Fiscal_Year], "FY24")&gt;0, 1, 0)</f>
        <v>1</v>
      </c>
      <c r="L1195">
        <f>IF(COUNTIFS(GiftData[Constituent_ID], GiftData[[#This Row],[Constituent_ID]], GiftData[Fiscal_Year], "FY25")&gt;0, 1, 0)</f>
        <v>1</v>
      </c>
      <c r="M1195">
        <f>IF(COUNTIFS(GiftData[Constituent_ID], GiftData[[#This Row],[Constituent_ID]], GiftData[Fiscal_Year], "FY26")&gt;0, 1, 0)</f>
        <v>1</v>
      </c>
      <c r="N1195" t="str" cm="1">
        <f t="array" ref="N1195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6" spans="1:14" x14ac:dyDescent="0.2">
      <c r="A1196" t="s">
        <v>1592</v>
      </c>
      <c r="B1196" t="s">
        <v>1495</v>
      </c>
      <c r="C1196" t="s">
        <v>11</v>
      </c>
      <c r="D1196" s="1">
        <v>45766</v>
      </c>
      <c r="E1196">
        <v>191.1</v>
      </c>
      <c r="F1196" t="s">
        <v>12</v>
      </c>
      <c r="G1196" t="s">
        <v>13</v>
      </c>
      <c r="H1196" t="s">
        <v>20</v>
      </c>
      <c r="I1196" t="s">
        <v>15</v>
      </c>
      <c r="J1196" t="str">
        <f>"FY" &amp; IF(MONTH(GiftData[[#This Row],[Gift_Date]])&gt;=7, RIGHT(YEAR(GiftData[[#This Row],[Gift_Date]])+1, 2), RIGHT(YEAR(GiftData[[#This Row],[Gift_Date]]), 2))</f>
        <v>FY25</v>
      </c>
      <c r="K1196">
        <f>IF(COUNTIFS(GiftData[Constituent_ID], GiftData[[#This Row],[Constituent_ID]], GiftData[Fiscal_Year], "FY24")&gt;0, 1, 0)</f>
        <v>1</v>
      </c>
      <c r="L1196">
        <f>IF(COUNTIFS(GiftData[Constituent_ID], GiftData[[#This Row],[Constituent_ID]], GiftData[Fiscal_Year], "FY25")&gt;0, 1, 0)</f>
        <v>1</v>
      </c>
      <c r="M1196">
        <f>IF(COUNTIFS(GiftData[Constituent_ID], GiftData[[#This Row],[Constituent_ID]], GiftData[Fiscal_Year], "FY26")&gt;0, 1, 0)</f>
        <v>0</v>
      </c>
      <c r="N1196" t="str" cm="1">
        <f t="array" ref="N1196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97" spans="1:14" x14ac:dyDescent="0.2">
      <c r="A1197" t="s">
        <v>1593</v>
      </c>
      <c r="B1197" t="s">
        <v>1225</v>
      </c>
      <c r="C1197" t="s">
        <v>18</v>
      </c>
      <c r="D1197" s="1">
        <v>45133</v>
      </c>
      <c r="E1197">
        <v>46.89</v>
      </c>
      <c r="F1197" t="s">
        <v>12</v>
      </c>
      <c r="G1197" t="s">
        <v>13</v>
      </c>
      <c r="H1197" t="s">
        <v>20</v>
      </c>
      <c r="I1197" t="s">
        <v>56</v>
      </c>
      <c r="J1197" t="str">
        <f>"FY" &amp; IF(MONTH(GiftData[[#This Row],[Gift_Date]])&gt;=7, RIGHT(YEAR(GiftData[[#This Row],[Gift_Date]])+1, 2), RIGHT(YEAR(GiftData[[#This Row],[Gift_Date]]), 2))</f>
        <v>FY24</v>
      </c>
      <c r="K1197">
        <f>IF(COUNTIFS(GiftData[Constituent_ID], GiftData[[#This Row],[Constituent_ID]], GiftData[Fiscal_Year], "FY24")&gt;0, 1, 0)</f>
        <v>1</v>
      </c>
      <c r="L1197">
        <f>IF(COUNTIFS(GiftData[Constituent_ID], GiftData[[#This Row],[Constituent_ID]], GiftData[Fiscal_Year], "FY25")&gt;0, 1, 0)</f>
        <v>1</v>
      </c>
      <c r="M1197">
        <f>IF(COUNTIFS(GiftData[Constituent_ID], GiftData[[#This Row],[Constituent_ID]], GiftData[Fiscal_Year], "FY26")&gt;0, 1, 0)</f>
        <v>0</v>
      </c>
      <c r="N1197" t="str" cm="1">
        <f t="array" ref="N1197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198" spans="1:14" x14ac:dyDescent="0.2">
      <c r="A1198" t="s">
        <v>1594</v>
      </c>
      <c r="B1198" t="s">
        <v>1243</v>
      </c>
      <c r="C1198" t="s">
        <v>11</v>
      </c>
      <c r="D1198" s="1">
        <v>45927</v>
      </c>
      <c r="E1198">
        <v>333.12</v>
      </c>
      <c r="F1198" t="s">
        <v>12</v>
      </c>
      <c r="G1198" t="s">
        <v>29</v>
      </c>
      <c r="H1198" t="s">
        <v>14</v>
      </c>
      <c r="I1198" t="s">
        <v>15</v>
      </c>
      <c r="J1198" t="str">
        <f>"FY" &amp; IF(MONTH(GiftData[[#This Row],[Gift_Date]])&gt;=7, RIGHT(YEAR(GiftData[[#This Row],[Gift_Date]])+1, 2), RIGHT(YEAR(GiftData[[#This Row],[Gift_Date]]), 2))</f>
        <v>FY26</v>
      </c>
      <c r="K1198">
        <f>IF(COUNTIFS(GiftData[Constituent_ID], GiftData[[#This Row],[Constituent_ID]], GiftData[Fiscal_Year], "FY24")&gt;0, 1, 0)</f>
        <v>1</v>
      </c>
      <c r="L1198">
        <f>IF(COUNTIFS(GiftData[Constituent_ID], GiftData[[#This Row],[Constituent_ID]], GiftData[Fiscal_Year], "FY25")&gt;0, 1, 0)</f>
        <v>0</v>
      </c>
      <c r="M1198">
        <f>IF(COUNTIFS(GiftData[Constituent_ID], GiftData[[#This Row],[Constituent_ID]], GiftData[Fiscal_Year], "FY26")&gt;0, 1, 0)</f>
        <v>1</v>
      </c>
      <c r="N1198" t="str" cm="1">
        <f t="array" ref="N1198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199" spans="1:14" x14ac:dyDescent="0.2">
      <c r="A1199" t="s">
        <v>1595</v>
      </c>
      <c r="B1199" t="s">
        <v>948</v>
      </c>
      <c r="C1199" t="s">
        <v>11</v>
      </c>
      <c r="D1199" s="1">
        <v>45712</v>
      </c>
      <c r="E1199">
        <v>723.2</v>
      </c>
      <c r="F1199" t="s">
        <v>12</v>
      </c>
      <c r="G1199" t="s">
        <v>13</v>
      </c>
      <c r="H1199" t="s">
        <v>20</v>
      </c>
      <c r="I1199" t="s">
        <v>38</v>
      </c>
      <c r="J1199" t="str">
        <f>"FY" &amp; IF(MONTH(GiftData[[#This Row],[Gift_Date]])&gt;=7, RIGHT(YEAR(GiftData[[#This Row],[Gift_Date]])+1, 2), RIGHT(YEAR(GiftData[[#This Row],[Gift_Date]]), 2))</f>
        <v>FY25</v>
      </c>
      <c r="K1199">
        <f>IF(COUNTIFS(GiftData[Constituent_ID], GiftData[[#This Row],[Constituent_ID]], GiftData[Fiscal_Year], "FY24")&gt;0, 1, 0)</f>
        <v>1</v>
      </c>
      <c r="L1199">
        <f>IF(COUNTIFS(GiftData[Constituent_ID], GiftData[[#This Row],[Constituent_ID]], GiftData[Fiscal_Year], "FY25")&gt;0, 1, 0)</f>
        <v>1</v>
      </c>
      <c r="M1199">
        <f>IF(COUNTIFS(GiftData[Constituent_ID], GiftData[[#This Row],[Constituent_ID]], GiftData[Fiscal_Year], "FY26")&gt;0, 1, 0)</f>
        <v>1</v>
      </c>
      <c r="N1199" t="str" cm="1">
        <f t="array" ref="N1199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Retained/Active</v>
      </c>
    </row>
    <row r="1200" spans="1:14" x14ac:dyDescent="0.2">
      <c r="A1200" t="s">
        <v>1596</v>
      </c>
      <c r="B1200" t="s">
        <v>900</v>
      </c>
      <c r="C1200" t="s">
        <v>28</v>
      </c>
      <c r="D1200" s="1">
        <v>45513</v>
      </c>
      <c r="E1200">
        <v>15</v>
      </c>
      <c r="F1200" t="s">
        <v>25</v>
      </c>
      <c r="G1200" t="s">
        <v>13</v>
      </c>
      <c r="H1200" t="s">
        <v>20</v>
      </c>
      <c r="I1200" t="s">
        <v>15</v>
      </c>
      <c r="J1200" t="str">
        <f>"FY" &amp; IF(MONTH(GiftData[[#This Row],[Gift_Date]])&gt;=7, RIGHT(YEAR(GiftData[[#This Row],[Gift_Date]])+1, 2), RIGHT(YEAR(GiftData[[#This Row],[Gift_Date]]), 2))</f>
        <v>FY25</v>
      </c>
      <c r="K1200">
        <f>IF(COUNTIFS(GiftData[Constituent_ID], GiftData[[#This Row],[Constituent_ID]], GiftData[Fiscal_Year], "FY24")&gt;0, 1, 0)</f>
        <v>1</v>
      </c>
      <c r="L1200">
        <f>IF(COUNTIFS(GiftData[Constituent_ID], GiftData[[#This Row],[Constituent_ID]], GiftData[Fiscal_Year], "FY25")&gt;0, 1, 0)</f>
        <v>1</v>
      </c>
      <c r="M1200">
        <f>IF(COUNTIFS(GiftData[Constituent_ID], GiftData[[#This Row],[Constituent_ID]], GiftData[Fiscal_Year], "FY26")&gt;0, 1, 0)</f>
        <v>0</v>
      </c>
      <c r="N1200" t="str" cm="1">
        <f t="array" ref="N1200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  <row r="1201" spans="1:14" x14ac:dyDescent="0.2">
      <c r="A1201" t="s">
        <v>1597</v>
      </c>
      <c r="B1201" t="s">
        <v>768</v>
      </c>
      <c r="C1201" t="s">
        <v>35</v>
      </c>
      <c r="D1201" s="1">
        <v>45339</v>
      </c>
      <c r="E1201">
        <v>724.84</v>
      </c>
      <c r="F1201" t="s">
        <v>12</v>
      </c>
      <c r="G1201" t="s">
        <v>13</v>
      </c>
      <c r="H1201" t="s">
        <v>164</v>
      </c>
      <c r="I1201" t="s">
        <v>15</v>
      </c>
      <c r="J1201" t="str">
        <f>"FY" &amp; IF(MONTH(GiftData[[#This Row],[Gift_Date]])&gt;=7, RIGHT(YEAR(GiftData[[#This Row],[Gift_Date]])+1, 2), RIGHT(YEAR(GiftData[[#This Row],[Gift_Date]]), 2))</f>
        <v>FY24</v>
      </c>
      <c r="K1201">
        <f>IF(COUNTIFS(GiftData[Constituent_ID], GiftData[[#This Row],[Constituent_ID]], GiftData[Fiscal_Year], "FY24")&gt;0, 1, 0)</f>
        <v>1</v>
      </c>
      <c r="L1201">
        <f>IF(COUNTIFS(GiftData[Constituent_ID], GiftData[[#This Row],[Constituent_ID]], GiftData[Fiscal_Year], "FY25")&gt;0, 1, 0)</f>
        <v>1</v>
      </c>
      <c r="M1201">
        <f>IF(COUNTIFS(GiftData[Constituent_ID], GiftData[[#This Row],[Constituent_ID]], GiftData[Fiscal_Year], "FY26")&gt;0, 1, 0)</f>
        <v>0</v>
      </c>
      <c r="N1201" t="str" cm="1">
        <f t="array" ref="N1201">_xlfn.IFS(
   GiftData[[#This Row],[Gave_FY26]]=1, "Retained/Active",
   AND(GiftData[[#This Row],[Gave_FY25]]=1, GiftData[[#This Row],[Gave_FY26]]=0), "LYBUNT (Lapsed 1 Yr)",
   AND(GiftData[[#This Row],[Gave_FY24]]=1, GiftData[[#This Row],[Gave_FY25]]=0, GiftData[[#This Row],[Gave_FY26]]=0), "SYBUNT (Lapsed Multi-Yr)",
   TRUE, "New/Other"
)</f>
        <v>LYBUNT (Lapsed 1 Yr)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48D3-A8B4-CC4F-9A58-14C207A49F75}">
  <dimension ref="A1:N41"/>
  <sheetViews>
    <sheetView showGridLines="0" tabSelected="1" workbookViewId="0">
      <selection activeCell="E8" sqref="E8"/>
    </sheetView>
  </sheetViews>
  <sheetFormatPr baseColWidth="10" defaultRowHeight="16" x14ac:dyDescent="0.2"/>
  <cols>
    <col min="1" max="1" width="32.1640625" bestFit="1" customWidth="1"/>
    <col min="2" max="2" width="17.83203125" style="2" bestFit="1" customWidth="1"/>
    <col min="3" max="3" width="21.1640625" bestFit="1" customWidth="1"/>
    <col min="4" max="4" width="10.5" bestFit="1" customWidth="1"/>
  </cols>
  <sheetData>
    <row r="1" spans="1:5" ht="23" x14ac:dyDescent="0.3">
      <c r="A1" s="11" t="s">
        <v>1609</v>
      </c>
      <c r="B1" s="12"/>
      <c r="C1" s="12"/>
      <c r="D1" s="12"/>
      <c r="E1" s="12"/>
    </row>
    <row r="2" spans="1:5" x14ac:dyDescent="0.2">
      <c r="A2" s="5" t="s">
        <v>1610</v>
      </c>
      <c r="B2" s="6" t="s">
        <v>1616</v>
      </c>
    </row>
    <row r="3" spans="1:5" x14ac:dyDescent="0.2">
      <c r="A3" s="7" t="s">
        <v>1603</v>
      </c>
      <c r="B3" s="8">
        <f>SUMIFS(GiftData[Gift_Amount],GiftData[Credit_Type],"Hard Credit")</f>
        <v>287262.62000000011</v>
      </c>
    </row>
    <row r="4" spans="1:5" x14ac:dyDescent="0.2">
      <c r="A4" s="7" t="s">
        <v>1604</v>
      </c>
      <c r="B4" s="8">
        <f>SUMIFS(GiftData[Gift_Amount], GiftData[Credit_Type], "Soft Credit")</f>
        <v>71030.409999999974</v>
      </c>
    </row>
    <row r="5" spans="1:5" x14ac:dyDescent="0.2">
      <c r="A5" s="7" t="s">
        <v>1605</v>
      </c>
      <c r="B5" s="9" cm="1">
        <f t="array" ref="B5">SUM(IF(FREQUENCY(IF(GiftData[Gave_FY25]=1, MATCH(GiftData[Constituent_ID], GiftData[Constituent_ID], 0)), ROW(GiftData[Constituent_ID])-ROW(GiftData[#Headers])-1)&gt;0, 1))</f>
        <v>262</v>
      </c>
    </row>
    <row r="6" spans="1:5" x14ac:dyDescent="0.2">
      <c r="A6" s="7" t="s">
        <v>1606</v>
      </c>
      <c r="B6" s="7" cm="1">
        <f t="array" ref="B6">COUNTA(_xlfn.UNIQUE(_xlfn._xlws.FILTER(GiftData[Constituent_ID], (GiftData[Gave_FY25]=1)*(GiftData[Gave_FY26]=1))))</f>
        <v>167</v>
      </c>
    </row>
    <row r="7" spans="1:5" x14ac:dyDescent="0.2">
      <c r="A7" s="7" t="s">
        <v>1607</v>
      </c>
      <c r="B7" s="10">
        <f>B6/B5</f>
        <v>0.63740458015267176</v>
      </c>
    </row>
    <row r="8" spans="1:5" x14ac:dyDescent="0.2">
      <c r="A8" s="7" t="s">
        <v>1608</v>
      </c>
      <c r="B8" s="7" cm="1">
        <f t="array" ref="B8">COUNTA(_xlfn.UNIQUE(_xlfn._xlws.FILTER(GiftData[Constituent_ID], GiftData[Donor_Status]="LYBUNT (Lapsed 1 Yr)")))</f>
        <v>95</v>
      </c>
    </row>
    <row r="9" spans="1:5" x14ac:dyDescent="0.2">
      <c r="A9" s="7" t="s">
        <v>1617</v>
      </c>
      <c r="B9" s="9" cm="1">
        <f t="array" ref="B9">COUNTA(_xlfn.UNIQUE(_xlfn._xlws.FILTER(GiftData[Constituent_ID], GiftData[Donor_Status]="SYBUNT (Lapsed Multi-Yr)")))</f>
        <v>30</v>
      </c>
    </row>
    <row r="12" spans="1:5" x14ac:dyDescent="0.2">
      <c r="A12" s="3" t="s">
        <v>1613</v>
      </c>
      <c r="B12" s="3" t="s">
        <v>1612</v>
      </c>
    </row>
    <row r="13" spans="1:5" x14ac:dyDescent="0.2">
      <c r="A13" s="3" t="s">
        <v>2</v>
      </c>
      <c r="B13" t="s">
        <v>13</v>
      </c>
      <c r="C13" t="s">
        <v>29</v>
      </c>
      <c r="D13" t="s">
        <v>1611</v>
      </c>
    </row>
    <row r="14" spans="1:5" x14ac:dyDescent="0.2">
      <c r="A14" s="4" t="s">
        <v>18</v>
      </c>
      <c r="B14">
        <v>75021.660000000018</v>
      </c>
      <c r="C14">
        <v>30084.700000000012</v>
      </c>
      <c r="D14">
        <v>105106.36000000003</v>
      </c>
    </row>
    <row r="15" spans="1:5" x14ac:dyDescent="0.2">
      <c r="A15" s="4" t="s">
        <v>11</v>
      </c>
      <c r="B15">
        <v>71939.940000000046</v>
      </c>
      <c r="C15">
        <v>20584.03</v>
      </c>
      <c r="D15">
        <v>92523.970000000045</v>
      </c>
    </row>
    <row r="16" spans="1:5" x14ac:dyDescent="0.2">
      <c r="A16" s="4" t="s">
        <v>28</v>
      </c>
      <c r="B16">
        <v>69704.030000000057</v>
      </c>
      <c r="C16">
        <v>7856.15</v>
      </c>
      <c r="D16">
        <v>77560.180000000051</v>
      </c>
    </row>
    <row r="17" spans="1:14" x14ac:dyDescent="0.2">
      <c r="A17" s="4" t="s">
        <v>35</v>
      </c>
      <c r="B17">
        <v>46531.119999999981</v>
      </c>
      <c r="C17">
        <v>8525.6799999999985</v>
      </c>
      <c r="D17">
        <v>55056.799999999981</v>
      </c>
    </row>
    <row r="18" spans="1:14" x14ac:dyDescent="0.2">
      <c r="A18" s="4" t="s">
        <v>48</v>
      </c>
      <c r="B18">
        <v>24065.869999999988</v>
      </c>
      <c r="C18">
        <v>3979.85</v>
      </c>
      <c r="D18">
        <v>28045.719999999987</v>
      </c>
      <c r="N18" t="s">
        <v>1615</v>
      </c>
    </row>
    <row r="19" spans="1:14" x14ac:dyDescent="0.2">
      <c r="A19" s="4" t="s">
        <v>1611</v>
      </c>
      <c r="B19">
        <v>287262.62000000011</v>
      </c>
      <c r="C19">
        <v>71030.410000000018</v>
      </c>
      <c r="D19">
        <v>358293.03000000009</v>
      </c>
    </row>
    <row r="20" spans="1:14" x14ac:dyDescent="0.2">
      <c r="A20" s="4"/>
      <c r="B20"/>
    </row>
    <row r="21" spans="1:14" x14ac:dyDescent="0.2">
      <c r="A21" s="4"/>
      <c r="B21"/>
    </row>
    <row r="22" spans="1:14" x14ac:dyDescent="0.2">
      <c r="A22" s="4"/>
      <c r="B22"/>
    </row>
    <row r="23" spans="1:14" x14ac:dyDescent="0.2">
      <c r="B23"/>
    </row>
    <row r="24" spans="1:14" x14ac:dyDescent="0.2">
      <c r="A24" s="3" t="s">
        <v>7</v>
      </c>
      <c r="B24" t="s">
        <v>1613</v>
      </c>
      <c r="C24" t="s">
        <v>1614</v>
      </c>
    </row>
    <row r="25" spans="1:14" x14ac:dyDescent="0.2">
      <c r="A25" s="4" t="s">
        <v>164</v>
      </c>
      <c r="B25">
        <v>32550.310000000005</v>
      </c>
      <c r="C25">
        <v>120</v>
      </c>
    </row>
    <row r="26" spans="1:14" x14ac:dyDescent="0.2">
      <c r="A26" s="4" t="s">
        <v>51</v>
      </c>
      <c r="B26">
        <v>47127.670000000006</v>
      </c>
      <c r="C26">
        <v>144</v>
      </c>
    </row>
    <row r="27" spans="1:14" x14ac:dyDescent="0.2">
      <c r="A27" s="4" t="s">
        <v>41</v>
      </c>
      <c r="B27">
        <v>75322.49000000002</v>
      </c>
      <c r="C27">
        <v>250</v>
      </c>
    </row>
    <row r="28" spans="1:14" x14ac:dyDescent="0.2">
      <c r="A28" s="4" t="s">
        <v>14</v>
      </c>
      <c r="B28">
        <v>80753.199999999968</v>
      </c>
      <c r="C28">
        <v>271</v>
      </c>
    </row>
    <row r="29" spans="1:14" x14ac:dyDescent="0.2">
      <c r="A29" s="4" t="s">
        <v>20</v>
      </c>
      <c r="B29">
        <v>122539.36</v>
      </c>
      <c r="C29">
        <v>415</v>
      </c>
    </row>
    <row r="30" spans="1:14" x14ac:dyDescent="0.2">
      <c r="A30" s="4" t="s">
        <v>1611</v>
      </c>
      <c r="B30">
        <v>358293.02999999997</v>
      </c>
      <c r="C30">
        <v>1200</v>
      </c>
    </row>
    <row r="31" spans="1:14" x14ac:dyDescent="0.2">
      <c r="B31"/>
    </row>
    <row r="32" spans="1:14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</sheetData>
  <mergeCells count="1">
    <mergeCell ref="A1:E1"/>
  </mergeCells>
  <pageMargins left="0.7" right="0.7" top="0.75" bottom="0.75" header="0.3" footer="0.3"/>
  <drawing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advancement_raw_gifts_3yr</vt:lpstr>
      <vt:lpstr>Executive_KPIs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Ololade Folashade</cp:lastModifiedBy>
  <dcterms:created xsi:type="dcterms:W3CDTF">2026-09-15T14:51:24Z</dcterms:created>
  <dcterms:modified xsi:type="dcterms:W3CDTF">2026-09-15T18:00:55Z</dcterms:modified>
</cp:coreProperties>
</file>